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5CA4BE8A-200D-42DB-A3EA-5F808946B4E8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Explication" sheetId="1" r:id="rId1"/>
    <sheet name="Données" sheetId="2" r:id="rId2"/>
    <sheet name="Flux" sheetId="5" r:id="rId3"/>
    <sheet name="Impact Comptable" sheetId="9" r:id="rId4"/>
  </sheets>
  <externalReferences>
    <externalReference r:id="rId5"/>
  </externalReferences>
  <definedNames>
    <definedName name="_xlnm._FilterDatabase" localSheetId="3" hidden="1">'Impact Comptable'!$AD$2:$AD$122</definedName>
    <definedName name="DonnéesExternes_1" localSheetId="2" hidden="1">Flux!$A$1:$L$1345</definedName>
    <definedName name="Model_Name">[1]Cover!$C$10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2" i="5" l="1"/>
  <c r="M242" i="5"/>
  <c r="M326" i="5"/>
  <c r="M410" i="5"/>
  <c r="M446" i="5"/>
  <c r="M506" i="5"/>
  <c r="M566" i="5"/>
  <c r="M626" i="5"/>
  <c r="N626" i="5" s="1"/>
  <c r="O626" i="5" s="1"/>
  <c r="M686" i="5"/>
  <c r="M746" i="5"/>
  <c r="M806" i="5"/>
  <c r="M866" i="5"/>
  <c r="M926" i="5"/>
  <c r="M986" i="5"/>
  <c r="M1046" i="5"/>
  <c r="M1106" i="5"/>
  <c r="N1106" i="5" s="1"/>
  <c r="O1106" i="5" s="1"/>
  <c r="M1166" i="5"/>
  <c r="M1226" i="5"/>
  <c r="M1286" i="5"/>
  <c r="N2" i="5"/>
  <c r="N242" i="5"/>
  <c r="N326" i="5"/>
  <c r="N410" i="5"/>
  <c r="N446" i="5"/>
  <c r="O446" i="5" s="1"/>
  <c r="P446" i="5" s="1"/>
  <c r="M447" i="5" s="1"/>
  <c r="N506" i="5"/>
  <c r="N566" i="5"/>
  <c r="N686" i="5"/>
  <c r="N746" i="5"/>
  <c r="N806" i="5"/>
  <c r="N866" i="5"/>
  <c r="N926" i="5"/>
  <c r="O926" i="5" s="1"/>
  <c r="P926" i="5" s="1"/>
  <c r="M927" i="5" s="1"/>
  <c r="N986" i="5"/>
  <c r="N1046" i="5"/>
  <c r="N1166" i="5"/>
  <c r="N1226" i="5"/>
  <c r="N1286" i="5"/>
  <c r="O2" i="5"/>
  <c r="O242" i="5"/>
  <c r="P242" i="5" s="1"/>
  <c r="M243" i="5" s="1"/>
  <c r="O326" i="5"/>
  <c r="O410" i="5"/>
  <c r="O506" i="5"/>
  <c r="O566" i="5"/>
  <c r="O686" i="5"/>
  <c r="O746" i="5"/>
  <c r="P746" i="5" s="1"/>
  <c r="M747" i="5" s="1"/>
  <c r="O806" i="5"/>
  <c r="O866" i="5"/>
  <c r="O986" i="5"/>
  <c r="O1046" i="5"/>
  <c r="O1166" i="5"/>
  <c r="O1226" i="5"/>
  <c r="P1226" i="5" s="1"/>
  <c r="M1227" i="5" s="1"/>
  <c r="N1227" i="5" s="1"/>
  <c r="O1227" i="5" s="1"/>
  <c r="O1286" i="5"/>
  <c r="P2" i="5"/>
  <c r="M3" i="5" s="1"/>
  <c r="N3" i="5" s="1"/>
  <c r="O3" i="5" s="1"/>
  <c r="P326" i="5"/>
  <c r="M327" i="5" s="1"/>
  <c r="N327" i="5" s="1"/>
  <c r="O327" i="5" s="1"/>
  <c r="P410" i="5"/>
  <c r="M411" i="5" s="1"/>
  <c r="N411" i="5" s="1"/>
  <c r="O411" i="5" s="1"/>
  <c r="P506" i="5"/>
  <c r="M507" i="5" s="1"/>
  <c r="N507" i="5" s="1"/>
  <c r="O507" i="5" s="1"/>
  <c r="P566" i="5"/>
  <c r="M567" i="5" s="1"/>
  <c r="N567" i="5" s="1"/>
  <c r="O567" i="5" s="1"/>
  <c r="P686" i="5"/>
  <c r="M687" i="5" s="1"/>
  <c r="N687" i="5" s="1"/>
  <c r="O687" i="5" s="1"/>
  <c r="P806" i="5"/>
  <c r="M807" i="5" s="1"/>
  <c r="N807" i="5" s="1"/>
  <c r="O807" i="5" s="1"/>
  <c r="P866" i="5"/>
  <c r="M867" i="5" s="1"/>
  <c r="N867" i="5" s="1"/>
  <c r="O867" i="5" s="1"/>
  <c r="P986" i="5"/>
  <c r="M987" i="5" s="1"/>
  <c r="N987" i="5" s="1"/>
  <c r="O987" i="5" s="1"/>
  <c r="P1046" i="5"/>
  <c r="M1047" i="5" s="1"/>
  <c r="N1047" i="5" s="1"/>
  <c r="O1047" i="5" s="1"/>
  <c r="P1047" i="5" s="1"/>
  <c r="M1048" i="5" s="1"/>
  <c r="P1166" i="5"/>
  <c r="M1167" i="5" s="1"/>
  <c r="N1167" i="5" s="1"/>
  <c r="O1167" i="5" s="1"/>
  <c r="P1286" i="5"/>
  <c r="M1287" i="5" s="1"/>
  <c r="N1287" i="5" s="1"/>
  <c r="O1287" i="5" s="1"/>
  <c r="P1287" i="5"/>
  <c r="M1288" i="5" s="1"/>
  <c r="N1288" i="5" s="1"/>
  <c r="O1288" i="5" s="1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N927" i="5" l="1"/>
  <c r="O927" i="5" s="1"/>
  <c r="P927" i="5"/>
  <c r="M928" i="5" s="1"/>
  <c r="P928" i="5" s="1"/>
  <c r="M929" i="5" s="1"/>
  <c r="N243" i="5"/>
  <c r="O243" i="5" s="1"/>
  <c r="P243" i="5"/>
  <c r="M244" i="5" s="1"/>
  <c r="N244" i="5" s="1"/>
  <c r="O244" i="5" s="1"/>
  <c r="N447" i="5"/>
  <c r="O447" i="5" s="1"/>
  <c r="P447" i="5" s="1"/>
  <c r="M448" i="5" s="1"/>
  <c r="N448" i="5" s="1"/>
  <c r="O448" i="5" s="1"/>
  <c r="P448" i="5" s="1"/>
  <c r="M449" i="5" s="1"/>
  <c r="N747" i="5"/>
  <c r="O747" i="5" s="1"/>
  <c r="P747" i="5"/>
  <c r="M748" i="5" s="1"/>
  <c r="N748" i="5" s="1"/>
  <c r="O748" i="5" s="1"/>
  <c r="P1106" i="5"/>
  <c r="M1107" i="5" s="1"/>
  <c r="P807" i="5"/>
  <c r="M808" i="5" s="1"/>
  <c r="P567" i="5"/>
  <c r="M568" i="5" s="1"/>
  <c r="P327" i="5"/>
  <c r="M328" i="5" s="1"/>
  <c r="N328" i="5" s="1"/>
  <c r="O328" i="5" s="1"/>
  <c r="P328" i="5" s="1"/>
  <c r="M329" i="5" s="1"/>
  <c r="P626" i="5"/>
  <c r="M627" i="5" s="1"/>
  <c r="P987" i="5"/>
  <c r="M988" i="5" s="1"/>
  <c r="P507" i="5"/>
  <c r="M508" i="5" s="1"/>
  <c r="N508" i="5" s="1"/>
  <c r="O508" i="5" s="1"/>
  <c r="P508" i="5" s="1"/>
  <c r="M509" i="5" s="1"/>
  <c r="P687" i="5"/>
  <c r="M688" i="5" s="1"/>
  <c r="P3" i="5"/>
  <c r="M4" i="5" s="1"/>
  <c r="N4" i="5" s="1"/>
  <c r="O4" i="5" s="1"/>
  <c r="P867" i="5"/>
  <c r="M868" i="5" s="1"/>
  <c r="N868" i="5" s="1"/>
  <c r="O868" i="5" s="1"/>
  <c r="P411" i="5"/>
  <c r="M412" i="5" s="1"/>
  <c r="N412" i="5" s="1"/>
  <c r="O412" i="5" s="1"/>
  <c r="N1048" i="5"/>
  <c r="O1048" i="5" s="1"/>
  <c r="P1048" i="5"/>
  <c r="M1049" i="5" s="1"/>
  <c r="N988" i="5"/>
  <c r="O988" i="5" s="1"/>
  <c r="P988" i="5" s="1"/>
  <c r="M989" i="5" s="1"/>
  <c r="N928" i="5"/>
  <c r="O928" i="5" s="1"/>
  <c r="N568" i="5"/>
  <c r="O568" i="5" s="1"/>
  <c r="P568" i="5" s="1"/>
  <c r="M569" i="5" s="1"/>
  <c r="P1227" i="5"/>
  <c r="M1228" i="5" s="1"/>
  <c r="P1167" i="5"/>
  <c r="M1168" i="5" s="1"/>
  <c r="N808" i="5"/>
  <c r="O808" i="5" s="1"/>
  <c r="P808" i="5"/>
  <c r="M809" i="5" s="1"/>
  <c r="P1288" i="5"/>
  <c r="M1289" i="5" s="1"/>
  <c r="P412" i="5"/>
  <c r="M413" i="5" s="1"/>
  <c r="P244" i="5"/>
  <c r="M245" i="5" s="1"/>
  <c r="P4" i="5"/>
  <c r="M5" i="5" s="1"/>
  <c r="AD1" i="9"/>
  <c r="AD6" i="9" s="1"/>
  <c r="AD7" i="9" s="1"/>
  <c r="AD8" i="9" s="1"/>
  <c r="AD9" i="9" s="1"/>
  <c r="AD10" i="9" s="1"/>
  <c r="AD11" i="9" s="1"/>
  <c r="AD12" i="9" s="1"/>
  <c r="AD13" i="9" s="1"/>
  <c r="AD14" i="9" s="1"/>
  <c r="AD15" i="9" s="1"/>
  <c r="AD16" i="9" s="1"/>
  <c r="AD17" i="9" s="1"/>
  <c r="AD18" i="9" s="1"/>
  <c r="AD19" i="9" s="1"/>
  <c r="AD20" i="9" s="1"/>
  <c r="AD21" i="9" s="1"/>
  <c r="AD22" i="9" s="1"/>
  <c r="AD23" i="9" s="1"/>
  <c r="AD2" i="9"/>
  <c r="AD24" i="9" l="1"/>
  <c r="AD25" i="9" s="1"/>
  <c r="AD26" i="9" s="1"/>
  <c r="AD27" i="9" s="1"/>
  <c r="AD28" i="9" s="1"/>
  <c r="AD29" i="9" s="1"/>
  <c r="AD30" i="9" s="1"/>
  <c r="AD31" i="9" s="1"/>
  <c r="AD32" i="9" s="1"/>
  <c r="AD33" i="9" s="1"/>
  <c r="AD34" i="9" s="1"/>
  <c r="AD35" i="9" s="1"/>
  <c r="AD36" i="9" s="1"/>
  <c r="AD37" i="9" s="1"/>
  <c r="AD38" i="9" s="1"/>
  <c r="AD39" i="9" s="1"/>
  <c r="AD40" i="9" s="1"/>
  <c r="AD41" i="9" s="1"/>
  <c r="AD42" i="9" s="1"/>
  <c r="AD43" i="9" s="1"/>
  <c r="AD44" i="9" s="1"/>
  <c r="AD45" i="9" s="1"/>
  <c r="AD46" i="9" s="1"/>
  <c r="AD47" i="9" s="1"/>
  <c r="AD48" i="9" s="1"/>
  <c r="AD49" i="9" s="1"/>
  <c r="AD50" i="9" s="1"/>
  <c r="AD51" i="9" s="1"/>
  <c r="AD52" i="9" s="1"/>
  <c r="AD53" i="9" s="1"/>
  <c r="AD54" i="9" s="1"/>
  <c r="AD55" i="9" s="1"/>
  <c r="AD56" i="9" s="1"/>
  <c r="AD57" i="9" s="1"/>
  <c r="AD58" i="9" s="1"/>
  <c r="AD59" i="9" s="1"/>
  <c r="AD60" i="9" s="1"/>
  <c r="AD61" i="9" s="1"/>
  <c r="AD62" i="9" s="1"/>
  <c r="AD63" i="9" s="1"/>
  <c r="AD64" i="9" s="1"/>
  <c r="AD65" i="9" s="1"/>
  <c r="AD66" i="9" s="1"/>
  <c r="AD67" i="9" s="1"/>
  <c r="AD68" i="9" s="1"/>
  <c r="AD69" i="9" s="1"/>
  <c r="AD70" i="9" s="1"/>
  <c r="AD71" i="9" s="1"/>
  <c r="AD72" i="9" s="1"/>
  <c r="AD73" i="9" s="1"/>
  <c r="AD74" i="9" s="1"/>
  <c r="AD75" i="9" s="1"/>
  <c r="AD76" i="9" s="1"/>
  <c r="AD77" i="9" s="1"/>
  <c r="AD78" i="9" s="1"/>
  <c r="AD79" i="9" s="1"/>
  <c r="AD80" i="9" s="1"/>
  <c r="AD81" i="9" s="1"/>
  <c r="AD82" i="9" s="1"/>
  <c r="AD83" i="9" s="1"/>
  <c r="AD84" i="9" s="1"/>
  <c r="AD85" i="9" s="1"/>
  <c r="AD86" i="9" s="1"/>
  <c r="AD87" i="9" s="1"/>
  <c r="AD88" i="9" s="1"/>
  <c r="AD89" i="9" s="1"/>
  <c r="AD90" i="9" s="1"/>
  <c r="AD91" i="9" s="1"/>
  <c r="AD92" i="9" s="1"/>
  <c r="AD93" i="9" s="1"/>
  <c r="AD94" i="9" s="1"/>
  <c r="AD95" i="9" s="1"/>
  <c r="AD96" i="9" s="1"/>
  <c r="AD97" i="9" s="1"/>
  <c r="AD98" i="9" s="1"/>
  <c r="AD99" i="9" s="1"/>
  <c r="AD100" i="9" s="1"/>
  <c r="AD101" i="9" s="1"/>
  <c r="AD102" i="9" s="1"/>
  <c r="AD103" i="9" s="1"/>
  <c r="AD104" i="9" s="1"/>
  <c r="AD105" i="9" s="1"/>
  <c r="AD106" i="9" s="1"/>
  <c r="AD107" i="9" s="1"/>
  <c r="AD108" i="9" s="1"/>
  <c r="AD109" i="9" s="1"/>
  <c r="AD110" i="9" s="1"/>
  <c r="AD111" i="9" s="1"/>
  <c r="AD112" i="9" s="1"/>
  <c r="AD113" i="9" s="1"/>
  <c r="AD114" i="9" s="1"/>
  <c r="AD115" i="9" s="1"/>
  <c r="AD116" i="9" s="1"/>
  <c r="AD117" i="9" s="1"/>
  <c r="AD118" i="9" s="1"/>
  <c r="AD119" i="9" s="1"/>
  <c r="AD120" i="9" s="1"/>
  <c r="AD121" i="9" s="1"/>
  <c r="AD122" i="9" s="1"/>
  <c r="AD123" i="9" s="1"/>
  <c r="AD124" i="9" s="1"/>
  <c r="AD125" i="9" s="1"/>
  <c r="AD126" i="9" s="1"/>
  <c r="AD127" i="9" s="1"/>
  <c r="AD128" i="9" s="1"/>
  <c r="AD129" i="9" s="1"/>
  <c r="AD130" i="9" s="1"/>
  <c r="AD131" i="9" s="1"/>
  <c r="AD132" i="9" s="1"/>
  <c r="AD133" i="9" s="1"/>
  <c r="AD134" i="9" s="1"/>
  <c r="AD135" i="9" s="1"/>
  <c r="AD136" i="9" s="1"/>
  <c r="AD137" i="9" s="1"/>
  <c r="AD138" i="9" s="1"/>
  <c r="AD139" i="9" s="1"/>
  <c r="AD140" i="9" s="1"/>
  <c r="AD141" i="9" s="1"/>
  <c r="AD142" i="9" s="1"/>
  <c r="AD143" i="9" s="1"/>
  <c r="AD144" i="9" s="1"/>
  <c r="AD145" i="9" s="1"/>
  <c r="AD146" i="9" s="1"/>
  <c r="AD147" i="9" s="1"/>
  <c r="AD148" i="9" s="1"/>
  <c r="AD149" i="9" s="1"/>
  <c r="AD150" i="9" s="1"/>
  <c r="AD151" i="9" s="1"/>
  <c r="AD152" i="9" s="1"/>
  <c r="AD153" i="9" s="1"/>
  <c r="AD154" i="9" s="1"/>
  <c r="AD155" i="9" s="1"/>
  <c r="AD156" i="9" s="1"/>
  <c r="AD157" i="9" s="1"/>
  <c r="AD158" i="9" s="1"/>
  <c r="AD159" i="9" s="1"/>
  <c r="AD160" i="9" s="1"/>
  <c r="AD161" i="9" s="1"/>
  <c r="AD162" i="9" s="1"/>
  <c r="AD163" i="9" s="1"/>
  <c r="AD164" i="9" s="1"/>
  <c r="AD165" i="9" s="1"/>
  <c r="AD166" i="9" s="1"/>
  <c r="AD167" i="9" s="1"/>
  <c r="AD168" i="9" s="1"/>
  <c r="AD169" i="9" s="1"/>
  <c r="AD170" i="9" s="1"/>
  <c r="AD171" i="9" s="1"/>
  <c r="AD172" i="9" s="1"/>
  <c r="AD173" i="9" s="1"/>
  <c r="AD174" i="9" s="1"/>
  <c r="AD175" i="9" s="1"/>
  <c r="AD176" i="9" s="1"/>
  <c r="AD177" i="9" s="1"/>
  <c r="AD178" i="9" s="1"/>
  <c r="AD179" i="9" s="1"/>
  <c r="AD180" i="9" s="1"/>
  <c r="AD181" i="9" s="1"/>
  <c r="AD182" i="9" s="1"/>
  <c r="AD183" i="9" s="1"/>
  <c r="AD184" i="9" s="1"/>
  <c r="AD185" i="9" s="1"/>
  <c r="AD186" i="9" s="1"/>
  <c r="AD187" i="9" s="1"/>
  <c r="AD188" i="9" s="1"/>
  <c r="AD189" i="9" s="1"/>
  <c r="AD190" i="9" s="1"/>
  <c r="AD191" i="9" s="1"/>
  <c r="AD192" i="9" s="1"/>
  <c r="AD193" i="9" s="1"/>
  <c r="AD194" i="9" s="1"/>
  <c r="AD195" i="9" s="1"/>
  <c r="AD196" i="9" s="1"/>
  <c r="AD197" i="9" s="1"/>
  <c r="AD198" i="9" s="1"/>
  <c r="AD199" i="9" s="1"/>
  <c r="AD200" i="9" s="1"/>
  <c r="AD201" i="9" s="1"/>
  <c r="AD202" i="9" s="1"/>
  <c r="AD203" i="9" s="1"/>
  <c r="AD204" i="9" s="1"/>
  <c r="AD205" i="9" s="1"/>
  <c r="AD206" i="9" s="1"/>
  <c r="AD207" i="9" s="1"/>
  <c r="AD208" i="9" s="1"/>
  <c r="AD209" i="9" s="1"/>
  <c r="AD210" i="9" s="1"/>
  <c r="AD211" i="9" s="1"/>
  <c r="AD212" i="9" s="1"/>
  <c r="AD213" i="9" s="1"/>
  <c r="AD214" i="9" s="1"/>
  <c r="AD215" i="9" s="1"/>
  <c r="AD216" i="9" s="1"/>
  <c r="AD217" i="9" s="1"/>
  <c r="AD218" i="9" s="1"/>
  <c r="AD219" i="9" s="1"/>
  <c r="AD220" i="9" s="1"/>
  <c r="AD221" i="9" s="1"/>
  <c r="AD222" i="9" s="1"/>
  <c r="AD223" i="9" s="1"/>
  <c r="AD224" i="9" s="1"/>
  <c r="AD225" i="9" s="1"/>
  <c r="AD226" i="9" s="1"/>
  <c r="AD227" i="9" s="1"/>
  <c r="AD228" i="9" s="1"/>
  <c r="AD229" i="9" s="1"/>
  <c r="AD230" i="9" s="1"/>
  <c r="AD231" i="9" s="1"/>
  <c r="AD232" i="9" s="1"/>
  <c r="AD233" i="9" s="1"/>
  <c r="AD234" i="9" s="1"/>
  <c r="AD235" i="9" s="1"/>
  <c r="AD236" i="9" s="1"/>
  <c r="AD237" i="9" s="1"/>
  <c r="AD238" i="9" s="1"/>
  <c r="AD239" i="9" s="1"/>
  <c r="AD240" i="9" s="1"/>
  <c r="AD241" i="9" s="1"/>
  <c r="AD242" i="9" s="1"/>
  <c r="AD243" i="9" s="1"/>
  <c r="AD244" i="9" s="1"/>
  <c r="AD245" i="9" s="1"/>
  <c r="AD246" i="9" s="1"/>
  <c r="AD247" i="9" s="1"/>
  <c r="AD248" i="9" s="1"/>
  <c r="AD249" i="9" s="1"/>
  <c r="AD250" i="9" s="1"/>
  <c r="AD251" i="9" s="1"/>
  <c r="AD252" i="9" s="1"/>
  <c r="AD253" i="9" s="1"/>
  <c r="AD254" i="9" s="1"/>
  <c r="AD255" i="9" s="1"/>
  <c r="AD256" i="9" s="1"/>
  <c r="AD257" i="9" s="1"/>
  <c r="AD258" i="9" s="1"/>
  <c r="AD259" i="9" s="1"/>
  <c r="AD260" i="9" s="1"/>
  <c r="AD261" i="9" s="1"/>
  <c r="AD262" i="9" s="1"/>
  <c r="AD263" i="9" s="1"/>
  <c r="AD264" i="9" s="1"/>
  <c r="AD265" i="9" s="1"/>
  <c r="AD266" i="9" s="1"/>
  <c r="AD267" i="9" s="1"/>
  <c r="AD268" i="9" s="1"/>
  <c r="AD269" i="9" s="1"/>
  <c r="AD270" i="9" s="1"/>
  <c r="AD271" i="9" s="1"/>
  <c r="AD272" i="9" s="1"/>
  <c r="AD273" i="9" s="1"/>
  <c r="AD274" i="9" s="1"/>
  <c r="AD275" i="9" s="1"/>
  <c r="AD276" i="9" s="1"/>
  <c r="AD277" i="9" s="1"/>
  <c r="AD278" i="9" s="1"/>
  <c r="AD279" i="9" s="1"/>
  <c r="AD280" i="9" s="1"/>
  <c r="AD281" i="9" s="1"/>
  <c r="AD282" i="9" s="1"/>
  <c r="AD283" i="9" s="1"/>
  <c r="AD284" i="9" s="1"/>
  <c r="AD285" i="9" s="1"/>
  <c r="AD286" i="9" s="1"/>
  <c r="AD287" i="9" s="1"/>
  <c r="AD288" i="9" s="1"/>
  <c r="AD289" i="9" s="1"/>
  <c r="AD290" i="9" s="1"/>
  <c r="AD291" i="9" s="1"/>
  <c r="AD292" i="9" s="1"/>
  <c r="AD293" i="9" s="1"/>
  <c r="AD294" i="9" s="1"/>
  <c r="AD295" i="9" s="1"/>
  <c r="AD296" i="9" s="1"/>
  <c r="AD297" i="9" s="1"/>
  <c r="AD298" i="9" s="1"/>
  <c r="AD299" i="9" s="1"/>
  <c r="AD300" i="9" s="1"/>
  <c r="AD301" i="9" s="1"/>
  <c r="AD302" i="9" s="1"/>
  <c r="AD303" i="9" s="1"/>
  <c r="AD304" i="9" s="1"/>
  <c r="AD305" i="9" s="1"/>
  <c r="AD306" i="9" s="1"/>
  <c r="AD307" i="9" s="1"/>
  <c r="AD308" i="9" s="1"/>
  <c r="AD309" i="9" s="1"/>
  <c r="AD310" i="9" s="1"/>
  <c r="AD311" i="9" s="1"/>
  <c r="AD312" i="9" s="1"/>
  <c r="AD313" i="9" s="1"/>
  <c r="AD314" i="9" s="1"/>
  <c r="AD315" i="9" s="1"/>
  <c r="AD316" i="9" s="1"/>
  <c r="AD317" i="9" s="1"/>
  <c r="AD318" i="9" s="1"/>
  <c r="AD319" i="9" s="1"/>
  <c r="AD320" i="9" s="1"/>
  <c r="AD321" i="9" s="1"/>
  <c r="AD322" i="9" s="1"/>
  <c r="AD323" i="9" s="1"/>
  <c r="AD324" i="9" s="1"/>
  <c r="AD325" i="9" s="1"/>
  <c r="AD326" i="9" s="1"/>
  <c r="AD327" i="9" s="1"/>
  <c r="AD328" i="9" s="1"/>
  <c r="AD329" i="9" s="1"/>
  <c r="AD330" i="9" s="1"/>
  <c r="AD331" i="9" s="1"/>
  <c r="AD332" i="9" s="1"/>
  <c r="AD333" i="9" s="1"/>
  <c r="AD334" i="9" s="1"/>
  <c r="AD335" i="9" s="1"/>
  <c r="AD336" i="9" s="1"/>
  <c r="AD337" i="9" s="1"/>
  <c r="AD338" i="9" s="1"/>
  <c r="AD339" i="9" s="1"/>
  <c r="AD340" i="9" s="1"/>
  <c r="AD341" i="9" s="1"/>
  <c r="AD342" i="9" s="1"/>
  <c r="AD343" i="9" s="1"/>
  <c r="AD344" i="9" s="1"/>
  <c r="AD345" i="9" s="1"/>
  <c r="AD346" i="9" s="1"/>
  <c r="AD347" i="9" s="1"/>
  <c r="AD348" i="9" s="1"/>
  <c r="AD349" i="9" s="1"/>
  <c r="AD350" i="9" s="1"/>
  <c r="AD351" i="9" s="1"/>
  <c r="AD352" i="9" s="1"/>
  <c r="AD353" i="9" s="1"/>
  <c r="AD354" i="9" s="1"/>
  <c r="AD355" i="9" s="1"/>
  <c r="AD356" i="9" s="1"/>
  <c r="AD357" i="9" s="1"/>
  <c r="AD358" i="9" s="1"/>
  <c r="AD359" i="9" s="1"/>
  <c r="AD360" i="9" s="1"/>
  <c r="AD361" i="9" s="1"/>
  <c r="AD362" i="9" s="1"/>
  <c r="AD363" i="9" s="1"/>
  <c r="AD364" i="9" s="1"/>
  <c r="AD365" i="9" s="1"/>
  <c r="AD366" i="9" s="1"/>
  <c r="AD367" i="9" s="1"/>
  <c r="AD368" i="9" s="1"/>
  <c r="AD369" i="9" s="1"/>
  <c r="AD370" i="9" s="1"/>
  <c r="AD371" i="9" s="1"/>
  <c r="AD372" i="9" s="1"/>
  <c r="AD373" i="9" s="1"/>
  <c r="AD374" i="9" s="1"/>
  <c r="AD375" i="9" s="1"/>
  <c r="AD376" i="9" s="1"/>
  <c r="AD377" i="9" s="1"/>
  <c r="AD378" i="9" s="1"/>
  <c r="AD379" i="9" s="1"/>
  <c r="AD380" i="9" s="1"/>
  <c r="AD381" i="9" s="1"/>
  <c r="AD382" i="9" s="1"/>
  <c r="AD383" i="9" s="1"/>
  <c r="AD384" i="9" s="1"/>
  <c r="AD385" i="9" s="1"/>
  <c r="AD386" i="9" s="1"/>
  <c r="AD387" i="9" s="1"/>
  <c r="AD388" i="9" s="1"/>
  <c r="AD389" i="9" s="1"/>
  <c r="AD390" i="9" s="1"/>
  <c r="AD391" i="9" s="1"/>
  <c r="AD392" i="9" s="1"/>
  <c r="AD393" i="9" s="1"/>
  <c r="AD394" i="9" s="1"/>
  <c r="AD395" i="9" s="1"/>
  <c r="AD396" i="9" s="1"/>
  <c r="AD397" i="9" s="1"/>
  <c r="AD398" i="9" s="1"/>
  <c r="AD399" i="9" s="1"/>
  <c r="AD400" i="9" s="1"/>
  <c r="AD401" i="9" s="1"/>
  <c r="AD402" i="9" s="1"/>
  <c r="AD403" i="9" s="1"/>
  <c r="AD404" i="9" s="1"/>
  <c r="AD405" i="9" s="1"/>
  <c r="AD406" i="9" s="1"/>
  <c r="AD407" i="9" s="1"/>
  <c r="AD408" i="9" s="1"/>
  <c r="AD409" i="9" s="1"/>
  <c r="AD410" i="9" s="1"/>
  <c r="AD411" i="9" s="1"/>
  <c r="AD412" i="9" s="1"/>
  <c r="AD413" i="9" s="1"/>
  <c r="AD414" i="9" s="1"/>
  <c r="AD415" i="9" s="1"/>
  <c r="AD416" i="9" s="1"/>
  <c r="AD417" i="9" s="1"/>
  <c r="AD418" i="9" s="1"/>
  <c r="AD419" i="9" s="1"/>
  <c r="AD420" i="9" s="1"/>
  <c r="AD421" i="9" s="1"/>
  <c r="AD422" i="9" s="1"/>
  <c r="AD423" i="9" s="1"/>
  <c r="AD424" i="9" s="1"/>
  <c r="AD425" i="9" s="1"/>
  <c r="AD426" i="9" s="1"/>
  <c r="AD427" i="9" s="1"/>
  <c r="AD428" i="9" s="1"/>
  <c r="AD429" i="9" s="1"/>
  <c r="AD430" i="9" s="1"/>
  <c r="AD431" i="9" s="1"/>
  <c r="AD432" i="9" s="1"/>
  <c r="AD433" i="9" s="1"/>
  <c r="AD434" i="9" s="1"/>
  <c r="AD435" i="9" s="1"/>
  <c r="AD436" i="9" s="1"/>
  <c r="AD437" i="9" s="1"/>
  <c r="AD438" i="9" s="1"/>
  <c r="AD439" i="9" s="1"/>
  <c r="AD440" i="9" s="1"/>
  <c r="AD441" i="9" s="1"/>
  <c r="AD442" i="9" s="1"/>
  <c r="AD443" i="9" s="1"/>
  <c r="AD444" i="9" s="1"/>
  <c r="AD445" i="9" s="1"/>
  <c r="AD446" i="9" s="1"/>
  <c r="AD447" i="9" s="1"/>
  <c r="AD448" i="9" s="1"/>
  <c r="AD449" i="9" s="1"/>
  <c r="AD450" i="9" s="1"/>
  <c r="AD451" i="9" s="1"/>
  <c r="AD452" i="9" s="1"/>
  <c r="AD453" i="9" s="1"/>
  <c r="AD454" i="9" s="1"/>
  <c r="AD455" i="9" s="1"/>
  <c r="AD456" i="9" s="1"/>
  <c r="AD457" i="9" s="1"/>
  <c r="AD458" i="9" s="1"/>
  <c r="AD459" i="9" s="1"/>
  <c r="AD460" i="9" s="1"/>
  <c r="AD461" i="9" s="1"/>
  <c r="AD462" i="9" s="1"/>
  <c r="AD463" i="9" s="1"/>
  <c r="AD464" i="9" s="1"/>
  <c r="AD465" i="9" s="1"/>
  <c r="AD466" i="9" s="1"/>
  <c r="AD467" i="9" s="1"/>
  <c r="AD468" i="9" s="1"/>
  <c r="AD469" i="9" s="1"/>
  <c r="AD470" i="9" s="1"/>
  <c r="AD471" i="9" s="1"/>
  <c r="AD472" i="9" s="1"/>
  <c r="AD473" i="9" s="1"/>
  <c r="AD474" i="9" s="1"/>
  <c r="AD475" i="9" s="1"/>
  <c r="AD476" i="9" s="1"/>
  <c r="AD477" i="9" s="1"/>
  <c r="AD478" i="9" s="1"/>
  <c r="AD479" i="9" s="1"/>
  <c r="AD480" i="9" s="1"/>
  <c r="AD481" i="9" s="1"/>
  <c r="AD482" i="9" s="1"/>
  <c r="AD483" i="9" s="1"/>
  <c r="AD484" i="9" s="1"/>
  <c r="AD485" i="9" s="1"/>
  <c r="AD486" i="9" s="1"/>
  <c r="AD487" i="9" s="1"/>
  <c r="AD488" i="9" s="1"/>
  <c r="AD489" i="9" s="1"/>
  <c r="AD490" i="9" s="1"/>
  <c r="AD491" i="9" s="1"/>
  <c r="AD492" i="9" s="1"/>
  <c r="AD493" i="9" s="1"/>
  <c r="AD494" i="9" s="1"/>
  <c r="AD495" i="9" s="1"/>
  <c r="AD496" i="9" s="1"/>
  <c r="AD497" i="9" s="1"/>
  <c r="AD498" i="9" s="1"/>
  <c r="AD499" i="9" s="1"/>
  <c r="AD500" i="9" s="1"/>
  <c r="AD501" i="9" s="1"/>
  <c r="AD502" i="9" s="1"/>
  <c r="AD503" i="9" s="1"/>
  <c r="AD504" i="9" s="1"/>
  <c r="AD505" i="9" s="1"/>
  <c r="AD506" i="9" s="1"/>
  <c r="AD507" i="9" s="1"/>
  <c r="AD508" i="9" s="1"/>
  <c r="AD509" i="9" s="1"/>
  <c r="AD510" i="9" s="1"/>
  <c r="AD511" i="9" s="1"/>
  <c r="AD512" i="9" s="1"/>
  <c r="AD513" i="9" s="1"/>
  <c r="AD514" i="9" s="1"/>
  <c r="AD515" i="9" s="1"/>
  <c r="AD516" i="9" s="1"/>
  <c r="AD517" i="9" s="1"/>
  <c r="AD518" i="9" s="1"/>
  <c r="AD519" i="9" s="1"/>
  <c r="AD520" i="9" s="1"/>
  <c r="AD521" i="9" s="1"/>
  <c r="AD522" i="9" s="1"/>
  <c r="AD523" i="9" s="1"/>
  <c r="AD524" i="9" s="1"/>
  <c r="AD525" i="9" s="1"/>
  <c r="AD526" i="9" s="1"/>
  <c r="AD527" i="9" s="1"/>
  <c r="AD528" i="9" s="1"/>
  <c r="AD529" i="9" s="1"/>
  <c r="AD530" i="9" s="1"/>
  <c r="AD531" i="9" s="1"/>
  <c r="AD532" i="9" s="1"/>
  <c r="AD533" i="9" s="1"/>
  <c r="AD534" i="9" s="1"/>
  <c r="AD535" i="9" s="1"/>
  <c r="AD536" i="9" s="1"/>
  <c r="AD537" i="9" s="1"/>
  <c r="AD538" i="9" s="1"/>
  <c r="AD539" i="9" s="1"/>
  <c r="AD540" i="9" s="1"/>
  <c r="AD541" i="9" s="1"/>
  <c r="AD542" i="9" s="1"/>
  <c r="AD543" i="9" s="1"/>
  <c r="AD544" i="9" s="1"/>
  <c r="AD545" i="9" s="1"/>
  <c r="AD546" i="9" s="1"/>
  <c r="AD547" i="9" s="1"/>
  <c r="AD548" i="9" s="1"/>
  <c r="AD549" i="9" s="1"/>
  <c r="AD550" i="9" s="1"/>
  <c r="AD551" i="9" s="1"/>
  <c r="AD552" i="9" s="1"/>
  <c r="AD553" i="9" s="1"/>
  <c r="AD554" i="9" s="1"/>
  <c r="AD555" i="9" s="1"/>
  <c r="AD556" i="9" s="1"/>
  <c r="AD557" i="9" s="1"/>
  <c r="AD558" i="9" s="1"/>
  <c r="AD559" i="9" s="1"/>
  <c r="AD560" i="9" s="1"/>
  <c r="AD561" i="9" s="1"/>
  <c r="AD562" i="9" s="1"/>
  <c r="AD563" i="9" s="1"/>
  <c r="AD564" i="9" s="1"/>
  <c r="AD565" i="9" s="1"/>
  <c r="AD566" i="9" s="1"/>
  <c r="AD567" i="9" s="1"/>
  <c r="AD568" i="9" s="1"/>
  <c r="AD569" i="9" s="1"/>
  <c r="AD570" i="9" s="1"/>
  <c r="AD571" i="9" s="1"/>
  <c r="AD572" i="9" s="1"/>
  <c r="AD573" i="9" s="1"/>
  <c r="AD574" i="9" s="1"/>
  <c r="AD575" i="9" s="1"/>
  <c r="AD576" i="9" s="1"/>
  <c r="AD577" i="9" s="1"/>
  <c r="AD578" i="9" s="1"/>
  <c r="AD579" i="9" s="1"/>
  <c r="AD580" i="9" s="1"/>
  <c r="AD581" i="9" s="1"/>
  <c r="AD582" i="9" s="1"/>
  <c r="AD583" i="9" s="1"/>
  <c r="AD584" i="9" s="1"/>
  <c r="AD585" i="9" s="1"/>
  <c r="AD586" i="9" s="1"/>
  <c r="AD587" i="9" s="1"/>
  <c r="AD588" i="9" s="1"/>
  <c r="AD589" i="9" s="1"/>
  <c r="AD590" i="9" s="1"/>
  <c r="AD591" i="9" s="1"/>
  <c r="AD592" i="9" s="1"/>
  <c r="AD593" i="9" s="1"/>
  <c r="AD594" i="9" s="1"/>
  <c r="AD595" i="9" s="1"/>
  <c r="AD596" i="9" s="1"/>
  <c r="AD597" i="9" s="1"/>
  <c r="AD598" i="9" s="1"/>
  <c r="AD599" i="9" s="1"/>
  <c r="AD600" i="9" s="1"/>
  <c r="AD601" i="9" s="1"/>
  <c r="AD602" i="9" s="1"/>
  <c r="AD603" i="9" s="1"/>
  <c r="AD604" i="9" s="1"/>
  <c r="AD605" i="9" s="1"/>
  <c r="AD606" i="9" s="1"/>
  <c r="AD607" i="9" s="1"/>
  <c r="AD608" i="9" s="1"/>
  <c r="AD609" i="9" s="1"/>
  <c r="AD610" i="9" s="1"/>
  <c r="AD611" i="9" s="1"/>
  <c r="AD612" i="9" s="1"/>
  <c r="AD613" i="9" s="1"/>
  <c r="AD614" i="9" s="1"/>
  <c r="AD615" i="9" s="1"/>
  <c r="AD616" i="9" s="1"/>
  <c r="AD617" i="9" s="1"/>
  <c r="AD618" i="9" s="1"/>
  <c r="AD619" i="9" s="1"/>
  <c r="AD620" i="9" s="1"/>
  <c r="AD621" i="9" s="1"/>
  <c r="AD622" i="9" s="1"/>
  <c r="AD623" i="9" s="1"/>
  <c r="AD624" i="9" s="1"/>
  <c r="AD625" i="9" s="1"/>
  <c r="AD626" i="9" s="1"/>
  <c r="AD627" i="9" s="1"/>
  <c r="AD628" i="9" s="1"/>
  <c r="AD629" i="9" s="1"/>
  <c r="AD630" i="9" s="1"/>
  <c r="AD631" i="9" s="1"/>
  <c r="AD632" i="9" s="1"/>
  <c r="AD633" i="9" s="1"/>
  <c r="AD634" i="9" s="1"/>
  <c r="AD635" i="9" s="1"/>
  <c r="AD636" i="9" s="1"/>
  <c r="AD637" i="9" s="1"/>
  <c r="AD638" i="9" s="1"/>
  <c r="AD639" i="9" s="1"/>
  <c r="AD640" i="9" s="1"/>
  <c r="AD641" i="9" s="1"/>
  <c r="AD642" i="9" s="1"/>
  <c r="AD643" i="9" s="1"/>
  <c r="AD644" i="9" s="1"/>
  <c r="AD645" i="9" s="1"/>
  <c r="AD646" i="9" s="1"/>
  <c r="AD647" i="9" s="1"/>
  <c r="AD648" i="9" s="1"/>
  <c r="AD649" i="9" s="1"/>
  <c r="AD650" i="9" s="1"/>
  <c r="AD651" i="9" s="1"/>
  <c r="AD652" i="9" s="1"/>
  <c r="AD653" i="9" s="1"/>
  <c r="AD654" i="9" s="1"/>
  <c r="AD655" i="9" s="1"/>
  <c r="AD656" i="9" s="1"/>
  <c r="AD657" i="9" s="1"/>
  <c r="AD658" i="9" s="1"/>
  <c r="AD659" i="9" s="1"/>
  <c r="AD660" i="9" s="1"/>
  <c r="AD661" i="9" s="1"/>
  <c r="AD662" i="9" s="1"/>
  <c r="AD663" i="9" s="1"/>
  <c r="AD664" i="9" s="1"/>
  <c r="AD665" i="9" s="1"/>
  <c r="AD666" i="9" s="1"/>
  <c r="AD667" i="9" s="1"/>
  <c r="AD668" i="9" s="1"/>
  <c r="AD669" i="9" s="1"/>
  <c r="AD670" i="9" s="1"/>
  <c r="AD671" i="9" s="1"/>
  <c r="AD672" i="9" s="1"/>
  <c r="AD673" i="9" s="1"/>
  <c r="AD674" i="9" s="1"/>
  <c r="AD675" i="9" s="1"/>
  <c r="AD676" i="9" s="1"/>
  <c r="AD677" i="9" s="1"/>
  <c r="AD678" i="9" s="1"/>
  <c r="AD679" i="9" s="1"/>
  <c r="AD680" i="9" s="1"/>
  <c r="AD681" i="9" s="1"/>
  <c r="AD682" i="9" s="1"/>
  <c r="AD683" i="9" s="1"/>
  <c r="AD684" i="9" s="1"/>
  <c r="AD685" i="9" s="1"/>
  <c r="AD686" i="9" s="1"/>
  <c r="AD687" i="9" s="1"/>
  <c r="AD688" i="9" s="1"/>
  <c r="AD689" i="9" s="1"/>
  <c r="AD690" i="9" s="1"/>
  <c r="AD691" i="9" s="1"/>
  <c r="AD692" i="9" s="1"/>
  <c r="AD693" i="9" s="1"/>
  <c r="AD694" i="9" s="1"/>
  <c r="AD695" i="9" s="1"/>
  <c r="AD696" i="9" s="1"/>
  <c r="AD697" i="9" s="1"/>
  <c r="AD698" i="9" s="1"/>
  <c r="AD699" i="9" s="1"/>
  <c r="AD700" i="9" s="1"/>
  <c r="AD701" i="9" s="1"/>
  <c r="AD702" i="9" s="1"/>
  <c r="AD703" i="9" s="1"/>
  <c r="AD704" i="9" s="1"/>
  <c r="AD705" i="9" s="1"/>
  <c r="AD706" i="9" s="1"/>
  <c r="AD707" i="9" s="1"/>
  <c r="AD708" i="9" s="1"/>
  <c r="AD709" i="9" s="1"/>
  <c r="AD710" i="9" s="1"/>
  <c r="AD711" i="9" s="1"/>
  <c r="AD712" i="9" s="1"/>
  <c r="AD713" i="9" s="1"/>
  <c r="AD714" i="9" s="1"/>
  <c r="AD715" i="9" s="1"/>
  <c r="AD716" i="9" s="1"/>
  <c r="AD717" i="9" s="1"/>
  <c r="AD718" i="9" s="1"/>
  <c r="AD719" i="9" s="1"/>
  <c r="AD720" i="9" s="1"/>
  <c r="AD721" i="9" s="1"/>
  <c r="AD722" i="9" s="1"/>
  <c r="AD723" i="9" s="1"/>
  <c r="AD724" i="9" s="1"/>
  <c r="AD725" i="9" s="1"/>
  <c r="AD726" i="9" s="1"/>
  <c r="AD727" i="9" s="1"/>
  <c r="AD728" i="9" s="1"/>
  <c r="AD729" i="9" s="1"/>
  <c r="AD730" i="9" s="1"/>
  <c r="AD731" i="9" s="1"/>
  <c r="AD732" i="9" s="1"/>
  <c r="AD733" i="9" s="1"/>
  <c r="AD734" i="9" s="1"/>
  <c r="AD735" i="9" s="1"/>
  <c r="AD736" i="9" s="1"/>
  <c r="AD737" i="9" s="1"/>
  <c r="AD738" i="9" s="1"/>
  <c r="AD739" i="9" s="1"/>
  <c r="AD740" i="9" s="1"/>
  <c r="AD741" i="9" s="1"/>
  <c r="AD742" i="9" s="1"/>
  <c r="AD743" i="9" s="1"/>
  <c r="AD744" i="9" s="1"/>
  <c r="AD745" i="9" s="1"/>
  <c r="AD746" i="9" s="1"/>
  <c r="AD747" i="9" s="1"/>
  <c r="AD748" i="9" s="1"/>
  <c r="AD749" i="9" s="1"/>
  <c r="AD750" i="9" s="1"/>
  <c r="AD751" i="9" s="1"/>
  <c r="AD752" i="9" s="1"/>
  <c r="AD753" i="9" s="1"/>
  <c r="AD754" i="9" s="1"/>
  <c r="AD755" i="9" s="1"/>
  <c r="AD756" i="9" s="1"/>
  <c r="AD757" i="9" s="1"/>
  <c r="AD758" i="9" s="1"/>
  <c r="AD759" i="9" s="1"/>
  <c r="AD760" i="9" s="1"/>
  <c r="AD761" i="9" s="1"/>
  <c r="AD762" i="9" s="1"/>
  <c r="AD763" i="9" s="1"/>
  <c r="AD764" i="9" s="1"/>
  <c r="AD765" i="9" s="1"/>
  <c r="AD766" i="9" s="1"/>
  <c r="AD767" i="9" s="1"/>
  <c r="AD768" i="9" s="1"/>
  <c r="AD769" i="9" s="1"/>
  <c r="AD770" i="9" s="1"/>
  <c r="AD771" i="9" s="1"/>
  <c r="AD772" i="9" s="1"/>
  <c r="AD773" i="9" s="1"/>
  <c r="AD774" i="9" s="1"/>
  <c r="AD775" i="9" s="1"/>
  <c r="AD776" i="9" s="1"/>
  <c r="AD777" i="9" s="1"/>
  <c r="AD778" i="9" s="1"/>
  <c r="AD779" i="9" s="1"/>
  <c r="AD780" i="9" s="1"/>
  <c r="AD781" i="9" s="1"/>
  <c r="AD782" i="9" s="1"/>
  <c r="AD783" i="9" s="1"/>
  <c r="AD784" i="9" s="1"/>
  <c r="AD785" i="9" s="1"/>
  <c r="AD786" i="9" s="1"/>
  <c r="AD787" i="9" s="1"/>
  <c r="AD788" i="9" s="1"/>
  <c r="AD789" i="9" s="1"/>
  <c r="AD790" i="9" s="1"/>
  <c r="AD791" i="9" s="1"/>
  <c r="AD792" i="9" s="1"/>
  <c r="AD793" i="9" s="1"/>
  <c r="AD794" i="9" s="1"/>
  <c r="AD795" i="9" s="1"/>
  <c r="AD796" i="9" s="1"/>
  <c r="AD797" i="9" s="1"/>
  <c r="AD798" i="9" s="1"/>
  <c r="AD799" i="9" s="1"/>
  <c r="AD800" i="9" s="1"/>
  <c r="AD801" i="9" s="1"/>
  <c r="AD802" i="9" s="1"/>
  <c r="AD803" i="9" s="1"/>
  <c r="AD804" i="9" s="1"/>
  <c r="AD805" i="9" s="1"/>
  <c r="AD806" i="9" s="1"/>
  <c r="AD807" i="9" s="1"/>
  <c r="AD808" i="9" s="1"/>
  <c r="AD809" i="9" s="1"/>
  <c r="AD810" i="9" s="1"/>
  <c r="AD811" i="9" s="1"/>
  <c r="AD812" i="9" s="1"/>
  <c r="AD813" i="9" s="1"/>
  <c r="AD814" i="9" s="1"/>
  <c r="AD815" i="9" s="1"/>
  <c r="AD816" i="9" s="1"/>
  <c r="AD817" i="9" s="1"/>
  <c r="AD818" i="9" s="1"/>
  <c r="AD819" i="9" s="1"/>
  <c r="AD820" i="9" s="1"/>
  <c r="AD821" i="9" s="1"/>
  <c r="AD822" i="9" s="1"/>
  <c r="AD823" i="9" s="1"/>
  <c r="AD824" i="9" s="1"/>
  <c r="AD825" i="9" s="1"/>
  <c r="AD826" i="9" s="1"/>
  <c r="AD827" i="9" s="1"/>
  <c r="AD828" i="9" s="1"/>
  <c r="AD829" i="9" s="1"/>
  <c r="AD830" i="9" s="1"/>
  <c r="AD831" i="9" s="1"/>
  <c r="AD832" i="9" s="1"/>
  <c r="AD833" i="9" s="1"/>
  <c r="AD834" i="9" s="1"/>
  <c r="AD835" i="9" s="1"/>
  <c r="AD836" i="9" s="1"/>
  <c r="AD837" i="9" s="1"/>
  <c r="AD838" i="9" s="1"/>
  <c r="AD839" i="9" s="1"/>
  <c r="AD840" i="9" s="1"/>
  <c r="AD841" i="9" s="1"/>
  <c r="AD842" i="9" s="1"/>
  <c r="AD843" i="9" s="1"/>
  <c r="AD844" i="9" s="1"/>
  <c r="AD845" i="9" s="1"/>
  <c r="AD846" i="9" s="1"/>
  <c r="AD847" i="9" s="1"/>
  <c r="AD848" i="9" s="1"/>
  <c r="AD849" i="9" s="1"/>
  <c r="AD850" i="9" s="1"/>
  <c r="AD851" i="9" s="1"/>
  <c r="AD852" i="9" s="1"/>
  <c r="AD853" i="9" s="1"/>
  <c r="AD854" i="9" s="1"/>
  <c r="AD855" i="9" s="1"/>
  <c r="AD856" i="9" s="1"/>
  <c r="AD857" i="9" s="1"/>
  <c r="AD858" i="9" s="1"/>
  <c r="AD859" i="9" s="1"/>
  <c r="AD860" i="9" s="1"/>
  <c r="AD861" i="9" s="1"/>
  <c r="AD862" i="9" s="1"/>
  <c r="AD863" i="9" s="1"/>
  <c r="AD864" i="9" s="1"/>
  <c r="AD865" i="9" s="1"/>
  <c r="AD866" i="9" s="1"/>
  <c r="AD867" i="9" s="1"/>
  <c r="AD868" i="9" s="1"/>
  <c r="AD869" i="9" s="1"/>
  <c r="AD870" i="9" s="1"/>
  <c r="AD871" i="9" s="1"/>
  <c r="AD872" i="9" s="1"/>
  <c r="AD873" i="9" s="1"/>
  <c r="AD874" i="9" s="1"/>
  <c r="AD875" i="9" s="1"/>
  <c r="AD876" i="9" s="1"/>
  <c r="AD877" i="9" s="1"/>
  <c r="AD878" i="9" s="1"/>
  <c r="AD879" i="9" s="1"/>
  <c r="AD880" i="9" s="1"/>
  <c r="AD881" i="9" s="1"/>
  <c r="AD882" i="9" s="1"/>
  <c r="AD883" i="9" s="1"/>
  <c r="AD884" i="9" s="1"/>
  <c r="AD885" i="9" s="1"/>
  <c r="AD886" i="9" s="1"/>
  <c r="AD887" i="9" s="1"/>
  <c r="AD888" i="9" s="1"/>
  <c r="AD889" i="9" s="1"/>
  <c r="AD890" i="9" s="1"/>
  <c r="AD891" i="9" s="1"/>
  <c r="AD892" i="9" s="1"/>
  <c r="AD893" i="9" s="1"/>
  <c r="AD894" i="9" s="1"/>
  <c r="AD895" i="9" s="1"/>
  <c r="AD896" i="9" s="1"/>
  <c r="AD897" i="9" s="1"/>
  <c r="AD898" i="9" s="1"/>
  <c r="AD899" i="9" s="1"/>
  <c r="AD900" i="9" s="1"/>
  <c r="AD901" i="9" s="1"/>
  <c r="AD902" i="9" s="1"/>
  <c r="AD903" i="9" s="1"/>
  <c r="AD904" i="9" s="1"/>
  <c r="AD905" i="9" s="1"/>
  <c r="AD906" i="9" s="1"/>
  <c r="AD907" i="9" s="1"/>
  <c r="AD908" i="9" s="1"/>
  <c r="AD909" i="9" s="1"/>
  <c r="AD910" i="9" s="1"/>
  <c r="AD911" i="9" s="1"/>
  <c r="AD912" i="9" s="1"/>
  <c r="AD913" i="9" s="1"/>
  <c r="AD914" i="9" s="1"/>
  <c r="AD915" i="9" s="1"/>
  <c r="AD916" i="9" s="1"/>
  <c r="AD917" i="9" s="1"/>
  <c r="AD918" i="9" s="1"/>
  <c r="AD919" i="9" s="1"/>
  <c r="AD920" i="9" s="1"/>
  <c r="AD921" i="9" s="1"/>
  <c r="AD922" i="9" s="1"/>
  <c r="AD923" i="9" s="1"/>
  <c r="AD924" i="9" s="1"/>
  <c r="AD925" i="9" s="1"/>
  <c r="AD926" i="9" s="1"/>
  <c r="AD927" i="9" s="1"/>
  <c r="AD928" i="9" s="1"/>
  <c r="AD929" i="9" s="1"/>
  <c r="AD930" i="9" s="1"/>
  <c r="AD931" i="9" s="1"/>
  <c r="AD932" i="9" s="1"/>
  <c r="AD933" i="9" s="1"/>
  <c r="AD934" i="9" s="1"/>
  <c r="AD935" i="9" s="1"/>
  <c r="AD936" i="9" s="1"/>
  <c r="AD937" i="9" s="1"/>
  <c r="AD938" i="9" s="1"/>
  <c r="AD939" i="9" s="1"/>
  <c r="AD940" i="9" s="1"/>
  <c r="AD941" i="9" s="1"/>
  <c r="AD942" i="9" s="1"/>
  <c r="AD943" i="9" s="1"/>
  <c r="AD944" i="9" s="1"/>
  <c r="AD945" i="9" s="1"/>
  <c r="AD946" i="9" s="1"/>
  <c r="AD947" i="9" s="1"/>
  <c r="AD948" i="9" s="1"/>
  <c r="AD949" i="9" s="1"/>
  <c r="AD950" i="9" s="1"/>
  <c r="AD951" i="9" s="1"/>
  <c r="AD952" i="9" s="1"/>
  <c r="AD953" i="9" s="1"/>
  <c r="AD954" i="9" s="1"/>
  <c r="AD955" i="9" s="1"/>
  <c r="AD956" i="9" s="1"/>
  <c r="AD957" i="9" s="1"/>
  <c r="AD958" i="9" s="1"/>
  <c r="AD959" i="9" s="1"/>
  <c r="AD960" i="9" s="1"/>
  <c r="AD961" i="9" s="1"/>
  <c r="AD962" i="9" s="1"/>
  <c r="AD963" i="9" s="1"/>
  <c r="AD964" i="9" s="1"/>
  <c r="AD965" i="9" s="1"/>
  <c r="AD966" i="9" s="1"/>
  <c r="AD967" i="9" s="1"/>
  <c r="AD968" i="9" s="1"/>
  <c r="AD969" i="9" s="1"/>
  <c r="AD970" i="9" s="1"/>
  <c r="AD971" i="9" s="1"/>
  <c r="AD972" i="9" s="1"/>
  <c r="AD973" i="9" s="1"/>
  <c r="AD974" i="9" s="1"/>
  <c r="AD975" i="9" s="1"/>
  <c r="AD976" i="9" s="1"/>
  <c r="AD977" i="9" s="1"/>
  <c r="AD978" i="9" s="1"/>
  <c r="AD979" i="9" s="1"/>
  <c r="AD980" i="9" s="1"/>
  <c r="AD981" i="9" s="1"/>
  <c r="AD982" i="9" s="1"/>
  <c r="AD983" i="9" s="1"/>
  <c r="AD984" i="9" s="1"/>
  <c r="AD985" i="9" s="1"/>
  <c r="AD986" i="9" s="1"/>
  <c r="AD987" i="9" s="1"/>
  <c r="AD988" i="9" s="1"/>
  <c r="AD989" i="9" s="1"/>
  <c r="AD990" i="9" s="1"/>
  <c r="AD991" i="9" s="1"/>
  <c r="AD992" i="9" s="1"/>
  <c r="AD993" i="9" s="1"/>
  <c r="AD994" i="9" s="1"/>
  <c r="AD995" i="9" s="1"/>
  <c r="AD996" i="9" s="1"/>
  <c r="AD997" i="9" s="1"/>
  <c r="AD998" i="9" s="1"/>
  <c r="AD999" i="9" s="1"/>
  <c r="AD1000" i="9" s="1"/>
  <c r="AD1001" i="9" s="1"/>
  <c r="AD1002" i="9" s="1"/>
  <c r="AD1003" i="9" s="1"/>
  <c r="AD1004" i="9" s="1"/>
  <c r="AD1005" i="9" s="1"/>
  <c r="AD1006" i="9" s="1"/>
  <c r="AD1007" i="9" s="1"/>
  <c r="AD1008" i="9" s="1"/>
  <c r="AD1009" i="9" s="1"/>
  <c r="AD1010" i="9" s="1"/>
  <c r="AD1011" i="9" s="1"/>
  <c r="AD1012" i="9" s="1"/>
  <c r="AD1013" i="9" s="1"/>
  <c r="AD1014" i="9" s="1"/>
  <c r="AD1015" i="9" s="1"/>
  <c r="AD1016" i="9" s="1"/>
  <c r="AD1017" i="9" s="1"/>
  <c r="AD1018" i="9" s="1"/>
  <c r="AD1019" i="9" s="1"/>
  <c r="AD1020" i="9" s="1"/>
  <c r="AD1021" i="9" s="1"/>
  <c r="AD1022" i="9" s="1"/>
  <c r="AD1023" i="9" s="1"/>
  <c r="AD1024" i="9" s="1"/>
  <c r="AD1025" i="9" s="1"/>
  <c r="AD1026" i="9" s="1"/>
  <c r="AD1027" i="9" s="1"/>
  <c r="AD1028" i="9" s="1"/>
  <c r="AD1029" i="9" s="1"/>
  <c r="AD1030" i="9" s="1"/>
  <c r="AD1031" i="9" s="1"/>
  <c r="AD1032" i="9" s="1"/>
  <c r="AD1033" i="9" s="1"/>
  <c r="AD1034" i="9" s="1"/>
  <c r="AD1035" i="9" s="1"/>
  <c r="AD1036" i="9" s="1"/>
  <c r="AD1037" i="9" s="1"/>
  <c r="AD1038" i="9" s="1"/>
  <c r="AD1039" i="9" s="1"/>
  <c r="AD1040" i="9" s="1"/>
  <c r="AD1041" i="9" s="1"/>
  <c r="AD1042" i="9" s="1"/>
  <c r="AD1043" i="9" s="1"/>
  <c r="AD1044" i="9" s="1"/>
  <c r="AD1045" i="9" s="1"/>
  <c r="AD1046" i="9" s="1"/>
  <c r="AD1047" i="9" s="1"/>
  <c r="AD1048" i="9" s="1"/>
  <c r="AD1049" i="9" s="1"/>
  <c r="AD1050" i="9" s="1"/>
  <c r="AD1051" i="9" s="1"/>
  <c r="AD1052" i="9" s="1"/>
  <c r="AD1053" i="9" s="1"/>
  <c r="AD1054" i="9" s="1"/>
  <c r="AD1055" i="9" s="1"/>
  <c r="AD1056" i="9" s="1"/>
  <c r="AD1057" i="9" s="1"/>
  <c r="AD1058" i="9" s="1"/>
  <c r="AD1059" i="9" s="1"/>
  <c r="AD1060" i="9" s="1"/>
  <c r="AD1061" i="9" s="1"/>
  <c r="AD1062" i="9" s="1"/>
  <c r="AD1063" i="9" s="1"/>
  <c r="AD1064" i="9" s="1"/>
  <c r="AD1065" i="9" s="1"/>
  <c r="AD1066" i="9" s="1"/>
  <c r="AD1067" i="9" s="1"/>
  <c r="AD1068" i="9" s="1"/>
  <c r="AD1069" i="9" s="1"/>
  <c r="AD1070" i="9" s="1"/>
  <c r="AD1071" i="9" s="1"/>
  <c r="AD1072" i="9" s="1"/>
  <c r="AD1073" i="9" s="1"/>
  <c r="AD1074" i="9" s="1"/>
  <c r="AD1075" i="9" s="1"/>
  <c r="AD1076" i="9" s="1"/>
  <c r="AD1077" i="9" s="1"/>
  <c r="AD1078" i="9" s="1"/>
  <c r="AD1079" i="9" s="1"/>
  <c r="AD1080" i="9" s="1"/>
  <c r="AD1081" i="9" s="1"/>
  <c r="AD1082" i="9" s="1"/>
  <c r="AD1083" i="9" s="1"/>
  <c r="AD1084" i="9" s="1"/>
  <c r="AD1085" i="9" s="1"/>
  <c r="AD1086" i="9" s="1"/>
  <c r="AD1087" i="9" s="1"/>
  <c r="AD1088" i="9" s="1"/>
  <c r="AD1089" i="9" s="1"/>
  <c r="AD1090" i="9" s="1"/>
  <c r="AD1091" i="9" s="1"/>
  <c r="AD1092" i="9" s="1"/>
  <c r="AD1093" i="9" s="1"/>
  <c r="AD1094" i="9" s="1"/>
  <c r="AD1095" i="9" s="1"/>
  <c r="AD1096" i="9" s="1"/>
  <c r="AD1097" i="9" s="1"/>
  <c r="AD1098" i="9" s="1"/>
  <c r="AD1099" i="9" s="1"/>
  <c r="AD1100" i="9" s="1"/>
  <c r="AD1101" i="9" s="1"/>
  <c r="AD1102" i="9" s="1"/>
  <c r="AD1103" i="9" s="1"/>
  <c r="AD1104" i="9" s="1"/>
  <c r="AD1105" i="9" s="1"/>
  <c r="AD1106" i="9" s="1"/>
  <c r="AD1107" i="9" s="1"/>
  <c r="AD1108" i="9" s="1"/>
  <c r="AD1109" i="9" s="1"/>
  <c r="AD1110" i="9" s="1"/>
  <c r="AD1111" i="9" s="1"/>
  <c r="AD1112" i="9" s="1"/>
  <c r="AD1113" i="9" s="1"/>
  <c r="AD1114" i="9" s="1"/>
  <c r="AD1115" i="9" s="1"/>
  <c r="AD1116" i="9" s="1"/>
  <c r="AD1117" i="9" s="1"/>
  <c r="AD1118" i="9" s="1"/>
  <c r="AD1119" i="9" s="1"/>
  <c r="AD1120" i="9" s="1"/>
  <c r="AD1121" i="9" s="1"/>
  <c r="AD1122" i="9" s="1"/>
  <c r="AD1123" i="9" s="1"/>
  <c r="AD1124" i="9" s="1"/>
  <c r="AD1125" i="9" s="1"/>
  <c r="AD1126" i="9" s="1"/>
  <c r="AD1127" i="9" s="1"/>
  <c r="AD1128" i="9" s="1"/>
  <c r="AD1129" i="9" s="1"/>
  <c r="AD1130" i="9" s="1"/>
  <c r="AD1131" i="9" s="1"/>
  <c r="AD1132" i="9" s="1"/>
  <c r="AD1133" i="9" s="1"/>
  <c r="AD1134" i="9" s="1"/>
  <c r="AD1135" i="9" s="1"/>
  <c r="AD1136" i="9" s="1"/>
  <c r="AD1137" i="9" s="1"/>
  <c r="AD1138" i="9" s="1"/>
  <c r="AD1139" i="9" s="1"/>
  <c r="AD1140" i="9" s="1"/>
  <c r="AD1141" i="9" s="1"/>
  <c r="AD1142" i="9" s="1"/>
  <c r="AD1143" i="9" s="1"/>
  <c r="AD1144" i="9" s="1"/>
  <c r="AD1145" i="9" s="1"/>
  <c r="AD1146" i="9" s="1"/>
  <c r="AD1147" i="9" s="1"/>
  <c r="AD1148" i="9" s="1"/>
  <c r="AD1149" i="9" s="1"/>
  <c r="AD1150" i="9" s="1"/>
  <c r="AD1151" i="9" s="1"/>
  <c r="AD1152" i="9" s="1"/>
  <c r="AD1153" i="9" s="1"/>
  <c r="AD1154" i="9" s="1"/>
  <c r="AD1155" i="9" s="1"/>
  <c r="AD1156" i="9" s="1"/>
  <c r="AD1157" i="9" s="1"/>
  <c r="AD1158" i="9" s="1"/>
  <c r="AD1159" i="9" s="1"/>
  <c r="AD1160" i="9" s="1"/>
  <c r="AD1161" i="9" s="1"/>
  <c r="AD1162" i="9" s="1"/>
  <c r="AD1163" i="9" s="1"/>
  <c r="AD1164" i="9" s="1"/>
  <c r="AD1165" i="9" s="1"/>
  <c r="AD1166" i="9" s="1"/>
  <c r="AD1167" i="9" s="1"/>
  <c r="AD1168" i="9" s="1"/>
  <c r="AD1169" i="9" s="1"/>
  <c r="AD1170" i="9" s="1"/>
  <c r="AD1171" i="9" s="1"/>
  <c r="AD1172" i="9" s="1"/>
  <c r="AD1173" i="9" s="1"/>
  <c r="AD1174" i="9" s="1"/>
  <c r="AD1175" i="9" s="1"/>
  <c r="AD1176" i="9" s="1"/>
  <c r="AD1177" i="9" s="1"/>
  <c r="AD1178" i="9" s="1"/>
  <c r="AD1179" i="9" s="1"/>
  <c r="AD1180" i="9" s="1"/>
  <c r="AD1181" i="9" s="1"/>
  <c r="AD1182" i="9" s="1"/>
  <c r="AD1183" i="9" s="1"/>
  <c r="AD1184" i="9" s="1"/>
  <c r="AD1185" i="9" s="1"/>
  <c r="AD1186" i="9" s="1"/>
  <c r="AD1187" i="9" s="1"/>
  <c r="AD1188" i="9" s="1"/>
  <c r="AD1189" i="9" s="1"/>
  <c r="AD1190" i="9" s="1"/>
  <c r="AD1191" i="9" s="1"/>
  <c r="AD1192" i="9" s="1"/>
  <c r="AD1193" i="9" s="1"/>
  <c r="AD1194" i="9" s="1"/>
  <c r="AD1195" i="9" s="1"/>
  <c r="AD1196" i="9" s="1"/>
  <c r="AD1197" i="9" s="1"/>
  <c r="AD1198" i="9" s="1"/>
  <c r="AD1199" i="9" s="1"/>
  <c r="AD1200" i="9" s="1"/>
  <c r="AD1201" i="9" s="1"/>
  <c r="AD1202" i="9" s="1"/>
  <c r="AD1203" i="9" s="1"/>
  <c r="AD1204" i="9" s="1"/>
  <c r="AD1205" i="9" s="1"/>
  <c r="AD1206" i="9" s="1"/>
  <c r="AD1207" i="9" s="1"/>
  <c r="AD1208" i="9" s="1"/>
  <c r="AD1209" i="9" s="1"/>
  <c r="AD1210" i="9" s="1"/>
  <c r="AD1211" i="9" s="1"/>
  <c r="AD1212" i="9" s="1"/>
  <c r="AD1213" i="9" s="1"/>
  <c r="AD1214" i="9" s="1"/>
  <c r="AD1215" i="9" s="1"/>
  <c r="AD1216" i="9" s="1"/>
  <c r="AD1217" i="9" s="1"/>
  <c r="AD1218" i="9" s="1"/>
  <c r="AD1219" i="9" s="1"/>
  <c r="AD1220" i="9" s="1"/>
  <c r="AD1221" i="9" s="1"/>
  <c r="AD1222" i="9" s="1"/>
  <c r="AD1223" i="9" s="1"/>
  <c r="AD1224" i="9" s="1"/>
  <c r="AD1225" i="9" s="1"/>
  <c r="AD1226" i="9" s="1"/>
  <c r="AD1227" i="9" s="1"/>
  <c r="AD1228" i="9" s="1"/>
  <c r="AD1229" i="9" s="1"/>
  <c r="AD1230" i="9" s="1"/>
  <c r="AD1231" i="9" s="1"/>
  <c r="AD1232" i="9" s="1"/>
  <c r="AD1233" i="9" s="1"/>
  <c r="AD1234" i="9" s="1"/>
  <c r="AD1235" i="9" s="1"/>
  <c r="AD1236" i="9" s="1"/>
  <c r="AD1237" i="9" s="1"/>
  <c r="AD1238" i="9" s="1"/>
  <c r="AD1239" i="9" s="1"/>
  <c r="AD1240" i="9" s="1"/>
  <c r="AD1241" i="9" s="1"/>
  <c r="AD1242" i="9" s="1"/>
  <c r="AD1243" i="9" s="1"/>
  <c r="AD1244" i="9" s="1"/>
  <c r="AD1245" i="9" s="1"/>
  <c r="AD1246" i="9" s="1"/>
  <c r="AD1247" i="9" s="1"/>
  <c r="AD1248" i="9" s="1"/>
  <c r="AD1249" i="9" s="1"/>
  <c r="AD1250" i="9" s="1"/>
  <c r="AD1251" i="9" s="1"/>
  <c r="AD1252" i="9" s="1"/>
  <c r="AD1253" i="9" s="1"/>
  <c r="AD1254" i="9" s="1"/>
  <c r="AD1255" i="9" s="1"/>
  <c r="AD1256" i="9" s="1"/>
  <c r="AD1257" i="9" s="1"/>
  <c r="AD1258" i="9" s="1"/>
  <c r="AD1259" i="9" s="1"/>
  <c r="AD1260" i="9" s="1"/>
  <c r="AD1261" i="9" s="1"/>
  <c r="AD1262" i="9" s="1"/>
  <c r="AD1263" i="9" s="1"/>
  <c r="AD1264" i="9" s="1"/>
  <c r="AD1265" i="9" s="1"/>
  <c r="AD1266" i="9" s="1"/>
  <c r="AD1267" i="9" s="1"/>
  <c r="AD1268" i="9" s="1"/>
  <c r="AD1269" i="9" s="1"/>
  <c r="AD1270" i="9" s="1"/>
  <c r="AD1271" i="9" s="1"/>
  <c r="AD1272" i="9" s="1"/>
  <c r="AD1273" i="9" s="1"/>
  <c r="AD1274" i="9" s="1"/>
  <c r="AD1275" i="9" s="1"/>
  <c r="AD1276" i="9" s="1"/>
  <c r="AD1277" i="9" s="1"/>
  <c r="AD1278" i="9" s="1"/>
  <c r="AD1279" i="9" s="1"/>
  <c r="AD1280" i="9" s="1"/>
  <c r="AD1281" i="9" s="1"/>
  <c r="AD1282" i="9" s="1"/>
  <c r="AD1283" i="9" s="1"/>
  <c r="AD1284" i="9" s="1"/>
  <c r="AD1285" i="9" s="1"/>
  <c r="AD1286" i="9" s="1"/>
  <c r="AD1287" i="9" s="1"/>
  <c r="AD1288" i="9" s="1"/>
  <c r="AD1289" i="9" s="1"/>
  <c r="AD1290" i="9" s="1"/>
  <c r="AD1291" i="9" s="1"/>
  <c r="AD1292" i="9" s="1"/>
  <c r="AD1293" i="9" s="1"/>
  <c r="AD1294" i="9" s="1"/>
  <c r="AD1295" i="9" s="1"/>
  <c r="AD1296" i="9" s="1"/>
  <c r="AD1297" i="9" s="1"/>
  <c r="AD1298" i="9" s="1"/>
  <c r="AD1299" i="9" s="1"/>
  <c r="AD1300" i="9" s="1"/>
  <c r="AD1301" i="9" s="1"/>
  <c r="AD1302" i="9" s="1"/>
  <c r="AD1303" i="9" s="1"/>
  <c r="AD1304" i="9" s="1"/>
  <c r="AD1305" i="9" s="1"/>
  <c r="AD1306" i="9" s="1"/>
  <c r="AD1307" i="9" s="1"/>
  <c r="AD1308" i="9" s="1"/>
  <c r="AD1309" i="9" s="1"/>
  <c r="AD1310" i="9" s="1"/>
  <c r="AD1311" i="9" s="1"/>
  <c r="AD1312" i="9" s="1"/>
  <c r="AD1313" i="9" s="1"/>
  <c r="AD1314" i="9" s="1"/>
  <c r="AD1315" i="9" s="1"/>
  <c r="AD1316" i="9" s="1"/>
  <c r="AD1317" i="9" s="1"/>
  <c r="AD1318" i="9" s="1"/>
  <c r="AD1319" i="9" s="1"/>
  <c r="AD1320" i="9" s="1"/>
  <c r="AD1321" i="9" s="1"/>
  <c r="AD1322" i="9" s="1"/>
  <c r="AD1323" i="9" s="1"/>
  <c r="AD1324" i="9" s="1"/>
  <c r="AD1325" i="9" s="1"/>
  <c r="AD1326" i="9" s="1"/>
  <c r="AD1327" i="9" s="1"/>
  <c r="AD1328" i="9" s="1"/>
  <c r="AD1329" i="9" s="1"/>
  <c r="AD1330" i="9" s="1"/>
  <c r="AD1331" i="9" s="1"/>
  <c r="AD1332" i="9" s="1"/>
  <c r="AD1333" i="9" s="1"/>
  <c r="AD1334" i="9" s="1"/>
  <c r="AD1335" i="9" s="1"/>
  <c r="AD1336" i="9" s="1"/>
  <c r="AD1337" i="9" s="1"/>
  <c r="AD1338" i="9" s="1"/>
  <c r="AD1339" i="9" s="1"/>
  <c r="AD1340" i="9" s="1"/>
  <c r="AD1341" i="9" s="1"/>
  <c r="AD1342" i="9" s="1"/>
  <c r="AD1343" i="9" s="1"/>
  <c r="AD1344" i="9" s="1"/>
  <c r="AD1345" i="9" s="1"/>
  <c r="AD1346" i="9" s="1"/>
  <c r="AD1347" i="9" s="1"/>
  <c r="AD1348" i="9" s="1"/>
  <c r="AD1349" i="9" s="1"/>
  <c r="AD1350" i="9" s="1"/>
  <c r="AD1351" i="9" s="1"/>
  <c r="AD1352" i="9" s="1"/>
  <c r="AD1353" i="9" s="1"/>
  <c r="AD1354" i="9" s="1"/>
  <c r="AD1355" i="9" s="1"/>
  <c r="AD1356" i="9" s="1"/>
  <c r="AD1357" i="9" s="1"/>
  <c r="AD1358" i="9" s="1"/>
  <c r="AD1359" i="9" s="1"/>
  <c r="AD1360" i="9" s="1"/>
  <c r="AD1361" i="9" s="1"/>
  <c r="AD1362" i="9" s="1"/>
  <c r="AD1363" i="9" s="1"/>
  <c r="AD1364" i="9" s="1"/>
  <c r="AD1365" i="9" s="1"/>
  <c r="AD1366" i="9" s="1"/>
  <c r="AD1367" i="9" s="1"/>
  <c r="AD1368" i="9" s="1"/>
  <c r="AD1369" i="9" s="1"/>
  <c r="AD1370" i="9" s="1"/>
  <c r="AD1371" i="9" s="1"/>
  <c r="AD1372" i="9" s="1"/>
  <c r="AD1373" i="9" s="1"/>
  <c r="AD1374" i="9" s="1"/>
  <c r="AD1375" i="9" s="1"/>
  <c r="AD1376" i="9" s="1"/>
  <c r="AD1377" i="9" s="1"/>
  <c r="AD1378" i="9" s="1"/>
  <c r="AD1379" i="9" s="1"/>
  <c r="AD1380" i="9" s="1"/>
  <c r="AD1381" i="9" s="1"/>
  <c r="AD1382" i="9" s="1"/>
  <c r="AD1383" i="9" s="1"/>
  <c r="AD1384" i="9" s="1"/>
  <c r="AD1385" i="9" s="1"/>
  <c r="AD1386" i="9" s="1"/>
  <c r="AD1387" i="9" s="1"/>
  <c r="AD1388" i="9" s="1"/>
  <c r="AD1389" i="9" s="1"/>
  <c r="AD1390" i="9" s="1"/>
  <c r="AD1391" i="9" s="1"/>
  <c r="AD1392" i="9" s="1"/>
  <c r="AD1393" i="9" s="1"/>
  <c r="AD1394" i="9" s="1"/>
  <c r="AD1395" i="9" s="1"/>
  <c r="AD1396" i="9" s="1"/>
  <c r="AD1397" i="9" s="1"/>
  <c r="AD1398" i="9" s="1"/>
  <c r="AD1399" i="9" s="1"/>
  <c r="AD1400" i="9" s="1"/>
  <c r="AD1401" i="9" s="1"/>
  <c r="AD1402" i="9" s="1"/>
  <c r="AD1403" i="9" s="1"/>
  <c r="AD1404" i="9" s="1"/>
  <c r="AD1405" i="9" s="1"/>
  <c r="AD1406" i="9" s="1"/>
  <c r="AD1407" i="9" s="1"/>
  <c r="AD1408" i="9" s="1"/>
  <c r="AD1409" i="9" s="1"/>
  <c r="AD1410" i="9" s="1"/>
  <c r="AD1411" i="9" s="1"/>
  <c r="AD1412" i="9" s="1"/>
  <c r="AD1413" i="9" s="1"/>
  <c r="AD1414" i="9" s="1"/>
  <c r="AD1415" i="9" s="1"/>
  <c r="AD1416" i="9" s="1"/>
  <c r="AD1417" i="9" s="1"/>
  <c r="AD1418" i="9" s="1"/>
  <c r="AD1419" i="9" s="1"/>
  <c r="AD1420" i="9" s="1"/>
  <c r="AD1421" i="9" s="1"/>
  <c r="AD1422" i="9" s="1"/>
  <c r="AD1423" i="9" s="1"/>
  <c r="AD1424" i="9" s="1"/>
  <c r="AD1425" i="9" s="1"/>
  <c r="AD1426" i="9" s="1"/>
  <c r="AD1427" i="9" s="1"/>
  <c r="AD1428" i="9" s="1"/>
  <c r="AD1429" i="9" s="1"/>
  <c r="AD1430" i="9" s="1"/>
  <c r="AD1431" i="9" s="1"/>
  <c r="AD1432" i="9" s="1"/>
  <c r="AD1433" i="9" s="1"/>
  <c r="AD1434" i="9" s="1"/>
  <c r="AD1435" i="9" s="1"/>
  <c r="AD1436" i="9" s="1"/>
  <c r="AD1437" i="9" s="1"/>
  <c r="AD1438" i="9" s="1"/>
  <c r="AD1439" i="9" s="1"/>
  <c r="AD1440" i="9" s="1"/>
  <c r="AD1441" i="9" s="1"/>
  <c r="AD1442" i="9" s="1"/>
  <c r="AD1443" i="9" s="1"/>
  <c r="AD1444" i="9" s="1"/>
  <c r="AD1445" i="9" s="1"/>
  <c r="AD1446" i="9" s="1"/>
  <c r="AD1447" i="9" s="1"/>
  <c r="AD1448" i="9" s="1"/>
  <c r="AD1449" i="9" s="1"/>
  <c r="AD1450" i="9" s="1"/>
  <c r="AD1451" i="9" s="1"/>
  <c r="AD1452" i="9" s="1"/>
  <c r="AD1453" i="9" s="1"/>
  <c r="AD1454" i="9" s="1"/>
  <c r="AD1455" i="9" s="1"/>
  <c r="AD1456" i="9" s="1"/>
  <c r="AD1457" i="9" s="1"/>
  <c r="AD1458" i="9" s="1"/>
  <c r="AD1459" i="9" s="1"/>
  <c r="AD1460" i="9" s="1"/>
  <c r="AD1461" i="9" s="1"/>
  <c r="AD1462" i="9" s="1"/>
  <c r="AD1463" i="9" s="1"/>
  <c r="AD1464" i="9" s="1"/>
  <c r="AD1465" i="9" s="1"/>
  <c r="AD1466" i="9" s="1"/>
  <c r="AD1467" i="9" s="1"/>
  <c r="AD1468" i="9" s="1"/>
  <c r="AD1469" i="9" s="1"/>
  <c r="AD1470" i="9" s="1"/>
  <c r="AD1471" i="9" s="1"/>
  <c r="AD1472" i="9" s="1"/>
  <c r="AD1473" i="9" s="1"/>
  <c r="AD1474" i="9" s="1"/>
  <c r="AD1475" i="9" s="1"/>
  <c r="AD1476" i="9" s="1"/>
  <c r="AD1477" i="9" s="1"/>
  <c r="AD1478" i="9" s="1"/>
  <c r="AD1479" i="9" s="1"/>
  <c r="AD1480" i="9" s="1"/>
  <c r="AD1481" i="9" s="1"/>
  <c r="AD1482" i="9" s="1"/>
  <c r="AD1483" i="9" s="1"/>
  <c r="AD1484" i="9" s="1"/>
  <c r="AD1485" i="9" s="1"/>
  <c r="AD1486" i="9" s="1"/>
  <c r="AD1487" i="9" s="1"/>
  <c r="AD1488" i="9" s="1"/>
  <c r="AD1489" i="9" s="1"/>
  <c r="AD1490" i="9" s="1"/>
  <c r="AD1491" i="9" s="1"/>
  <c r="AD1492" i="9" s="1"/>
  <c r="AD1493" i="9" s="1"/>
  <c r="AD1494" i="9" s="1"/>
  <c r="AD1495" i="9" s="1"/>
  <c r="AD1496" i="9" s="1"/>
  <c r="AD1497" i="9" s="1"/>
  <c r="AD1498" i="9" s="1"/>
  <c r="AD1499" i="9" s="1"/>
  <c r="AD1500" i="9" s="1"/>
  <c r="AD1501" i="9" s="1"/>
  <c r="AD1502" i="9" s="1"/>
  <c r="AD1503" i="9" s="1"/>
  <c r="AD1504" i="9" s="1"/>
  <c r="AD1505" i="9" s="1"/>
  <c r="AD1506" i="9" s="1"/>
  <c r="AD1507" i="9" s="1"/>
  <c r="AD1508" i="9" s="1"/>
  <c r="AD1509" i="9" s="1"/>
  <c r="AD1510" i="9" s="1"/>
  <c r="AD1511" i="9" s="1"/>
  <c r="AD1512" i="9" s="1"/>
  <c r="AD1513" i="9" s="1"/>
  <c r="AD1514" i="9" s="1"/>
  <c r="AD1515" i="9" s="1"/>
  <c r="AD1516" i="9" s="1"/>
  <c r="AD1517" i="9" s="1"/>
  <c r="AD1518" i="9" s="1"/>
  <c r="AD1519" i="9" s="1"/>
  <c r="AD1520" i="9" s="1"/>
  <c r="AD1521" i="9" s="1"/>
  <c r="AD1522" i="9" s="1"/>
  <c r="AD1523" i="9" s="1"/>
  <c r="AD1524" i="9" s="1"/>
  <c r="AD1525" i="9" s="1"/>
  <c r="AD1526" i="9" s="1"/>
  <c r="AD1527" i="9" s="1"/>
  <c r="AD1528" i="9" s="1"/>
  <c r="AD1529" i="9" s="1"/>
  <c r="AD1530" i="9" s="1"/>
  <c r="AD1531" i="9" s="1"/>
  <c r="AD1532" i="9" s="1"/>
  <c r="AD1533" i="9" s="1"/>
  <c r="AD1534" i="9" s="1"/>
  <c r="AD1535" i="9" s="1"/>
  <c r="AD1536" i="9" s="1"/>
  <c r="AD1537" i="9" s="1"/>
  <c r="AD1538" i="9" s="1"/>
  <c r="AD1539" i="9" s="1"/>
  <c r="AD1540" i="9" s="1"/>
  <c r="AD1541" i="9" s="1"/>
  <c r="AD1542" i="9" s="1"/>
  <c r="AD1543" i="9" s="1"/>
  <c r="AD1544" i="9" s="1"/>
  <c r="AD1545" i="9" s="1"/>
  <c r="AD1546" i="9" s="1"/>
  <c r="AD1547" i="9" s="1"/>
  <c r="AD1548" i="9" s="1"/>
  <c r="AD1549" i="9" s="1"/>
  <c r="AD1550" i="9" s="1"/>
  <c r="AD1551" i="9" s="1"/>
  <c r="AD1552" i="9" s="1"/>
  <c r="AD1553" i="9" s="1"/>
  <c r="AD1554" i="9" s="1"/>
  <c r="AD1555" i="9" s="1"/>
  <c r="AD1556" i="9" s="1"/>
  <c r="AD1557" i="9" s="1"/>
  <c r="AD1558" i="9" s="1"/>
  <c r="AD1559" i="9" s="1"/>
  <c r="AD1560" i="9" s="1"/>
  <c r="AD1561" i="9" s="1"/>
  <c r="AD1562" i="9" s="1"/>
  <c r="AD1563" i="9" s="1"/>
  <c r="AD1564" i="9" s="1"/>
  <c r="AD1565" i="9" s="1"/>
  <c r="AD1566" i="9" s="1"/>
  <c r="AD1567" i="9" s="1"/>
  <c r="AD1568" i="9" s="1"/>
  <c r="AD1569" i="9" s="1"/>
  <c r="AD1570" i="9" s="1"/>
  <c r="AD1571" i="9" s="1"/>
  <c r="AD1572" i="9" s="1"/>
  <c r="AD1573" i="9" s="1"/>
  <c r="AD1574" i="9" s="1"/>
  <c r="AD1575" i="9" s="1"/>
  <c r="AD1576" i="9" s="1"/>
  <c r="AD1577" i="9" s="1"/>
  <c r="AD1578" i="9" s="1"/>
  <c r="AD1579" i="9" s="1"/>
  <c r="AD1580" i="9" s="1"/>
  <c r="AD1581" i="9" s="1"/>
  <c r="AD1582" i="9" s="1"/>
  <c r="AD1583" i="9" s="1"/>
  <c r="AD1584" i="9" s="1"/>
  <c r="AD1585" i="9" s="1"/>
  <c r="AD1586" i="9" s="1"/>
  <c r="AD1587" i="9" s="1"/>
  <c r="AD1588" i="9" s="1"/>
  <c r="AD1589" i="9" s="1"/>
  <c r="AD1590" i="9" s="1"/>
  <c r="AD1591" i="9" s="1"/>
  <c r="AD1592" i="9" s="1"/>
  <c r="AD1593" i="9" s="1"/>
  <c r="AD1594" i="9" s="1"/>
  <c r="AD1595" i="9" s="1"/>
  <c r="AD1596" i="9" s="1"/>
  <c r="AD1597" i="9" s="1"/>
  <c r="AD1598" i="9" s="1"/>
  <c r="AD1599" i="9" s="1"/>
  <c r="AD1600" i="9" s="1"/>
  <c r="AD1601" i="9" s="1"/>
  <c r="AD1602" i="9" s="1"/>
  <c r="AD1603" i="9" s="1"/>
  <c r="AD1604" i="9" s="1"/>
  <c r="AD1605" i="9" s="1"/>
  <c r="AD1606" i="9" s="1"/>
  <c r="AD1607" i="9" s="1"/>
  <c r="AD1608" i="9" s="1"/>
  <c r="AD1609" i="9" s="1"/>
  <c r="AD1610" i="9" s="1"/>
  <c r="AD1611" i="9" s="1"/>
  <c r="AD1612" i="9" s="1"/>
  <c r="AD1613" i="9" s="1"/>
  <c r="AD1614" i="9" s="1"/>
  <c r="AD1615" i="9" s="1"/>
  <c r="AD1616" i="9" s="1"/>
  <c r="AD1617" i="9" s="1"/>
  <c r="AD1618" i="9" s="1"/>
  <c r="AD1619" i="9" s="1"/>
  <c r="AD1620" i="9" s="1"/>
  <c r="AD1621" i="9" s="1"/>
  <c r="AD1622" i="9" s="1"/>
  <c r="AD1623" i="9" s="1"/>
  <c r="AD1624" i="9" s="1"/>
  <c r="AD1625" i="9" s="1"/>
  <c r="AD1626" i="9" s="1"/>
  <c r="AD1627" i="9" s="1"/>
  <c r="AD1628" i="9" s="1"/>
  <c r="AD1629" i="9" s="1"/>
  <c r="AD1630" i="9" s="1"/>
  <c r="AD1631" i="9" s="1"/>
  <c r="AD1632" i="9" s="1"/>
  <c r="AD1633" i="9" s="1"/>
  <c r="AD1634" i="9" s="1"/>
  <c r="AD1635" i="9" s="1"/>
  <c r="AD1636" i="9" s="1"/>
  <c r="AD1637" i="9" s="1"/>
  <c r="AD1638" i="9" s="1"/>
  <c r="AD1639" i="9" s="1"/>
  <c r="AD1640" i="9" s="1"/>
  <c r="AD1641" i="9" s="1"/>
  <c r="AD1642" i="9" s="1"/>
  <c r="AD1643" i="9" s="1"/>
  <c r="AD1644" i="9" s="1"/>
  <c r="AD1645" i="9" s="1"/>
  <c r="AD1646" i="9" s="1"/>
  <c r="AD1647" i="9" s="1"/>
  <c r="AD1648" i="9" s="1"/>
  <c r="AD1649" i="9" s="1"/>
  <c r="AD1650" i="9" s="1"/>
  <c r="AD1651" i="9" s="1"/>
  <c r="AD1652" i="9" s="1"/>
  <c r="AD1653" i="9" s="1"/>
  <c r="AD1654" i="9" s="1"/>
  <c r="AD1655" i="9" s="1"/>
  <c r="AD1656" i="9" s="1"/>
  <c r="AD1657" i="9" s="1"/>
  <c r="AD1658" i="9" s="1"/>
  <c r="AD1659" i="9" s="1"/>
  <c r="AD1660" i="9" s="1"/>
  <c r="AD1661" i="9" s="1"/>
  <c r="AD1662" i="9" s="1"/>
  <c r="AD1663" i="9" s="1"/>
  <c r="AD1664" i="9" s="1"/>
  <c r="AD1665" i="9" s="1"/>
  <c r="AD1666" i="9" s="1"/>
  <c r="AD1667" i="9" s="1"/>
  <c r="AD1668" i="9" s="1"/>
  <c r="AD1669" i="9" s="1"/>
  <c r="AD1670" i="9" s="1"/>
  <c r="AD1671" i="9" s="1"/>
  <c r="AD1672" i="9" s="1"/>
  <c r="AD1673" i="9" s="1"/>
  <c r="AD1674" i="9" s="1"/>
  <c r="AD1675" i="9" s="1"/>
  <c r="AD1676" i="9" s="1"/>
  <c r="AD1677" i="9" s="1"/>
  <c r="AD1678" i="9" s="1"/>
  <c r="AD1679" i="9" s="1"/>
  <c r="AD1680" i="9" s="1"/>
  <c r="AD1681" i="9" s="1"/>
  <c r="AD1682" i="9" s="1"/>
  <c r="AD1683" i="9" s="1"/>
  <c r="AD1684" i="9" s="1"/>
  <c r="AD1685" i="9" s="1"/>
  <c r="AD1686" i="9" s="1"/>
  <c r="AD1687" i="9" s="1"/>
  <c r="AD1688" i="9" s="1"/>
  <c r="AD1689" i="9" s="1"/>
  <c r="AD1690" i="9" s="1"/>
  <c r="AD1691" i="9" s="1"/>
  <c r="AD1692" i="9" s="1"/>
  <c r="AD1693" i="9" s="1"/>
  <c r="AD1694" i="9" s="1"/>
  <c r="AD1695" i="9" s="1"/>
  <c r="AD1696" i="9" s="1"/>
  <c r="AD1697" i="9" s="1"/>
  <c r="AD1698" i="9" s="1"/>
  <c r="AD1699" i="9" s="1"/>
  <c r="AD1700" i="9" s="1"/>
  <c r="AD1701" i="9" s="1"/>
  <c r="AD1702" i="9" s="1"/>
  <c r="AD1703" i="9" s="1"/>
  <c r="AD1704" i="9" s="1"/>
  <c r="AD1705" i="9" s="1"/>
  <c r="AD1706" i="9" s="1"/>
  <c r="AD1707" i="9" s="1"/>
  <c r="AD1708" i="9" s="1"/>
  <c r="AD1709" i="9" s="1"/>
  <c r="AD1710" i="9" s="1"/>
  <c r="AD1711" i="9" s="1"/>
  <c r="AD1712" i="9" s="1"/>
  <c r="AD1713" i="9" s="1"/>
  <c r="AD1714" i="9" s="1"/>
  <c r="AD1715" i="9" s="1"/>
  <c r="AD1716" i="9" s="1"/>
  <c r="AD1717" i="9" s="1"/>
  <c r="AD1718" i="9" s="1"/>
  <c r="AD1719" i="9" s="1"/>
  <c r="AD1720" i="9" s="1"/>
  <c r="AD1721" i="9" s="1"/>
  <c r="AD1722" i="9" s="1"/>
  <c r="AD1723" i="9" s="1"/>
  <c r="AD1724" i="9" s="1"/>
  <c r="AD1725" i="9" s="1"/>
  <c r="AD1726" i="9" s="1"/>
  <c r="AD1727" i="9" s="1"/>
  <c r="AD1728" i="9" s="1"/>
  <c r="AD1729" i="9" s="1"/>
  <c r="AD1730" i="9" s="1"/>
  <c r="AD1731" i="9" s="1"/>
  <c r="AD1732" i="9" s="1"/>
  <c r="AD1733" i="9" s="1"/>
  <c r="AD1734" i="9" s="1"/>
  <c r="AD1735" i="9" s="1"/>
  <c r="AD1736" i="9" s="1"/>
  <c r="AD1737" i="9" s="1"/>
  <c r="AD1738" i="9" s="1"/>
  <c r="AD1739" i="9" s="1"/>
  <c r="AD1740" i="9" s="1"/>
  <c r="AD1741" i="9" s="1"/>
  <c r="AD1742" i="9" s="1"/>
  <c r="AD1743" i="9" s="1"/>
  <c r="AD1744" i="9" s="1"/>
  <c r="AD1745" i="9" s="1"/>
  <c r="AD1746" i="9" s="1"/>
  <c r="AD1747" i="9" s="1"/>
  <c r="AD1748" i="9" s="1"/>
  <c r="AD1749" i="9" s="1"/>
  <c r="AD1750" i="9" s="1"/>
  <c r="AD1751" i="9" s="1"/>
  <c r="AD1752" i="9" s="1"/>
  <c r="AD1753" i="9" s="1"/>
  <c r="AD1754" i="9" s="1"/>
  <c r="AD1755" i="9" s="1"/>
  <c r="AD1756" i="9" s="1"/>
  <c r="AD1757" i="9" s="1"/>
  <c r="AD1758" i="9" s="1"/>
  <c r="AD1759" i="9" s="1"/>
  <c r="AD1760" i="9" s="1"/>
  <c r="AD1761" i="9" s="1"/>
  <c r="AD1762" i="9" s="1"/>
  <c r="AD1763" i="9" s="1"/>
  <c r="AD1764" i="9" s="1"/>
  <c r="AD1765" i="9" s="1"/>
  <c r="AD1766" i="9" s="1"/>
  <c r="AD1767" i="9" s="1"/>
  <c r="AD1768" i="9" s="1"/>
  <c r="AD1769" i="9" s="1"/>
  <c r="AD1770" i="9" s="1"/>
  <c r="AD1771" i="9" s="1"/>
  <c r="AD1772" i="9" s="1"/>
  <c r="AD1773" i="9" s="1"/>
  <c r="AD1774" i="9" s="1"/>
  <c r="AD1775" i="9" s="1"/>
  <c r="AD1776" i="9" s="1"/>
  <c r="AD1777" i="9" s="1"/>
  <c r="AD1778" i="9" s="1"/>
  <c r="AD1779" i="9" s="1"/>
  <c r="AD1780" i="9" s="1"/>
  <c r="AD1781" i="9" s="1"/>
  <c r="AD1782" i="9" s="1"/>
  <c r="AD1783" i="9" s="1"/>
  <c r="AD1784" i="9" s="1"/>
  <c r="AD1785" i="9" s="1"/>
  <c r="AD1786" i="9" s="1"/>
  <c r="AD1787" i="9" s="1"/>
  <c r="AD1788" i="9" s="1"/>
  <c r="AD1789" i="9" s="1"/>
  <c r="AD1790" i="9" s="1"/>
  <c r="AD1791" i="9" s="1"/>
  <c r="AD1792" i="9" s="1"/>
  <c r="AD1793" i="9" s="1"/>
  <c r="AD1794" i="9" s="1"/>
  <c r="AD1795" i="9" s="1"/>
  <c r="AD1796" i="9" s="1"/>
  <c r="AD1797" i="9" s="1"/>
  <c r="AD1798" i="9" s="1"/>
  <c r="AD1799" i="9" s="1"/>
  <c r="AD1800" i="9" s="1"/>
  <c r="AD1801" i="9" s="1"/>
  <c r="AD1802" i="9" s="1"/>
  <c r="AD1803" i="9" s="1"/>
  <c r="AD1804" i="9" s="1"/>
  <c r="AD1805" i="9" s="1"/>
  <c r="AD1806" i="9" s="1"/>
  <c r="AD1807" i="9" s="1"/>
  <c r="AD1808" i="9" s="1"/>
  <c r="AD1809" i="9" s="1"/>
  <c r="AD1810" i="9" s="1"/>
  <c r="AD1811" i="9" s="1"/>
  <c r="AD1812" i="9" s="1"/>
  <c r="AD1813" i="9" s="1"/>
  <c r="AD1814" i="9" s="1"/>
  <c r="AD1815" i="9" s="1"/>
  <c r="AD1816" i="9" s="1"/>
  <c r="AD1817" i="9" s="1"/>
  <c r="AD1818" i="9" s="1"/>
  <c r="AD1819" i="9" s="1"/>
  <c r="AD1820" i="9" s="1"/>
  <c r="AD1821" i="9" s="1"/>
  <c r="AD1822" i="9" s="1"/>
  <c r="AD1823" i="9" s="1"/>
  <c r="AD1824" i="9" s="1"/>
  <c r="AD1825" i="9" s="1"/>
  <c r="AD1826" i="9" s="1"/>
  <c r="AD1827" i="9" s="1"/>
  <c r="AD1828" i="9" s="1"/>
  <c r="AD1829" i="9" s="1"/>
  <c r="AD1830" i="9" s="1"/>
  <c r="AD1831" i="9" s="1"/>
  <c r="AD1832" i="9" s="1"/>
  <c r="AD1833" i="9" s="1"/>
  <c r="AD1834" i="9" s="1"/>
  <c r="AD1835" i="9" s="1"/>
  <c r="AD1836" i="9" s="1"/>
  <c r="AD1837" i="9" s="1"/>
  <c r="AD1838" i="9" s="1"/>
  <c r="AD1839" i="9" s="1"/>
  <c r="AD1840" i="9" s="1"/>
  <c r="AD1841" i="9" s="1"/>
  <c r="AD1842" i="9" s="1"/>
  <c r="AD1843" i="9" s="1"/>
  <c r="AD1844" i="9" s="1"/>
  <c r="AD1845" i="9" s="1"/>
  <c r="AD1846" i="9" s="1"/>
  <c r="AD1847" i="9" s="1"/>
  <c r="AD1848" i="9" s="1"/>
  <c r="AD1849" i="9" s="1"/>
  <c r="AD1850" i="9" s="1"/>
  <c r="AD1851" i="9" s="1"/>
  <c r="AD1852" i="9" s="1"/>
  <c r="AD1853" i="9" s="1"/>
  <c r="AD1854" i="9" s="1"/>
  <c r="AD1855" i="9" s="1"/>
  <c r="AD1856" i="9" s="1"/>
  <c r="AD1857" i="9" s="1"/>
  <c r="AD1858" i="9" s="1"/>
  <c r="AD1859" i="9" s="1"/>
  <c r="AD1860" i="9" s="1"/>
  <c r="AD1861" i="9" s="1"/>
  <c r="AD1862" i="9" s="1"/>
  <c r="AD1863" i="9" s="1"/>
  <c r="AD1864" i="9" s="1"/>
  <c r="AD1865" i="9" s="1"/>
  <c r="AD1866" i="9" s="1"/>
  <c r="AD1867" i="9" s="1"/>
  <c r="AD1868" i="9" s="1"/>
  <c r="AD1869" i="9" s="1"/>
  <c r="AD1870" i="9" s="1"/>
  <c r="AD1871" i="9" s="1"/>
  <c r="AD1872" i="9" s="1"/>
  <c r="AD1873" i="9" s="1"/>
  <c r="AD1874" i="9" s="1"/>
  <c r="AD1875" i="9" s="1"/>
  <c r="AD1876" i="9" s="1"/>
  <c r="AD1877" i="9" s="1"/>
  <c r="AD1878" i="9" s="1"/>
  <c r="AD1879" i="9" s="1"/>
  <c r="AD1880" i="9" s="1"/>
  <c r="AD1881" i="9" s="1"/>
  <c r="AD1882" i="9" s="1"/>
  <c r="AD1883" i="9" s="1"/>
  <c r="AD1884" i="9" s="1"/>
  <c r="AD1885" i="9" s="1"/>
  <c r="AD1886" i="9" s="1"/>
  <c r="AD1887" i="9" s="1"/>
  <c r="AD1888" i="9" s="1"/>
  <c r="AD1889" i="9" s="1"/>
  <c r="AD1890" i="9" s="1"/>
  <c r="AD1891" i="9" s="1"/>
  <c r="AD1892" i="9" s="1"/>
  <c r="AD1893" i="9" s="1"/>
  <c r="AD1894" i="9" s="1"/>
  <c r="AD1895" i="9" s="1"/>
  <c r="AD1896" i="9" s="1"/>
  <c r="AD1897" i="9" s="1"/>
  <c r="AD1898" i="9" s="1"/>
  <c r="AD1899" i="9" s="1"/>
  <c r="AD1900" i="9" s="1"/>
  <c r="AD1901" i="9" s="1"/>
  <c r="AD1902" i="9" s="1"/>
  <c r="AD1903" i="9" s="1"/>
  <c r="AD1904" i="9" s="1"/>
  <c r="AD1905" i="9" s="1"/>
  <c r="AD1906" i="9" s="1"/>
  <c r="AD1907" i="9" s="1"/>
  <c r="AD1908" i="9" s="1"/>
  <c r="AD1909" i="9" s="1"/>
  <c r="AD1910" i="9" s="1"/>
  <c r="AD1911" i="9" s="1"/>
  <c r="AD1912" i="9" s="1"/>
  <c r="AD1913" i="9" s="1"/>
  <c r="AD1914" i="9" s="1"/>
  <c r="AD1915" i="9" s="1"/>
  <c r="AD1916" i="9" s="1"/>
  <c r="AD1917" i="9" s="1"/>
  <c r="AD1918" i="9" s="1"/>
  <c r="AD1919" i="9" s="1"/>
  <c r="AD1920" i="9" s="1"/>
  <c r="AD1921" i="9" s="1"/>
  <c r="AD1922" i="9" s="1"/>
  <c r="AD1923" i="9" s="1"/>
  <c r="AD1924" i="9" s="1"/>
  <c r="AD1925" i="9" s="1"/>
  <c r="AD1926" i="9" s="1"/>
  <c r="AD1927" i="9" s="1"/>
  <c r="AD1928" i="9" s="1"/>
  <c r="AD1929" i="9" s="1"/>
  <c r="AD1930" i="9" s="1"/>
  <c r="AD1931" i="9" s="1"/>
  <c r="AD1932" i="9" s="1"/>
  <c r="AD1933" i="9" s="1"/>
  <c r="AD1934" i="9" s="1"/>
  <c r="AD1935" i="9" s="1"/>
  <c r="AD1936" i="9" s="1"/>
  <c r="AD1937" i="9" s="1"/>
  <c r="AD1938" i="9" s="1"/>
  <c r="AD1939" i="9" s="1"/>
  <c r="AD1940" i="9" s="1"/>
  <c r="AD1941" i="9" s="1"/>
  <c r="AD1942" i="9" s="1"/>
  <c r="AD1943" i="9" s="1"/>
  <c r="AD1944" i="9" s="1"/>
  <c r="AD1945" i="9" s="1"/>
  <c r="AD1946" i="9" s="1"/>
  <c r="AD1947" i="9" s="1"/>
  <c r="AD1948" i="9" s="1"/>
  <c r="AD1949" i="9" s="1"/>
  <c r="AD1950" i="9" s="1"/>
  <c r="AD1951" i="9" s="1"/>
  <c r="AD1952" i="9" s="1"/>
  <c r="AD1953" i="9" s="1"/>
  <c r="AD1954" i="9" s="1"/>
  <c r="AD1955" i="9" s="1"/>
  <c r="AD1956" i="9" s="1"/>
  <c r="AD1957" i="9" s="1"/>
  <c r="AD1958" i="9" s="1"/>
  <c r="AD1959" i="9" s="1"/>
  <c r="AD1960" i="9" s="1"/>
  <c r="AD1961" i="9" s="1"/>
  <c r="AD1962" i="9" s="1"/>
  <c r="AD1963" i="9" s="1"/>
  <c r="AD1964" i="9" s="1"/>
  <c r="AD1965" i="9" s="1"/>
  <c r="AD1966" i="9" s="1"/>
  <c r="AD1967" i="9" s="1"/>
  <c r="AD1968" i="9" s="1"/>
  <c r="AD1969" i="9" s="1"/>
  <c r="AD1970" i="9" s="1"/>
  <c r="AD1971" i="9" s="1"/>
  <c r="AD1972" i="9" s="1"/>
  <c r="AD1973" i="9" s="1"/>
  <c r="AD1974" i="9" s="1"/>
  <c r="AD1975" i="9" s="1"/>
  <c r="AD1976" i="9" s="1"/>
  <c r="AD1977" i="9" s="1"/>
  <c r="AD1978" i="9" s="1"/>
  <c r="AD1979" i="9" s="1"/>
  <c r="AD1980" i="9" s="1"/>
  <c r="AD1981" i="9" s="1"/>
  <c r="AD1982" i="9" s="1"/>
  <c r="AD1983" i="9" s="1"/>
  <c r="AD1984" i="9" s="1"/>
  <c r="AD1985" i="9" s="1"/>
  <c r="AD1986" i="9" s="1"/>
  <c r="AD1987" i="9" s="1"/>
  <c r="AD1988" i="9" s="1"/>
  <c r="AD1989" i="9" s="1"/>
  <c r="AD1990" i="9" s="1"/>
  <c r="AD1991" i="9" s="1"/>
  <c r="AD1992" i="9" s="1"/>
  <c r="AD1993" i="9" s="1"/>
  <c r="AD1994" i="9" s="1"/>
  <c r="AD1995" i="9" s="1"/>
  <c r="AD1996" i="9" s="1"/>
  <c r="AD1997" i="9" s="1"/>
  <c r="AD1998" i="9" s="1"/>
  <c r="AD1999" i="9" s="1"/>
  <c r="AD2000" i="9" s="1"/>
  <c r="AD2001" i="9" s="1"/>
  <c r="AD2002" i="9" s="1"/>
  <c r="AD2003" i="9" s="1"/>
  <c r="AD2004" i="9" s="1"/>
  <c r="AD2005" i="9" s="1"/>
  <c r="AD2006" i="9" s="1"/>
  <c r="AD2007" i="9" s="1"/>
  <c r="AD2008" i="9" s="1"/>
  <c r="AD2009" i="9" s="1"/>
  <c r="AD2010" i="9" s="1"/>
  <c r="AD2011" i="9" s="1"/>
  <c r="AD2012" i="9" s="1"/>
  <c r="AD2013" i="9" s="1"/>
  <c r="AD2014" i="9" s="1"/>
  <c r="AD2015" i="9" s="1"/>
  <c r="AD2016" i="9" s="1"/>
  <c r="AD2017" i="9" s="1"/>
  <c r="AD2018" i="9" s="1"/>
  <c r="AD2019" i="9" s="1"/>
  <c r="AD2020" i="9" s="1"/>
  <c r="AD2021" i="9" s="1"/>
  <c r="AD2022" i="9" s="1"/>
  <c r="AD2023" i="9" s="1"/>
  <c r="AD2024" i="9" s="1"/>
  <c r="AD2025" i="9" s="1"/>
  <c r="AD2026" i="9" s="1"/>
  <c r="AD2027" i="9" s="1"/>
  <c r="AD2028" i="9" s="1"/>
  <c r="AD2029" i="9" s="1"/>
  <c r="AD2030" i="9" s="1"/>
  <c r="AD2031" i="9" s="1"/>
  <c r="AD2032" i="9" s="1"/>
  <c r="AD2033" i="9" s="1"/>
  <c r="P688" i="5"/>
  <c r="M689" i="5" s="1"/>
  <c r="N689" i="5" s="1"/>
  <c r="O689" i="5" s="1"/>
  <c r="P748" i="5"/>
  <c r="M749" i="5" s="1"/>
  <c r="P868" i="5"/>
  <c r="M869" i="5" s="1"/>
  <c r="N627" i="5"/>
  <c r="O627" i="5" s="1"/>
  <c r="P627" i="5"/>
  <c r="M628" i="5" s="1"/>
  <c r="N688" i="5"/>
  <c r="O688" i="5" s="1"/>
  <c r="N1107" i="5"/>
  <c r="O1107" i="5" s="1"/>
  <c r="P1107" i="5" s="1"/>
  <c r="M1108" i="5" s="1"/>
  <c r="N1108" i="5" s="1"/>
  <c r="O1108" i="5" s="1"/>
  <c r="P1108" i="5" s="1"/>
  <c r="M1109" i="5" s="1"/>
  <c r="N1109" i="5" s="1"/>
  <c r="O1109" i="5" s="1"/>
  <c r="P1109" i="5" s="1"/>
  <c r="M1110" i="5" s="1"/>
  <c r="N449" i="5"/>
  <c r="O449" i="5" s="1"/>
  <c r="P449" i="5" s="1"/>
  <c r="M450" i="5" s="1"/>
  <c r="N989" i="5"/>
  <c r="O989" i="5" s="1"/>
  <c r="P989" i="5"/>
  <c r="M990" i="5" s="1"/>
  <c r="N929" i="5"/>
  <c r="O929" i="5" s="1"/>
  <c r="P929" i="5" s="1"/>
  <c r="M930" i="5" s="1"/>
  <c r="N809" i="5"/>
  <c r="O809" i="5" s="1"/>
  <c r="P809" i="5" s="1"/>
  <c r="M810" i="5" s="1"/>
  <c r="N869" i="5"/>
  <c r="O869" i="5" s="1"/>
  <c r="P869" i="5"/>
  <c r="M870" i="5" s="1"/>
  <c r="N1168" i="5"/>
  <c r="O1168" i="5" s="1"/>
  <c r="P1168" i="5" s="1"/>
  <c r="M1169" i="5" s="1"/>
  <c r="N1228" i="5"/>
  <c r="O1228" i="5" s="1"/>
  <c r="P1228" i="5"/>
  <c r="M1229" i="5" s="1"/>
  <c r="N749" i="5"/>
  <c r="O749" i="5" s="1"/>
  <c r="P749" i="5" s="1"/>
  <c r="M750" i="5" s="1"/>
  <c r="N1289" i="5"/>
  <c r="O1289" i="5" s="1"/>
  <c r="P1289" i="5" s="1"/>
  <c r="M1290" i="5" s="1"/>
  <c r="N5" i="5"/>
  <c r="O5" i="5" s="1"/>
  <c r="P5" i="5" s="1"/>
  <c r="M6" i="5" s="1"/>
  <c r="N329" i="5"/>
  <c r="O329" i="5" s="1"/>
  <c r="P329" i="5"/>
  <c r="M330" i="5" s="1"/>
  <c r="N569" i="5"/>
  <c r="O569" i="5" s="1"/>
  <c r="P569" i="5" s="1"/>
  <c r="M570" i="5" s="1"/>
  <c r="N1049" i="5"/>
  <c r="O1049" i="5" s="1"/>
  <c r="P1049" i="5" s="1"/>
  <c r="M1050" i="5" s="1"/>
  <c r="N245" i="5"/>
  <c r="O245" i="5" s="1"/>
  <c r="P245" i="5" s="1"/>
  <c r="M246" i="5" s="1"/>
  <c r="N413" i="5"/>
  <c r="O413" i="5" s="1"/>
  <c r="P413" i="5"/>
  <c r="M414" i="5" s="1"/>
  <c r="N509" i="5"/>
  <c r="O509" i="5" s="1"/>
  <c r="P509" i="5" s="1"/>
  <c r="M510" i="5" s="1"/>
  <c r="AC5" i="9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N628" i="5" l="1"/>
  <c r="O628" i="5" s="1"/>
  <c r="P628" i="5"/>
  <c r="M629" i="5" s="1"/>
  <c r="N629" i="5" s="1"/>
  <c r="O629" i="5" s="1"/>
  <c r="P629" i="5" s="1"/>
  <c r="M630" i="5" s="1"/>
  <c r="N630" i="5" s="1"/>
  <c r="O630" i="5" s="1"/>
  <c r="P689" i="5"/>
  <c r="M690" i="5" s="1"/>
  <c r="N570" i="5"/>
  <c r="O570" i="5" s="1"/>
  <c r="P570" i="5" s="1"/>
  <c r="M571" i="5" s="1"/>
  <c r="N750" i="5"/>
  <c r="O750" i="5" s="1"/>
  <c r="P750" i="5"/>
  <c r="M751" i="5" s="1"/>
  <c r="N1110" i="5"/>
  <c r="O1110" i="5" s="1"/>
  <c r="P1110" i="5" s="1"/>
  <c r="M1111" i="5" s="1"/>
  <c r="N810" i="5"/>
  <c r="O810" i="5" s="1"/>
  <c r="P810" i="5"/>
  <c r="M811" i="5" s="1"/>
  <c r="N6" i="5"/>
  <c r="O6" i="5" s="1"/>
  <c r="P6" i="5" s="1"/>
  <c r="M7" i="5" s="1"/>
  <c r="N1169" i="5"/>
  <c r="O1169" i="5" s="1"/>
  <c r="P1169" i="5" s="1"/>
  <c r="M1170" i="5" s="1"/>
  <c r="N510" i="5"/>
  <c r="O510" i="5" s="1"/>
  <c r="P510" i="5" s="1"/>
  <c r="M511" i="5" s="1"/>
  <c r="N246" i="5"/>
  <c r="O246" i="5" s="1"/>
  <c r="P246" i="5" s="1"/>
  <c r="M247" i="5" s="1"/>
  <c r="N450" i="5"/>
  <c r="O450" i="5" s="1"/>
  <c r="P450" i="5"/>
  <c r="M451" i="5" s="1"/>
  <c r="N1050" i="5"/>
  <c r="O1050" i="5" s="1"/>
  <c r="P1050" i="5" s="1"/>
  <c r="M1051" i="5" s="1"/>
  <c r="N690" i="5"/>
  <c r="O690" i="5" s="1"/>
  <c r="P690" i="5"/>
  <c r="M691" i="5" s="1"/>
  <c r="N1290" i="5"/>
  <c r="O1290" i="5" s="1"/>
  <c r="P1290" i="5" s="1"/>
  <c r="M1291" i="5" s="1"/>
  <c r="N930" i="5"/>
  <c r="O930" i="5" s="1"/>
  <c r="P930" i="5" s="1"/>
  <c r="M931" i="5" s="1"/>
  <c r="N1229" i="5"/>
  <c r="O1229" i="5" s="1"/>
  <c r="P1229" i="5" s="1"/>
  <c r="M1230" i="5" s="1"/>
  <c r="N990" i="5"/>
  <c r="O990" i="5" s="1"/>
  <c r="P990" i="5" s="1"/>
  <c r="M991" i="5" s="1"/>
  <c r="N330" i="5"/>
  <c r="O330" i="5" s="1"/>
  <c r="P330" i="5" s="1"/>
  <c r="M331" i="5" s="1"/>
  <c r="N414" i="5"/>
  <c r="O414" i="5" s="1"/>
  <c r="P414" i="5"/>
  <c r="M415" i="5" s="1"/>
  <c r="N870" i="5"/>
  <c r="O870" i="5" s="1"/>
  <c r="P870" i="5" s="1"/>
  <c r="M871" i="5" s="1"/>
  <c r="AC6" i="9"/>
  <c r="AC7" i="9" s="1"/>
  <c r="AC8" i="9" s="1"/>
  <c r="AC9" i="9" s="1"/>
  <c r="AC10" i="9" s="1"/>
  <c r="AC11" i="9" s="1"/>
  <c r="AC12" i="9" s="1"/>
  <c r="P630" i="5" l="1"/>
  <c r="M631" i="5" s="1"/>
  <c r="N1051" i="5"/>
  <c r="O1051" i="5" s="1"/>
  <c r="P1051" i="5" s="1"/>
  <c r="M1052" i="5" s="1"/>
  <c r="N1111" i="5"/>
  <c r="O1111" i="5" s="1"/>
  <c r="P1111" i="5"/>
  <c r="M1112" i="5" s="1"/>
  <c r="N7" i="5"/>
  <c r="O7" i="5" s="1"/>
  <c r="P7" i="5" s="1"/>
  <c r="M8" i="5" s="1"/>
  <c r="N1291" i="5"/>
  <c r="O1291" i="5" s="1"/>
  <c r="P1291" i="5" s="1"/>
  <c r="M1292" i="5" s="1"/>
  <c r="N1230" i="5"/>
  <c r="O1230" i="5" s="1"/>
  <c r="P1230" i="5" s="1"/>
  <c r="M1231" i="5" s="1"/>
  <c r="N871" i="5"/>
  <c r="O871" i="5" s="1"/>
  <c r="P871" i="5"/>
  <c r="M872" i="5" s="1"/>
  <c r="N1170" i="5"/>
  <c r="O1170" i="5" s="1"/>
  <c r="P1170" i="5" s="1"/>
  <c r="M1171" i="5" s="1"/>
  <c r="N247" i="5"/>
  <c r="O247" i="5" s="1"/>
  <c r="P247" i="5"/>
  <c r="M248" i="5" s="1"/>
  <c r="N331" i="5"/>
  <c r="O331" i="5" s="1"/>
  <c r="P331" i="5" s="1"/>
  <c r="M332" i="5" s="1"/>
  <c r="N571" i="5"/>
  <c r="O571" i="5" s="1"/>
  <c r="P571" i="5" s="1"/>
  <c r="M572" i="5" s="1"/>
  <c r="N511" i="5"/>
  <c r="O511" i="5" s="1"/>
  <c r="P511" i="5" s="1"/>
  <c r="M512" i="5" s="1"/>
  <c r="N811" i="5"/>
  <c r="O811" i="5" s="1"/>
  <c r="P811" i="5" s="1"/>
  <c r="M812" i="5" s="1"/>
  <c r="N415" i="5"/>
  <c r="O415" i="5" s="1"/>
  <c r="P415" i="5" s="1"/>
  <c r="M416" i="5" s="1"/>
  <c r="N631" i="5"/>
  <c r="O631" i="5" s="1"/>
  <c r="P631" i="5"/>
  <c r="M632" i="5" s="1"/>
  <c r="N751" i="5"/>
  <c r="O751" i="5" s="1"/>
  <c r="P751" i="5" s="1"/>
  <c r="M752" i="5" s="1"/>
  <c r="N691" i="5"/>
  <c r="O691" i="5" s="1"/>
  <c r="P691" i="5"/>
  <c r="M692" i="5" s="1"/>
  <c r="N931" i="5"/>
  <c r="O931" i="5" s="1"/>
  <c r="P931" i="5" s="1"/>
  <c r="M932" i="5" s="1"/>
  <c r="N991" i="5"/>
  <c r="O991" i="5" s="1"/>
  <c r="P991" i="5"/>
  <c r="M992" i="5" s="1"/>
  <c r="N451" i="5"/>
  <c r="O451" i="5" s="1"/>
  <c r="P451" i="5" s="1"/>
  <c r="M452" i="5" s="1"/>
  <c r="AC13" i="9"/>
  <c r="N1231" i="5" l="1"/>
  <c r="O1231" i="5" s="1"/>
  <c r="P1231" i="5" s="1"/>
  <c r="M1232" i="5" s="1"/>
  <c r="N8" i="5"/>
  <c r="O8" i="5" s="1"/>
  <c r="P8" i="5" s="1"/>
  <c r="M9" i="5" s="1"/>
  <c r="N752" i="5"/>
  <c r="O752" i="5" s="1"/>
  <c r="P752" i="5" s="1"/>
  <c r="M753" i="5" s="1"/>
  <c r="N416" i="5"/>
  <c r="O416" i="5" s="1"/>
  <c r="P416" i="5"/>
  <c r="M417" i="5" s="1"/>
  <c r="N452" i="5"/>
  <c r="O452" i="5" s="1"/>
  <c r="P452" i="5" s="1"/>
  <c r="M453" i="5" s="1"/>
  <c r="N1171" i="5"/>
  <c r="O1171" i="5" s="1"/>
  <c r="P1171" i="5"/>
  <c r="M1172" i="5" s="1"/>
  <c r="N512" i="5"/>
  <c r="O512" i="5" s="1"/>
  <c r="P512" i="5" s="1"/>
  <c r="M513" i="5" s="1"/>
  <c r="N332" i="5"/>
  <c r="O332" i="5" s="1"/>
  <c r="P332" i="5"/>
  <c r="M333" i="5" s="1"/>
  <c r="N932" i="5"/>
  <c r="O932" i="5" s="1"/>
  <c r="P932" i="5" s="1"/>
  <c r="M933" i="5" s="1"/>
  <c r="N1052" i="5"/>
  <c r="O1052" i="5" s="1"/>
  <c r="P1052" i="5" s="1"/>
  <c r="M1053" i="5" s="1"/>
  <c r="N248" i="5"/>
  <c r="O248" i="5" s="1"/>
  <c r="P248" i="5" s="1"/>
  <c r="M249" i="5" s="1"/>
  <c r="N812" i="5"/>
  <c r="O812" i="5" s="1"/>
  <c r="P812" i="5"/>
  <c r="M813" i="5" s="1"/>
  <c r="N1292" i="5"/>
  <c r="O1292" i="5" s="1"/>
  <c r="P1292" i="5" s="1"/>
  <c r="M1293" i="5" s="1"/>
  <c r="N992" i="5"/>
  <c r="O992" i="5" s="1"/>
  <c r="P992" i="5"/>
  <c r="M993" i="5" s="1"/>
  <c r="N1112" i="5"/>
  <c r="O1112" i="5" s="1"/>
  <c r="P1112" i="5" s="1"/>
  <c r="M1113" i="5" s="1"/>
  <c r="N572" i="5"/>
  <c r="O572" i="5" s="1"/>
  <c r="P572" i="5" s="1"/>
  <c r="M573" i="5" s="1"/>
  <c r="N692" i="5"/>
  <c r="O692" i="5" s="1"/>
  <c r="P692" i="5" s="1"/>
  <c r="M693" i="5" s="1"/>
  <c r="N632" i="5"/>
  <c r="O632" i="5" s="1"/>
  <c r="P632" i="5" s="1"/>
  <c r="M633" i="5" s="1"/>
  <c r="N872" i="5"/>
  <c r="O872" i="5" s="1"/>
  <c r="P872" i="5" s="1"/>
  <c r="M873" i="5" s="1"/>
  <c r="AC14" i="9"/>
  <c r="AC15" i="9" s="1"/>
  <c r="AC16" i="9" s="1"/>
  <c r="AC17" i="9" s="1"/>
  <c r="AC18" i="9" s="1"/>
  <c r="AC19" i="9" s="1"/>
  <c r="AC20" i="9" s="1"/>
  <c r="AC21" i="9" s="1"/>
  <c r="AC22" i="9" s="1"/>
  <c r="AC23" i="9" s="1"/>
  <c r="AC24" i="9" l="1"/>
  <c r="AC25" i="9" s="1"/>
  <c r="AC26" i="9" s="1"/>
  <c r="AC27" i="9" s="1"/>
  <c r="AC28" i="9" s="1"/>
  <c r="AC29" i="9" s="1"/>
  <c r="AC30" i="9" s="1"/>
  <c r="AC31" i="9" s="1"/>
  <c r="AC32" i="9" s="1"/>
  <c r="AC33" i="9" s="1"/>
  <c r="AC34" i="9" s="1"/>
  <c r="AC35" i="9" s="1"/>
  <c r="AC36" i="9" s="1"/>
  <c r="N249" i="5"/>
  <c r="O249" i="5" s="1"/>
  <c r="P249" i="5"/>
  <c r="M250" i="5" s="1"/>
  <c r="N453" i="5"/>
  <c r="O453" i="5" s="1"/>
  <c r="P453" i="5"/>
  <c r="M454" i="5" s="1"/>
  <c r="N693" i="5"/>
  <c r="O693" i="5" s="1"/>
  <c r="P693" i="5" s="1"/>
  <c r="M694" i="5" s="1"/>
  <c r="N1113" i="5"/>
  <c r="O1113" i="5" s="1"/>
  <c r="P1113" i="5" s="1"/>
  <c r="M1114" i="5" s="1"/>
  <c r="N933" i="5"/>
  <c r="O933" i="5" s="1"/>
  <c r="P933" i="5" s="1"/>
  <c r="M934" i="5" s="1"/>
  <c r="N873" i="5"/>
  <c r="O873" i="5" s="1"/>
  <c r="P873" i="5" s="1"/>
  <c r="M874" i="5" s="1"/>
  <c r="N1293" i="5"/>
  <c r="O1293" i="5" s="1"/>
  <c r="P1293" i="5" s="1"/>
  <c r="M1294" i="5" s="1"/>
  <c r="N1232" i="5"/>
  <c r="O1232" i="5" s="1"/>
  <c r="P1232" i="5"/>
  <c r="M1233" i="5" s="1"/>
  <c r="N753" i="5"/>
  <c r="O753" i="5" s="1"/>
  <c r="P753" i="5" s="1"/>
  <c r="M754" i="5" s="1"/>
  <c r="N513" i="5"/>
  <c r="O513" i="5" s="1"/>
  <c r="P513" i="5"/>
  <c r="M514" i="5" s="1"/>
  <c r="N813" i="5"/>
  <c r="O813" i="5" s="1"/>
  <c r="P813" i="5" s="1"/>
  <c r="M814" i="5" s="1"/>
  <c r="N417" i="5"/>
  <c r="O417" i="5" s="1"/>
  <c r="P417" i="5"/>
  <c r="M418" i="5" s="1"/>
  <c r="N573" i="5"/>
  <c r="O573" i="5" s="1"/>
  <c r="P573" i="5" s="1"/>
  <c r="M574" i="5" s="1"/>
  <c r="N9" i="5"/>
  <c r="O9" i="5" s="1"/>
  <c r="P9" i="5" s="1"/>
  <c r="M10" i="5" s="1"/>
  <c r="N633" i="5"/>
  <c r="O633" i="5" s="1"/>
  <c r="P633" i="5" s="1"/>
  <c r="M634" i="5" s="1"/>
  <c r="N1053" i="5"/>
  <c r="O1053" i="5" s="1"/>
  <c r="P1053" i="5"/>
  <c r="M1054" i="5" s="1"/>
  <c r="N333" i="5"/>
  <c r="O333" i="5" s="1"/>
  <c r="P333" i="5"/>
  <c r="M334" i="5" s="1"/>
  <c r="N993" i="5"/>
  <c r="O993" i="5" s="1"/>
  <c r="P993" i="5" s="1"/>
  <c r="M994" i="5" s="1"/>
  <c r="N1172" i="5"/>
  <c r="O1172" i="5" s="1"/>
  <c r="P1172" i="5" s="1"/>
  <c r="M1173" i="5" s="1"/>
  <c r="AC37" i="9" l="1"/>
  <c r="AC38" i="9" s="1"/>
  <c r="AC39" i="9" s="1"/>
  <c r="AC40" i="9" s="1"/>
  <c r="AC41" i="9" s="1"/>
  <c r="AC42" i="9" s="1"/>
  <c r="AC43" i="9" s="1"/>
  <c r="AC44" i="9" s="1"/>
  <c r="AC45" i="9" s="1"/>
  <c r="AC46" i="9" s="1"/>
  <c r="AC47" i="9" s="1"/>
  <c r="AC48" i="9" s="1"/>
  <c r="AC49" i="9" s="1"/>
  <c r="AC50" i="9" s="1"/>
  <c r="AC51" i="9" s="1"/>
  <c r="AC52" i="9" s="1"/>
  <c r="AC53" i="9" s="1"/>
  <c r="AC54" i="9" s="1"/>
  <c r="AC55" i="9" s="1"/>
  <c r="AC56" i="9" s="1"/>
  <c r="AC57" i="9" s="1"/>
  <c r="AC58" i="9" s="1"/>
  <c r="AC59" i="9" s="1"/>
  <c r="AC60" i="9" s="1"/>
  <c r="AC61" i="9" s="1"/>
  <c r="AC62" i="9" s="1"/>
  <c r="AC63" i="9" s="1"/>
  <c r="AC64" i="9" s="1"/>
  <c r="AC65" i="9" s="1"/>
  <c r="AC66" i="9" s="1"/>
  <c r="AC67" i="9" s="1"/>
  <c r="AC68" i="9" s="1"/>
  <c r="AC69" i="9" s="1"/>
  <c r="AC70" i="9" s="1"/>
  <c r="AC71" i="9" s="1"/>
  <c r="AC72" i="9" s="1"/>
  <c r="AC73" i="9" s="1"/>
  <c r="AC74" i="9" s="1"/>
  <c r="AC75" i="9" s="1"/>
  <c r="AC76" i="9" s="1"/>
  <c r="AC77" i="9" s="1"/>
  <c r="AC78" i="9" s="1"/>
  <c r="AC79" i="9" s="1"/>
  <c r="AC80" i="9" s="1"/>
  <c r="AC81" i="9" s="1"/>
  <c r="AC82" i="9" s="1"/>
  <c r="AC83" i="9" s="1"/>
  <c r="AC84" i="9" s="1"/>
  <c r="AC85" i="9" s="1"/>
  <c r="AC86" i="9" s="1"/>
  <c r="AC87" i="9" s="1"/>
  <c r="AC88" i="9" s="1"/>
  <c r="AC89" i="9" s="1"/>
  <c r="AC90" i="9" s="1"/>
  <c r="AC91" i="9" s="1"/>
  <c r="AC92" i="9" s="1"/>
  <c r="AC93" i="9" s="1"/>
  <c r="AC94" i="9" s="1"/>
  <c r="AC95" i="9" s="1"/>
  <c r="AC96" i="9" s="1"/>
  <c r="AC97" i="9" s="1"/>
  <c r="AC98" i="9" s="1"/>
  <c r="AC99" i="9" s="1"/>
  <c r="AC100" i="9" s="1"/>
  <c r="AC101" i="9" s="1"/>
  <c r="AC102" i="9" s="1"/>
  <c r="AC103" i="9" s="1"/>
  <c r="AC104" i="9" s="1"/>
  <c r="AC105" i="9" s="1"/>
  <c r="AC106" i="9" s="1"/>
  <c r="AC107" i="9" s="1"/>
  <c r="AC108" i="9" s="1"/>
  <c r="AC109" i="9" s="1"/>
  <c r="AC110" i="9" s="1"/>
  <c r="AC111" i="9" s="1"/>
  <c r="AC112" i="9" s="1"/>
  <c r="AC113" i="9" s="1"/>
  <c r="AC114" i="9" s="1"/>
  <c r="AC115" i="9" s="1"/>
  <c r="AC116" i="9" s="1"/>
  <c r="AC117" i="9" s="1"/>
  <c r="AC118" i="9" s="1"/>
  <c r="AC119" i="9" s="1"/>
  <c r="AC120" i="9" s="1"/>
  <c r="AC121" i="9" s="1"/>
  <c r="AC122" i="9" s="1"/>
  <c r="AC123" i="9" s="1"/>
  <c r="AC124" i="9" s="1"/>
  <c r="AC125" i="9" s="1"/>
  <c r="AC126" i="9" s="1"/>
  <c r="AC127" i="9" s="1"/>
  <c r="AC128" i="9" s="1"/>
  <c r="AC129" i="9" s="1"/>
  <c r="AC130" i="9" s="1"/>
  <c r="AC131" i="9" s="1"/>
  <c r="AC132" i="9" s="1"/>
  <c r="AC133" i="9" s="1"/>
  <c r="AC134" i="9" s="1"/>
  <c r="AC135" i="9" s="1"/>
  <c r="AC136" i="9" s="1"/>
  <c r="AC137" i="9" s="1"/>
  <c r="AC138" i="9" s="1"/>
  <c r="AC139" i="9" s="1"/>
  <c r="AC140" i="9" s="1"/>
  <c r="AC141" i="9" s="1"/>
  <c r="AC142" i="9" s="1"/>
  <c r="AC143" i="9" s="1"/>
  <c r="AC144" i="9" s="1"/>
  <c r="AC145" i="9" s="1"/>
  <c r="AC146" i="9" s="1"/>
  <c r="AC147" i="9" s="1"/>
  <c r="AC148" i="9" s="1"/>
  <c r="AC149" i="9" s="1"/>
  <c r="AC150" i="9" s="1"/>
  <c r="AC151" i="9" s="1"/>
  <c r="AC152" i="9" s="1"/>
  <c r="AC153" i="9" s="1"/>
  <c r="AC154" i="9" s="1"/>
  <c r="AC155" i="9" s="1"/>
  <c r="AC156" i="9" s="1"/>
  <c r="AC157" i="9" s="1"/>
  <c r="AC158" i="9" s="1"/>
  <c r="AC159" i="9" s="1"/>
  <c r="AC160" i="9" s="1"/>
  <c r="AC161" i="9" s="1"/>
  <c r="AC162" i="9" s="1"/>
  <c r="AC163" i="9" s="1"/>
  <c r="AC164" i="9" s="1"/>
  <c r="AC165" i="9" s="1"/>
  <c r="AC166" i="9" s="1"/>
  <c r="AC167" i="9" s="1"/>
  <c r="AC168" i="9" s="1"/>
  <c r="AC169" i="9" s="1"/>
  <c r="AC170" i="9" s="1"/>
  <c r="AC171" i="9" s="1"/>
  <c r="AC172" i="9" s="1"/>
  <c r="AC173" i="9" s="1"/>
  <c r="AC174" i="9" s="1"/>
  <c r="AC175" i="9" s="1"/>
  <c r="AC176" i="9" s="1"/>
  <c r="AC177" i="9" s="1"/>
  <c r="AC178" i="9" s="1"/>
  <c r="AC179" i="9" s="1"/>
  <c r="AC180" i="9" s="1"/>
  <c r="AC181" i="9" s="1"/>
  <c r="AC182" i="9" s="1"/>
  <c r="AC183" i="9" s="1"/>
  <c r="AC184" i="9" s="1"/>
  <c r="AC185" i="9" s="1"/>
  <c r="AC186" i="9" s="1"/>
  <c r="AC187" i="9" s="1"/>
  <c r="AC188" i="9" s="1"/>
  <c r="AC189" i="9" s="1"/>
  <c r="AC190" i="9" s="1"/>
  <c r="AC191" i="9" s="1"/>
  <c r="AC192" i="9" s="1"/>
  <c r="AC193" i="9" s="1"/>
  <c r="AC194" i="9" s="1"/>
  <c r="AC195" i="9" s="1"/>
  <c r="AC196" i="9" s="1"/>
  <c r="AC197" i="9" s="1"/>
  <c r="AC198" i="9" s="1"/>
  <c r="AC199" i="9" s="1"/>
  <c r="AC200" i="9" s="1"/>
  <c r="AC201" i="9" s="1"/>
  <c r="AC202" i="9" s="1"/>
  <c r="AC203" i="9" s="1"/>
  <c r="AC204" i="9" s="1"/>
  <c r="AC205" i="9" s="1"/>
  <c r="AC206" i="9" s="1"/>
  <c r="AC207" i="9" s="1"/>
  <c r="AC208" i="9" s="1"/>
  <c r="AC209" i="9" s="1"/>
  <c r="AC210" i="9" s="1"/>
  <c r="AC211" i="9" s="1"/>
  <c r="AC212" i="9" s="1"/>
  <c r="AC213" i="9" s="1"/>
  <c r="AC214" i="9" s="1"/>
  <c r="AC215" i="9" s="1"/>
  <c r="AC216" i="9" s="1"/>
  <c r="AC217" i="9" s="1"/>
  <c r="AC218" i="9" s="1"/>
  <c r="AC219" i="9" s="1"/>
  <c r="AC220" i="9" s="1"/>
  <c r="AC221" i="9" s="1"/>
  <c r="AC222" i="9" s="1"/>
  <c r="AC223" i="9" s="1"/>
  <c r="AC224" i="9" s="1"/>
  <c r="AC225" i="9" s="1"/>
  <c r="AC226" i="9" s="1"/>
  <c r="AC227" i="9" s="1"/>
  <c r="AC228" i="9" s="1"/>
  <c r="AC229" i="9" s="1"/>
  <c r="AC230" i="9" s="1"/>
  <c r="AC231" i="9" s="1"/>
  <c r="AC232" i="9" s="1"/>
  <c r="AC233" i="9" s="1"/>
  <c r="AC234" i="9" s="1"/>
  <c r="AC235" i="9" s="1"/>
  <c r="AC236" i="9" s="1"/>
  <c r="AC237" i="9" s="1"/>
  <c r="AC238" i="9" s="1"/>
  <c r="AC239" i="9" s="1"/>
  <c r="AC240" i="9" s="1"/>
  <c r="AC241" i="9" s="1"/>
  <c r="AC242" i="9" s="1"/>
  <c r="AC243" i="9" s="1"/>
  <c r="AC244" i="9" s="1"/>
  <c r="AC245" i="9" s="1"/>
  <c r="AC246" i="9" s="1"/>
  <c r="AC247" i="9" s="1"/>
  <c r="AC248" i="9" s="1"/>
  <c r="AC249" i="9" s="1"/>
  <c r="AC250" i="9" s="1"/>
  <c r="AC251" i="9" s="1"/>
  <c r="AC252" i="9" s="1"/>
  <c r="AC253" i="9" s="1"/>
  <c r="AC254" i="9" s="1"/>
  <c r="AC255" i="9" s="1"/>
  <c r="AC256" i="9" s="1"/>
  <c r="AC257" i="9" s="1"/>
  <c r="AC258" i="9" s="1"/>
  <c r="AC259" i="9" s="1"/>
  <c r="AC260" i="9" s="1"/>
  <c r="AC261" i="9" s="1"/>
  <c r="AC262" i="9" s="1"/>
  <c r="AC263" i="9" s="1"/>
  <c r="AC264" i="9" s="1"/>
  <c r="AC265" i="9" s="1"/>
  <c r="AC266" i="9" s="1"/>
  <c r="AC267" i="9" s="1"/>
  <c r="AC268" i="9" s="1"/>
  <c r="AC269" i="9" s="1"/>
  <c r="AC270" i="9" s="1"/>
  <c r="AC271" i="9" s="1"/>
  <c r="AC272" i="9" s="1"/>
  <c r="AC273" i="9" s="1"/>
  <c r="AC274" i="9" s="1"/>
  <c r="AC275" i="9" s="1"/>
  <c r="AC276" i="9" s="1"/>
  <c r="AC277" i="9" s="1"/>
  <c r="AC278" i="9" s="1"/>
  <c r="AC279" i="9" s="1"/>
  <c r="AC280" i="9" s="1"/>
  <c r="AC281" i="9" s="1"/>
  <c r="AC282" i="9" s="1"/>
  <c r="AC283" i="9" s="1"/>
  <c r="AC284" i="9" s="1"/>
  <c r="AC285" i="9" s="1"/>
  <c r="AC286" i="9" s="1"/>
  <c r="AC287" i="9" s="1"/>
  <c r="AC288" i="9" s="1"/>
  <c r="AC289" i="9" s="1"/>
  <c r="AC290" i="9" s="1"/>
  <c r="AC291" i="9" s="1"/>
  <c r="AC292" i="9" s="1"/>
  <c r="AC293" i="9" s="1"/>
  <c r="AC294" i="9" s="1"/>
  <c r="AC295" i="9" s="1"/>
  <c r="AC296" i="9" s="1"/>
  <c r="AC297" i="9" s="1"/>
  <c r="AC298" i="9" s="1"/>
  <c r="AC299" i="9" s="1"/>
  <c r="AC300" i="9" s="1"/>
  <c r="AC301" i="9" s="1"/>
  <c r="AC302" i="9" s="1"/>
  <c r="AC303" i="9" s="1"/>
  <c r="AC304" i="9" s="1"/>
  <c r="AC305" i="9" s="1"/>
  <c r="AC306" i="9" s="1"/>
  <c r="AC307" i="9" s="1"/>
  <c r="AC308" i="9" s="1"/>
  <c r="AC309" i="9" s="1"/>
  <c r="AC310" i="9" s="1"/>
  <c r="AC311" i="9" s="1"/>
  <c r="AC312" i="9" s="1"/>
  <c r="AC313" i="9" s="1"/>
  <c r="AC314" i="9" s="1"/>
  <c r="AC315" i="9" s="1"/>
  <c r="AC316" i="9" s="1"/>
  <c r="AC317" i="9" s="1"/>
  <c r="AC318" i="9" s="1"/>
  <c r="AC319" i="9" s="1"/>
  <c r="AC320" i="9" s="1"/>
  <c r="AC321" i="9" s="1"/>
  <c r="AC322" i="9" s="1"/>
  <c r="AC323" i="9" s="1"/>
  <c r="AC324" i="9" s="1"/>
  <c r="AC325" i="9" s="1"/>
  <c r="AC326" i="9" s="1"/>
  <c r="AC327" i="9" s="1"/>
  <c r="AC328" i="9" s="1"/>
  <c r="AC329" i="9" s="1"/>
  <c r="AC330" i="9" s="1"/>
  <c r="AC331" i="9" s="1"/>
  <c r="AC332" i="9" s="1"/>
  <c r="AC333" i="9" s="1"/>
  <c r="AC334" i="9" s="1"/>
  <c r="AC335" i="9" s="1"/>
  <c r="AC336" i="9" s="1"/>
  <c r="AC337" i="9" s="1"/>
  <c r="AC338" i="9" s="1"/>
  <c r="AC339" i="9" s="1"/>
  <c r="AC340" i="9" s="1"/>
  <c r="AC341" i="9" s="1"/>
  <c r="AC342" i="9" s="1"/>
  <c r="AC343" i="9" s="1"/>
  <c r="AC344" i="9" s="1"/>
  <c r="AC345" i="9" s="1"/>
  <c r="AC346" i="9" s="1"/>
  <c r="AC347" i="9" s="1"/>
  <c r="AC348" i="9" s="1"/>
  <c r="AC349" i="9" s="1"/>
  <c r="AC350" i="9" s="1"/>
  <c r="AC351" i="9" s="1"/>
  <c r="AC352" i="9" s="1"/>
  <c r="AC353" i="9" s="1"/>
  <c r="AC354" i="9" s="1"/>
  <c r="AC355" i="9" s="1"/>
  <c r="AC356" i="9" s="1"/>
  <c r="AC357" i="9" s="1"/>
  <c r="AC358" i="9" s="1"/>
  <c r="AC359" i="9" s="1"/>
  <c r="AC360" i="9" s="1"/>
  <c r="AC361" i="9" s="1"/>
  <c r="AC362" i="9" s="1"/>
  <c r="AC363" i="9" s="1"/>
  <c r="AC364" i="9" s="1"/>
  <c r="AC365" i="9" s="1"/>
  <c r="AC366" i="9" s="1"/>
  <c r="AC367" i="9" s="1"/>
  <c r="AC368" i="9" s="1"/>
  <c r="AC369" i="9" s="1"/>
  <c r="AC370" i="9" s="1"/>
  <c r="AC371" i="9" s="1"/>
  <c r="AC372" i="9" s="1"/>
  <c r="AC373" i="9" s="1"/>
  <c r="AC374" i="9" s="1"/>
  <c r="AC375" i="9" s="1"/>
  <c r="AC376" i="9" s="1"/>
  <c r="AC377" i="9" s="1"/>
  <c r="AC378" i="9" s="1"/>
  <c r="AC379" i="9" s="1"/>
  <c r="AC380" i="9" s="1"/>
  <c r="AC381" i="9" s="1"/>
  <c r="AC382" i="9" s="1"/>
  <c r="AC383" i="9" s="1"/>
  <c r="AC384" i="9" s="1"/>
  <c r="AC385" i="9" s="1"/>
  <c r="AC386" i="9" s="1"/>
  <c r="AC387" i="9" s="1"/>
  <c r="AC388" i="9" s="1"/>
  <c r="AC389" i="9" s="1"/>
  <c r="AC390" i="9" s="1"/>
  <c r="AC391" i="9" s="1"/>
  <c r="AC392" i="9" s="1"/>
  <c r="AC393" i="9" s="1"/>
  <c r="AC394" i="9" s="1"/>
  <c r="AC395" i="9" s="1"/>
  <c r="AC396" i="9" s="1"/>
  <c r="AC397" i="9" s="1"/>
  <c r="AC398" i="9" s="1"/>
  <c r="AC399" i="9" s="1"/>
  <c r="AC400" i="9" s="1"/>
  <c r="AC401" i="9" s="1"/>
  <c r="AC402" i="9" s="1"/>
  <c r="AC403" i="9" s="1"/>
  <c r="AC404" i="9" s="1"/>
  <c r="AC405" i="9" s="1"/>
  <c r="AC406" i="9" s="1"/>
  <c r="AC407" i="9" s="1"/>
  <c r="AC408" i="9" s="1"/>
  <c r="AC409" i="9" s="1"/>
  <c r="AC410" i="9" s="1"/>
  <c r="AC411" i="9" s="1"/>
  <c r="AC412" i="9" s="1"/>
  <c r="AC413" i="9" s="1"/>
  <c r="AC414" i="9" s="1"/>
  <c r="AC415" i="9" s="1"/>
  <c r="AC416" i="9" s="1"/>
  <c r="AC417" i="9" s="1"/>
  <c r="AC418" i="9" s="1"/>
  <c r="AC419" i="9" s="1"/>
  <c r="AC420" i="9" s="1"/>
  <c r="AC421" i="9" s="1"/>
  <c r="AC422" i="9" s="1"/>
  <c r="AC423" i="9" s="1"/>
  <c r="AC424" i="9" s="1"/>
  <c r="AC425" i="9" s="1"/>
  <c r="AC426" i="9" s="1"/>
  <c r="AC427" i="9" s="1"/>
  <c r="AC428" i="9" s="1"/>
  <c r="AC429" i="9" s="1"/>
  <c r="AC430" i="9" s="1"/>
  <c r="AC431" i="9" s="1"/>
  <c r="AC432" i="9" s="1"/>
  <c r="AC433" i="9" s="1"/>
  <c r="AC434" i="9" s="1"/>
  <c r="AC435" i="9" s="1"/>
  <c r="AC436" i="9" s="1"/>
  <c r="AC437" i="9" s="1"/>
  <c r="AC438" i="9" s="1"/>
  <c r="AC439" i="9" s="1"/>
  <c r="AC440" i="9" s="1"/>
  <c r="AC441" i="9" s="1"/>
  <c r="AC442" i="9" s="1"/>
  <c r="AC443" i="9" s="1"/>
  <c r="AC444" i="9" s="1"/>
  <c r="AC445" i="9" s="1"/>
  <c r="AC446" i="9" s="1"/>
  <c r="AC447" i="9" s="1"/>
  <c r="AC448" i="9" s="1"/>
  <c r="AC449" i="9" s="1"/>
  <c r="AC450" i="9" s="1"/>
  <c r="AC451" i="9" s="1"/>
  <c r="AC452" i="9" s="1"/>
  <c r="AC453" i="9" s="1"/>
  <c r="AC454" i="9" s="1"/>
  <c r="AC455" i="9" s="1"/>
  <c r="AC456" i="9" s="1"/>
  <c r="AC457" i="9" s="1"/>
  <c r="AC458" i="9" s="1"/>
  <c r="AC459" i="9" s="1"/>
  <c r="AC460" i="9" s="1"/>
  <c r="AC461" i="9" s="1"/>
  <c r="AC462" i="9" s="1"/>
  <c r="AC463" i="9" s="1"/>
  <c r="AC464" i="9" s="1"/>
  <c r="AC465" i="9" s="1"/>
  <c r="AC466" i="9" s="1"/>
  <c r="AC467" i="9" s="1"/>
  <c r="AC468" i="9" s="1"/>
  <c r="AC469" i="9" s="1"/>
  <c r="AC470" i="9" s="1"/>
  <c r="AC471" i="9" s="1"/>
  <c r="AC472" i="9" s="1"/>
  <c r="AC473" i="9" s="1"/>
  <c r="AC474" i="9" s="1"/>
  <c r="AC475" i="9" s="1"/>
  <c r="AC476" i="9" s="1"/>
  <c r="AC477" i="9" s="1"/>
  <c r="AC478" i="9" s="1"/>
  <c r="AC479" i="9" s="1"/>
  <c r="AC480" i="9" s="1"/>
  <c r="AC481" i="9" s="1"/>
  <c r="AC482" i="9" s="1"/>
  <c r="AC483" i="9" s="1"/>
  <c r="AC484" i="9" s="1"/>
  <c r="AC485" i="9" s="1"/>
  <c r="AC486" i="9" s="1"/>
  <c r="AC487" i="9" s="1"/>
  <c r="AC488" i="9" s="1"/>
  <c r="AC489" i="9" s="1"/>
  <c r="AC490" i="9" s="1"/>
  <c r="AC491" i="9" s="1"/>
  <c r="AC492" i="9" s="1"/>
  <c r="AC493" i="9" s="1"/>
  <c r="AC494" i="9" s="1"/>
  <c r="AC495" i="9" s="1"/>
  <c r="AC496" i="9" s="1"/>
  <c r="AC497" i="9" s="1"/>
  <c r="AC498" i="9" s="1"/>
  <c r="AC499" i="9" s="1"/>
  <c r="AC500" i="9" s="1"/>
  <c r="AC501" i="9" s="1"/>
  <c r="AC502" i="9" s="1"/>
  <c r="AC503" i="9" s="1"/>
  <c r="AC504" i="9" s="1"/>
  <c r="AC505" i="9" s="1"/>
  <c r="AC506" i="9" s="1"/>
  <c r="AC507" i="9" s="1"/>
  <c r="AC508" i="9" s="1"/>
  <c r="AC509" i="9" s="1"/>
  <c r="AC510" i="9" s="1"/>
  <c r="AC511" i="9" s="1"/>
  <c r="AC512" i="9" s="1"/>
  <c r="AC513" i="9" s="1"/>
  <c r="AC514" i="9" s="1"/>
  <c r="AC515" i="9" s="1"/>
  <c r="AC516" i="9" s="1"/>
  <c r="AC517" i="9" s="1"/>
  <c r="AC518" i="9" s="1"/>
  <c r="AC519" i="9" s="1"/>
  <c r="AC520" i="9" s="1"/>
  <c r="AC521" i="9" s="1"/>
  <c r="AC522" i="9" s="1"/>
  <c r="AC523" i="9" s="1"/>
  <c r="AC524" i="9" s="1"/>
  <c r="AC525" i="9" s="1"/>
  <c r="AC526" i="9" s="1"/>
  <c r="AC527" i="9" s="1"/>
  <c r="AC528" i="9" s="1"/>
  <c r="AC529" i="9" s="1"/>
  <c r="AC530" i="9" s="1"/>
  <c r="AC531" i="9" s="1"/>
  <c r="AC532" i="9" s="1"/>
  <c r="AC533" i="9" s="1"/>
  <c r="AC534" i="9" s="1"/>
  <c r="AC535" i="9" s="1"/>
  <c r="AC536" i="9" s="1"/>
  <c r="AC537" i="9" s="1"/>
  <c r="AC538" i="9" s="1"/>
  <c r="AC539" i="9" s="1"/>
  <c r="AC540" i="9" s="1"/>
  <c r="AC541" i="9" s="1"/>
  <c r="AC542" i="9" s="1"/>
  <c r="AC543" i="9" s="1"/>
  <c r="AC544" i="9" s="1"/>
  <c r="AC545" i="9" s="1"/>
  <c r="AC546" i="9" s="1"/>
  <c r="AC547" i="9" s="1"/>
  <c r="AC548" i="9" s="1"/>
  <c r="AC549" i="9" s="1"/>
  <c r="AC550" i="9" s="1"/>
  <c r="AC551" i="9" s="1"/>
  <c r="AC552" i="9" s="1"/>
  <c r="AC553" i="9" s="1"/>
  <c r="AC554" i="9" s="1"/>
  <c r="AC555" i="9" s="1"/>
  <c r="AC556" i="9" s="1"/>
  <c r="AC557" i="9" s="1"/>
  <c r="AC558" i="9" s="1"/>
  <c r="AC559" i="9" s="1"/>
  <c r="AC560" i="9" s="1"/>
  <c r="AC561" i="9" s="1"/>
  <c r="AC562" i="9" s="1"/>
  <c r="AC563" i="9" s="1"/>
  <c r="AC564" i="9" s="1"/>
  <c r="AC565" i="9" s="1"/>
  <c r="AC566" i="9" s="1"/>
  <c r="AC567" i="9" s="1"/>
  <c r="AC568" i="9" s="1"/>
  <c r="AC569" i="9" s="1"/>
  <c r="AC570" i="9" s="1"/>
  <c r="AC571" i="9" s="1"/>
  <c r="AC572" i="9" s="1"/>
  <c r="AC573" i="9" s="1"/>
  <c r="AC574" i="9" s="1"/>
  <c r="AC575" i="9" s="1"/>
  <c r="AC576" i="9" s="1"/>
  <c r="AC577" i="9" s="1"/>
  <c r="AC578" i="9" s="1"/>
  <c r="AC579" i="9" s="1"/>
  <c r="AC580" i="9" s="1"/>
  <c r="AC581" i="9" s="1"/>
  <c r="AC582" i="9" s="1"/>
  <c r="AC583" i="9" s="1"/>
  <c r="AC584" i="9" s="1"/>
  <c r="AC585" i="9" s="1"/>
  <c r="AC586" i="9" s="1"/>
  <c r="AC587" i="9" s="1"/>
  <c r="AC588" i="9" s="1"/>
  <c r="AC589" i="9" s="1"/>
  <c r="AC590" i="9" s="1"/>
  <c r="AC591" i="9" s="1"/>
  <c r="AC592" i="9" s="1"/>
  <c r="AC593" i="9" s="1"/>
  <c r="AC594" i="9" s="1"/>
  <c r="AC595" i="9" s="1"/>
  <c r="AC596" i="9" s="1"/>
  <c r="AC597" i="9" s="1"/>
  <c r="AC598" i="9" s="1"/>
  <c r="AC599" i="9" s="1"/>
  <c r="AC600" i="9" s="1"/>
  <c r="AC601" i="9" s="1"/>
  <c r="AC602" i="9" s="1"/>
  <c r="AC603" i="9" s="1"/>
  <c r="AC604" i="9" s="1"/>
  <c r="AC605" i="9" s="1"/>
  <c r="AC606" i="9" s="1"/>
  <c r="AC607" i="9" s="1"/>
  <c r="AC608" i="9" s="1"/>
  <c r="AC609" i="9" s="1"/>
  <c r="AC610" i="9" s="1"/>
  <c r="AC611" i="9" s="1"/>
  <c r="AC612" i="9" s="1"/>
  <c r="AC613" i="9" s="1"/>
  <c r="AC614" i="9" s="1"/>
  <c r="AC615" i="9" s="1"/>
  <c r="AC616" i="9" s="1"/>
  <c r="AC617" i="9" s="1"/>
  <c r="AC618" i="9" s="1"/>
  <c r="AC619" i="9" s="1"/>
  <c r="AC620" i="9" s="1"/>
  <c r="AC621" i="9" s="1"/>
  <c r="AC622" i="9" s="1"/>
  <c r="AC623" i="9" s="1"/>
  <c r="AC624" i="9" s="1"/>
  <c r="AC625" i="9" s="1"/>
  <c r="AC626" i="9" s="1"/>
  <c r="AC627" i="9" s="1"/>
  <c r="AC628" i="9" s="1"/>
  <c r="AC629" i="9" s="1"/>
  <c r="AC630" i="9" s="1"/>
  <c r="AC631" i="9" s="1"/>
  <c r="AC632" i="9" s="1"/>
  <c r="AC633" i="9" s="1"/>
  <c r="AC634" i="9" s="1"/>
  <c r="AC635" i="9" s="1"/>
  <c r="AC636" i="9" s="1"/>
  <c r="AC637" i="9" s="1"/>
  <c r="AC638" i="9" s="1"/>
  <c r="AC639" i="9" s="1"/>
  <c r="AC640" i="9" s="1"/>
  <c r="AC641" i="9" s="1"/>
  <c r="AC642" i="9" s="1"/>
  <c r="AC643" i="9" s="1"/>
  <c r="AC644" i="9" s="1"/>
  <c r="AC645" i="9" s="1"/>
  <c r="AC646" i="9" s="1"/>
  <c r="AC647" i="9" s="1"/>
  <c r="AC648" i="9" s="1"/>
  <c r="AC649" i="9" s="1"/>
  <c r="AC650" i="9" s="1"/>
  <c r="AC651" i="9" s="1"/>
  <c r="AC652" i="9" s="1"/>
  <c r="AC653" i="9" s="1"/>
  <c r="AC654" i="9" s="1"/>
  <c r="AC655" i="9" s="1"/>
  <c r="AC656" i="9" s="1"/>
  <c r="AC657" i="9" s="1"/>
  <c r="AC658" i="9" s="1"/>
  <c r="AC659" i="9" s="1"/>
  <c r="AC660" i="9" s="1"/>
  <c r="AC661" i="9" s="1"/>
  <c r="AC662" i="9" s="1"/>
  <c r="AC663" i="9" s="1"/>
  <c r="AC664" i="9" s="1"/>
  <c r="AC665" i="9" s="1"/>
  <c r="AC666" i="9" s="1"/>
  <c r="AC667" i="9" s="1"/>
  <c r="AC668" i="9" s="1"/>
  <c r="AC669" i="9" s="1"/>
  <c r="AC670" i="9" s="1"/>
  <c r="AC671" i="9" s="1"/>
  <c r="AC672" i="9" s="1"/>
  <c r="AC673" i="9" s="1"/>
  <c r="AC674" i="9" s="1"/>
  <c r="AC675" i="9" s="1"/>
  <c r="AC676" i="9" s="1"/>
  <c r="AC677" i="9" s="1"/>
  <c r="AC678" i="9" s="1"/>
  <c r="AC679" i="9" s="1"/>
  <c r="AC680" i="9" s="1"/>
  <c r="AC681" i="9" s="1"/>
  <c r="AC682" i="9" s="1"/>
  <c r="AC683" i="9" s="1"/>
  <c r="AC684" i="9" s="1"/>
  <c r="AC685" i="9" s="1"/>
  <c r="AC686" i="9" s="1"/>
  <c r="AC687" i="9" s="1"/>
  <c r="AC688" i="9" s="1"/>
  <c r="AC689" i="9" s="1"/>
  <c r="AC690" i="9" s="1"/>
  <c r="AC691" i="9" s="1"/>
  <c r="AC692" i="9" s="1"/>
  <c r="AC693" i="9" s="1"/>
  <c r="AC694" i="9" s="1"/>
  <c r="AC695" i="9" s="1"/>
  <c r="AC696" i="9" s="1"/>
  <c r="AC697" i="9" s="1"/>
  <c r="AC698" i="9" s="1"/>
  <c r="AC699" i="9" s="1"/>
  <c r="AC700" i="9" s="1"/>
  <c r="AC701" i="9" s="1"/>
  <c r="AC702" i="9" s="1"/>
  <c r="AC703" i="9" s="1"/>
  <c r="AC704" i="9" s="1"/>
  <c r="AC705" i="9" s="1"/>
  <c r="AC706" i="9" s="1"/>
  <c r="AC707" i="9" s="1"/>
  <c r="AC708" i="9" s="1"/>
  <c r="AC709" i="9" s="1"/>
  <c r="AC710" i="9" s="1"/>
  <c r="AC711" i="9" s="1"/>
  <c r="AC712" i="9" s="1"/>
  <c r="AC713" i="9" s="1"/>
  <c r="AC714" i="9" s="1"/>
  <c r="AC715" i="9" s="1"/>
  <c r="AC716" i="9" s="1"/>
  <c r="AC717" i="9" s="1"/>
  <c r="AC718" i="9" s="1"/>
  <c r="AC719" i="9" s="1"/>
  <c r="AC720" i="9" s="1"/>
  <c r="AC721" i="9" s="1"/>
  <c r="AC722" i="9" s="1"/>
  <c r="AC723" i="9" s="1"/>
  <c r="AC724" i="9" s="1"/>
  <c r="AC725" i="9" s="1"/>
  <c r="AC726" i="9" s="1"/>
  <c r="AC727" i="9" s="1"/>
  <c r="AC728" i="9" s="1"/>
  <c r="AC729" i="9" s="1"/>
  <c r="AC730" i="9" s="1"/>
  <c r="AC731" i="9" s="1"/>
  <c r="AC732" i="9" s="1"/>
  <c r="AC733" i="9" s="1"/>
  <c r="AC734" i="9" s="1"/>
  <c r="AC735" i="9" s="1"/>
  <c r="AC736" i="9" s="1"/>
  <c r="AC737" i="9" s="1"/>
  <c r="AC738" i="9" s="1"/>
  <c r="AC739" i="9" s="1"/>
  <c r="AC740" i="9" s="1"/>
  <c r="AC741" i="9" s="1"/>
  <c r="AC742" i="9" s="1"/>
  <c r="AC743" i="9" s="1"/>
  <c r="AC744" i="9" s="1"/>
  <c r="AC745" i="9" s="1"/>
  <c r="AC746" i="9" s="1"/>
  <c r="AC747" i="9" s="1"/>
  <c r="AC748" i="9" s="1"/>
  <c r="AC749" i="9" s="1"/>
  <c r="AC750" i="9" s="1"/>
  <c r="AC751" i="9" s="1"/>
  <c r="AC752" i="9" s="1"/>
  <c r="AC753" i="9" s="1"/>
  <c r="AC754" i="9" s="1"/>
  <c r="AC755" i="9" s="1"/>
  <c r="AC756" i="9" s="1"/>
  <c r="AC757" i="9" s="1"/>
  <c r="AC758" i="9" s="1"/>
  <c r="AC759" i="9" s="1"/>
  <c r="AC760" i="9" s="1"/>
  <c r="AC761" i="9" s="1"/>
  <c r="AC762" i="9" s="1"/>
  <c r="AC763" i="9" s="1"/>
  <c r="AC764" i="9" s="1"/>
  <c r="AC765" i="9" s="1"/>
  <c r="AC766" i="9" s="1"/>
  <c r="AC767" i="9" s="1"/>
  <c r="AC768" i="9" s="1"/>
  <c r="AC769" i="9" s="1"/>
  <c r="AC770" i="9" s="1"/>
  <c r="AC771" i="9" s="1"/>
  <c r="AC772" i="9" s="1"/>
  <c r="AC773" i="9" s="1"/>
  <c r="AC774" i="9" s="1"/>
  <c r="AC775" i="9" s="1"/>
  <c r="AC776" i="9" s="1"/>
  <c r="AC777" i="9" s="1"/>
  <c r="AC778" i="9" s="1"/>
  <c r="AC779" i="9" s="1"/>
  <c r="AC780" i="9" s="1"/>
  <c r="AC781" i="9" s="1"/>
  <c r="AC782" i="9" s="1"/>
  <c r="AC783" i="9" s="1"/>
  <c r="AC784" i="9" s="1"/>
  <c r="AC785" i="9" s="1"/>
  <c r="AC786" i="9" s="1"/>
  <c r="AC787" i="9" s="1"/>
  <c r="AC788" i="9" s="1"/>
  <c r="AC789" i="9" s="1"/>
  <c r="AC790" i="9" s="1"/>
  <c r="AC791" i="9" s="1"/>
  <c r="AC792" i="9" s="1"/>
  <c r="AC793" i="9" s="1"/>
  <c r="AC794" i="9" s="1"/>
  <c r="AC795" i="9" s="1"/>
  <c r="AC796" i="9" s="1"/>
  <c r="AC797" i="9" s="1"/>
  <c r="AC798" i="9" s="1"/>
  <c r="AC799" i="9" s="1"/>
  <c r="AC800" i="9" s="1"/>
  <c r="AC801" i="9" s="1"/>
  <c r="AC802" i="9" s="1"/>
  <c r="AC803" i="9" s="1"/>
  <c r="AC804" i="9" s="1"/>
  <c r="AC805" i="9" s="1"/>
  <c r="AC806" i="9" s="1"/>
  <c r="AC807" i="9" s="1"/>
  <c r="AC808" i="9" s="1"/>
  <c r="AC809" i="9" s="1"/>
  <c r="AC810" i="9" s="1"/>
  <c r="AC811" i="9" s="1"/>
  <c r="AC812" i="9" s="1"/>
  <c r="AC813" i="9" s="1"/>
  <c r="AC814" i="9" s="1"/>
  <c r="AC815" i="9" s="1"/>
  <c r="AC816" i="9" s="1"/>
  <c r="AC817" i="9" s="1"/>
  <c r="AC818" i="9" s="1"/>
  <c r="AC819" i="9" s="1"/>
  <c r="AC820" i="9" s="1"/>
  <c r="AC821" i="9" s="1"/>
  <c r="AC822" i="9" s="1"/>
  <c r="AC823" i="9" s="1"/>
  <c r="AC824" i="9" s="1"/>
  <c r="AC825" i="9" s="1"/>
  <c r="AC826" i="9" s="1"/>
  <c r="AC827" i="9" s="1"/>
  <c r="AC828" i="9" s="1"/>
  <c r="AC829" i="9" s="1"/>
  <c r="AC830" i="9" s="1"/>
  <c r="AC831" i="9" s="1"/>
  <c r="AC832" i="9" s="1"/>
  <c r="AC833" i="9" s="1"/>
  <c r="AC834" i="9" s="1"/>
  <c r="AC835" i="9" s="1"/>
  <c r="AC836" i="9" s="1"/>
  <c r="AC837" i="9" s="1"/>
  <c r="AC838" i="9" s="1"/>
  <c r="AC839" i="9" s="1"/>
  <c r="AC840" i="9" s="1"/>
  <c r="AC841" i="9" s="1"/>
  <c r="AC842" i="9" s="1"/>
  <c r="AC843" i="9" s="1"/>
  <c r="AC844" i="9" s="1"/>
  <c r="AC845" i="9" s="1"/>
  <c r="AC846" i="9" s="1"/>
  <c r="AC847" i="9" s="1"/>
  <c r="AC848" i="9" s="1"/>
  <c r="AC849" i="9" s="1"/>
  <c r="AC850" i="9" s="1"/>
  <c r="AC851" i="9" s="1"/>
  <c r="AC852" i="9" s="1"/>
  <c r="AC853" i="9" s="1"/>
  <c r="AC854" i="9" s="1"/>
  <c r="AC855" i="9" s="1"/>
  <c r="AC856" i="9" s="1"/>
  <c r="AC857" i="9" s="1"/>
  <c r="AC858" i="9" s="1"/>
  <c r="AC859" i="9" s="1"/>
  <c r="AC860" i="9" s="1"/>
  <c r="AC861" i="9" s="1"/>
  <c r="AC862" i="9" s="1"/>
  <c r="AC863" i="9" s="1"/>
  <c r="AC864" i="9" s="1"/>
  <c r="AC865" i="9" s="1"/>
  <c r="AC866" i="9" s="1"/>
  <c r="AC867" i="9" s="1"/>
  <c r="AC868" i="9" s="1"/>
  <c r="AC869" i="9" s="1"/>
  <c r="AC870" i="9" s="1"/>
  <c r="AC871" i="9" s="1"/>
  <c r="AC872" i="9" s="1"/>
  <c r="AC873" i="9" s="1"/>
  <c r="AC874" i="9" s="1"/>
  <c r="AC875" i="9" s="1"/>
  <c r="AC876" i="9" s="1"/>
  <c r="AC877" i="9" s="1"/>
  <c r="AC878" i="9" s="1"/>
  <c r="AC879" i="9" s="1"/>
  <c r="AC880" i="9" s="1"/>
  <c r="AC881" i="9" s="1"/>
  <c r="AC882" i="9" s="1"/>
  <c r="AC883" i="9" s="1"/>
  <c r="AC884" i="9" s="1"/>
  <c r="AC885" i="9" s="1"/>
  <c r="AC886" i="9" s="1"/>
  <c r="AC887" i="9" s="1"/>
  <c r="AC888" i="9" s="1"/>
  <c r="AC889" i="9" s="1"/>
  <c r="AC890" i="9" s="1"/>
  <c r="AC891" i="9" s="1"/>
  <c r="AC892" i="9" s="1"/>
  <c r="AC893" i="9" s="1"/>
  <c r="AC894" i="9" s="1"/>
  <c r="AC895" i="9" s="1"/>
  <c r="AC896" i="9" s="1"/>
  <c r="AC897" i="9" s="1"/>
  <c r="AC898" i="9" s="1"/>
  <c r="AC899" i="9" s="1"/>
  <c r="AC900" i="9" s="1"/>
  <c r="AC901" i="9" s="1"/>
  <c r="AC902" i="9" s="1"/>
  <c r="AC903" i="9" s="1"/>
  <c r="AC904" i="9" s="1"/>
  <c r="AC905" i="9" s="1"/>
  <c r="AC906" i="9" s="1"/>
  <c r="AC907" i="9" s="1"/>
  <c r="AC908" i="9" s="1"/>
  <c r="AC909" i="9" s="1"/>
  <c r="AC910" i="9" s="1"/>
  <c r="AC911" i="9" s="1"/>
  <c r="AC912" i="9" s="1"/>
  <c r="AC913" i="9" s="1"/>
  <c r="AC914" i="9" s="1"/>
  <c r="AC915" i="9" s="1"/>
  <c r="AC916" i="9" s="1"/>
  <c r="AC917" i="9" s="1"/>
  <c r="AC918" i="9" s="1"/>
  <c r="AC919" i="9" s="1"/>
  <c r="AC920" i="9" s="1"/>
  <c r="AC921" i="9" s="1"/>
  <c r="AC922" i="9" s="1"/>
  <c r="AC923" i="9" s="1"/>
  <c r="AC924" i="9" s="1"/>
  <c r="AC925" i="9" s="1"/>
  <c r="AC926" i="9" s="1"/>
  <c r="AC927" i="9" s="1"/>
  <c r="AC928" i="9" s="1"/>
  <c r="AC929" i="9" s="1"/>
  <c r="AC930" i="9" s="1"/>
  <c r="AC931" i="9" s="1"/>
  <c r="AC932" i="9" s="1"/>
  <c r="AC933" i="9" s="1"/>
  <c r="AC934" i="9" s="1"/>
  <c r="AC935" i="9" s="1"/>
  <c r="AC936" i="9" s="1"/>
  <c r="AC937" i="9" s="1"/>
  <c r="AC938" i="9" s="1"/>
  <c r="AC939" i="9" s="1"/>
  <c r="AC940" i="9" s="1"/>
  <c r="AC941" i="9" s="1"/>
  <c r="AC942" i="9" s="1"/>
  <c r="AC943" i="9" s="1"/>
  <c r="AC944" i="9" s="1"/>
  <c r="AC945" i="9" s="1"/>
  <c r="AC946" i="9" s="1"/>
  <c r="AC947" i="9" s="1"/>
  <c r="AC948" i="9" s="1"/>
  <c r="AC949" i="9" s="1"/>
  <c r="AC950" i="9" s="1"/>
  <c r="AC951" i="9" s="1"/>
  <c r="AC952" i="9" s="1"/>
  <c r="AC953" i="9" s="1"/>
  <c r="AC954" i="9" s="1"/>
  <c r="AC955" i="9" s="1"/>
  <c r="AC956" i="9" s="1"/>
  <c r="AC957" i="9" s="1"/>
  <c r="AC958" i="9" s="1"/>
  <c r="AC959" i="9" s="1"/>
  <c r="AC960" i="9" s="1"/>
  <c r="AC961" i="9" s="1"/>
  <c r="AC962" i="9" s="1"/>
  <c r="AC963" i="9" s="1"/>
  <c r="AC964" i="9" s="1"/>
  <c r="AC965" i="9" s="1"/>
  <c r="AC966" i="9" s="1"/>
  <c r="AC967" i="9" s="1"/>
  <c r="AC968" i="9" s="1"/>
  <c r="AC969" i="9" s="1"/>
  <c r="AC970" i="9" s="1"/>
  <c r="AC971" i="9" s="1"/>
  <c r="AC972" i="9" s="1"/>
  <c r="AC973" i="9" s="1"/>
  <c r="AC974" i="9" s="1"/>
  <c r="AC975" i="9" s="1"/>
  <c r="AC976" i="9" s="1"/>
  <c r="AC977" i="9" s="1"/>
  <c r="AC978" i="9" s="1"/>
  <c r="AC979" i="9" s="1"/>
  <c r="AC980" i="9" s="1"/>
  <c r="AC981" i="9" s="1"/>
  <c r="AC982" i="9" s="1"/>
  <c r="AC983" i="9" s="1"/>
  <c r="AC984" i="9" s="1"/>
  <c r="AC985" i="9" s="1"/>
  <c r="AC986" i="9" s="1"/>
  <c r="AC987" i="9" s="1"/>
  <c r="AC988" i="9" s="1"/>
  <c r="AC989" i="9" s="1"/>
  <c r="AC990" i="9" s="1"/>
  <c r="AC991" i="9" s="1"/>
  <c r="AC992" i="9" s="1"/>
  <c r="AC993" i="9" s="1"/>
  <c r="AC994" i="9" s="1"/>
  <c r="AC995" i="9" s="1"/>
  <c r="AC996" i="9" s="1"/>
  <c r="AC997" i="9" s="1"/>
  <c r="AC998" i="9" s="1"/>
  <c r="AC999" i="9" s="1"/>
  <c r="AC1000" i="9" s="1"/>
  <c r="AC1001" i="9" s="1"/>
  <c r="AC1002" i="9" s="1"/>
  <c r="AC1003" i="9" s="1"/>
  <c r="AC1004" i="9" s="1"/>
  <c r="AC1005" i="9" s="1"/>
  <c r="AC1006" i="9" s="1"/>
  <c r="AC1007" i="9" s="1"/>
  <c r="AC1008" i="9" s="1"/>
  <c r="AC1009" i="9" s="1"/>
  <c r="AC1010" i="9" s="1"/>
  <c r="AC1011" i="9" s="1"/>
  <c r="AC1012" i="9" s="1"/>
  <c r="AC1013" i="9" s="1"/>
  <c r="AC1014" i="9" s="1"/>
  <c r="AC1015" i="9" s="1"/>
  <c r="AC1016" i="9" s="1"/>
  <c r="AC1017" i="9" s="1"/>
  <c r="AC1018" i="9" s="1"/>
  <c r="AC1019" i="9" s="1"/>
  <c r="AC1020" i="9" s="1"/>
  <c r="AC1021" i="9" s="1"/>
  <c r="AC1022" i="9" s="1"/>
  <c r="AC1023" i="9" s="1"/>
  <c r="AC1024" i="9" s="1"/>
  <c r="AC1025" i="9" s="1"/>
  <c r="AC1026" i="9" s="1"/>
  <c r="AC1027" i="9" s="1"/>
  <c r="AC1028" i="9" s="1"/>
  <c r="AC1029" i="9" s="1"/>
  <c r="AC1030" i="9" s="1"/>
  <c r="AC1031" i="9" s="1"/>
  <c r="AC1032" i="9" s="1"/>
  <c r="AC1033" i="9" s="1"/>
  <c r="AC1034" i="9" s="1"/>
  <c r="AC1035" i="9" s="1"/>
  <c r="AC1036" i="9" s="1"/>
  <c r="AC1037" i="9" s="1"/>
  <c r="AC1038" i="9" s="1"/>
  <c r="AC1039" i="9" s="1"/>
  <c r="AC1040" i="9" s="1"/>
  <c r="AC1041" i="9" s="1"/>
  <c r="AC1042" i="9" s="1"/>
  <c r="AC1043" i="9" s="1"/>
  <c r="AC1044" i="9" s="1"/>
  <c r="AC1045" i="9" s="1"/>
  <c r="AC1046" i="9" s="1"/>
  <c r="AC1047" i="9" s="1"/>
  <c r="AC1048" i="9" s="1"/>
  <c r="AC1049" i="9" s="1"/>
  <c r="AC1050" i="9" s="1"/>
  <c r="AC1051" i="9" s="1"/>
  <c r="AC1052" i="9" s="1"/>
  <c r="AC1053" i="9" s="1"/>
  <c r="AC1054" i="9" s="1"/>
  <c r="AC1055" i="9" s="1"/>
  <c r="AC1056" i="9" s="1"/>
  <c r="AC1057" i="9" s="1"/>
  <c r="AC1058" i="9" s="1"/>
  <c r="AC1059" i="9" s="1"/>
  <c r="AC1060" i="9" s="1"/>
  <c r="AC1061" i="9" s="1"/>
  <c r="AC1062" i="9" s="1"/>
  <c r="AC1063" i="9" s="1"/>
  <c r="AC1064" i="9" s="1"/>
  <c r="AC1065" i="9" s="1"/>
  <c r="AC1066" i="9" s="1"/>
  <c r="AC1067" i="9" s="1"/>
  <c r="AC1068" i="9" s="1"/>
  <c r="AC1069" i="9" s="1"/>
  <c r="AC1070" i="9" s="1"/>
  <c r="AC1071" i="9" s="1"/>
  <c r="AC1072" i="9" s="1"/>
  <c r="AC1073" i="9" s="1"/>
  <c r="AC1074" i="9" s="1"/>
  <c r="AC1075" i="9" s="1"/>
  <c r="AC1076" i="9" s="1"/>
  <c r="AC1077" i="9" s="1"/>
  <c r="AC1078" i="9" s="1"/>
  <c r="AC1079" i="9" s="1"/>
  <c r="AC1080" i="9" s="1"/>
  <c r="AC1081" i="9" s="1"/>
  <c r="AC1082" i="9" s="1"/>
  <c r="AC1083" i="9" s="1"/>
  <c r="AC1084" i="9" s="1"/>
  <c r="AC1085" i="9" s="1"/>
  <c r="AC1086" i="9" s="1"/>
  <c r="AC1087" i="9" s="1"/>
  <c r="AC1088" i="9" s="1"/>
  <c r="AC1089" i="9" s="1"/>
  <c r="AC1090" i="9" s="1"/>
  <c r="AC1091" i="9" s="1"/>
  <c r="AC1092" i="9" s="1"/>
  <c r="AC1093" i="9" s="1"/>
  <c r="AC1094" i="9" s="1"/>
  <c r="AC1095" i="9" s="1"/>
  <c r="AC1096" i="9" s="1"/>
  <c r="AC1097" i="9" s="1"/>
  <c r="AC1098" i="9" s="1"/>
  <c r="AC1099" i="9" s="1"/>
  <c r="AC1100" i="9" s="1"/>
  <c r="AC1101" i="9" s="1"/>
  <c r="AC1102" i="9" s="1"/>
  <c r="AC1103" i="9" s="1"/>
  <c r="AC1104" i="9" s="1"/>
  <c r="AC1105" i="9" s="1"/>
  <c r="AC1106" i="9" s="1"/>
  <c r="AC1107" i="9" s="1"/>
  <c r="AC1108" i="9" s="1"/>
  <c r="AC1109" i="9" s="1"/>
  <c r="AC1110" i="9" s="1"/>
  <c r="AC1111" i="9" s="1"/>
  <c r="AC1112" i="9" s="1"/>
  <c r="AC1113" i="9" s="1"/>
  <c r="AC1114" i="9" s="1"/>
  <c r="AC1115" i="9" s="1"/>
  <c r="AC1116" i="9" s="1"/>
  <c r="AC1117" i="9" s="1"/>
  <c r="AC1118" i="9" s="1"/>
  <c r="AC1119" i="9" s="1"/>
  <c r="AC1120" i="9" s="1"/>
  <c r="AC1121" i="9" s="1"/>
  <c r="AC1122" i="9" s="1"/>
  <c r="AC1123" i="9" s="1"/>
  <c r="AC1124" i="9" s="1"/>
  <c r="AC1125" i="9" s="1"/>
  <c r="AC1126" i="9" s="1"/>
  <c r="AC1127" i="9" s="1"/>
  <c r="AC1128" i="9" s="1"/>
  <c r="AC1129" i="9" s="1"/>
  <c r="AC1130" i="9" s="1"/>
  <c r="AC1131" i="9" s="1"/>
  <c r="AC1132" i="9" s="1"/>
  <c r="AC1133" i="9" s="1"/>
  <c r="AC1134" i="9" s="1"/>
  <c r="AC1135" i="9" s="1"/>
  <c r="AC1136" i="9" s="1"/>
  <c r="AC1137" i="9" s="1"/>
  <c r="AC1138" i="9" s="1"/>
  <c r="AC1139" i="9" s="1"/>
  <c r="AC1140" i="9" s="1"/>
  <c r="AC1141" i="9" s="1"/>
  <c r="AC1142" i="9" s="1"/>
  <c r="AC1143" i="9" s="1"/>
  <c r="AC1144" i="9" s="1"/>
  <c r="AC1145" i="9" s="1"/>
  <c r="AC1146" i="9" s="1"/>
  <c r="AC1147" i="9" s="1"/>
  <c r="AC1148" i="9" s="1"/>
  <c r="AC1149" i="9" s="1"/>
  <c r="AC1150" i="9" s="1"/>
  <c r="AC1151" i="9" s="1"/>
  <c r="AC1152" i="9" s="1"/>
  <c r="AC1153" i="9" s="1"/>
  <c r="AC1154" i="9" s="1"/>
  <c r="AC1155" i="9" s="1"/>
  <c r="AC1156" i="9" s="1"/>
  <c r="AC1157" i="9" s="1"/>
  <c r="AC1158" i="9" s="1"/>
  <c r="AC1159" i="9" s="1"/>
  <c r="AC1160" i="9" s="1"/>
  <c r="AC1161" i="9" s="1"/>
  <c r="AC1162" i="9" s="1"/>
  <c r="AC1163" i="9" s="1"/>
  <c r="AC1164" i="9" s="1"/>
  <c r="AC1165" i="9" s="1"/>
  <c r="AC1166" i="9" s="1"/>
  <c r="AC1167" i="9" s="1"/>
  <c r="AC1168" i="9" s="1"/>
  <c r="AC1169" i="9" s="1"/>
  <c r="AC1170" i="9" s="1"/>
  <c r="AC1171" i="9" s="1"/>
  <c r="AC1172" i="9" s="1"/>
  <c r="AC1173" i="9" s="1"/>
  <c r="AC1174" i="9" s="1"/>
  <c r="AC1175" i="9" s="1"/>
  <c r="AC1176" i="9" s="1"/>
  <c r="AC1177" i="9" s="1"/>
  <c r="AC1178" i="9" s="1"/>
  <c r="AC1179" i="9" s="1"/>
  <c r="AC1180" i="9" s="1"/>
  <c r="AC1181" i="9" s="1"/>
  <c r="AC1182" i="9" s="1"/>
  <c r="AC1183" i="9" s="1"/>
  <c r="AC1184" i="9" s="1"/>
  <c r="AC1185" i="9" s="1"/>
  <c r="AC1186" i="9" s="1"/>
  <c r="AC1187" i="9" s="1"/>
  <c r="AC1188" i="9" s="1"/>
  <c r="AC1189" i="9" s="1"/>
  <c r="AC1190" i="9" s="1"/>
  <c r="AC1191" i="9" s="1"/>
  <c r="AC1192" i="9" s="1"/>
  <c r="AC1193" i="9" s="1"/>
  <c r="AC1194" i="9" s="1"/>
  <c r="AC1195" i="9" s="1"/>
  <c r="AC1196" i="9" s="1"/>
  <c r="AC1197" i="9" s="1"/>
  <c r="AC1198" i="9" s="1"/>
  <c r="AC1199" i="9" s="1"/>
  <c r="AC1200" i="9" s="1"/>
  <c r="AC1201" i="9" s="1"/>
  <c r="AC1202" i="9" s="1"/>
  <c r="AC1203" i="9" s="1"/>
  <c r="AC1204" i="9" s="1"/>
  <c r="AC1205" i="9" s="1"/>
  <c r="AC1206" i="9" s="1"/>
  <c r="AC1207" i="9" s="1"/>
  <c r="AC1208" i="9" s="1"/>
  <c r="AC1209" i="9" s="1"/>
  <c r="AC1210" i="9" s="1"/>
  <c r="AC1211" i="9" s="1"/>
  <c r="AC1212" i="9" s="1"/>
  <c r="AC1213" i="9" s="1"/>
  <c r="AC1214" i="9" s="1"/>
  <c r="AC1215" i="9" s="1"/>
  <c r="AC1216" i="9" s="1"/>
  <c r="AC1217" i="9" s="1"/>
  <c r="AC1218" i="9" s="1"/>
  <c r="AC1219" i="9" s="1"/>
  <c r="AC1220" i="9" s="1"/>
  <c r="AC1221" i="9" s="1"/>
  <c r="AC1222" i="9" s="1"/>
  <c r="AC1223" i="9" s="1"/>
  <c r="AC1224" i="9" s="1"/>
  <c r="AC1225" i="9" s="1"/>
  <c r="AC1226" i="9" s="1"/>
  <c r="AC1227" i="9" s="1"/>
  <c r="AC1228" i="9" s="1"/>
  <c r="AC1229" i="9" s="1"/>
  <c r="AC1230" i="9" s="1"/>
  <c r="AC1231" i="9" s="1"/>
  <c r="AC1232" i="9" s="1"/>
  <c r="AC1233" i="9" s="1"/>
  <c r="AC1234" i="9" s="1"/>
  <c r="AC1235" i="9" s="1"/>
  <c r="AC1236" i="9" s="1"/>
  <c r="AC1237" i="9" s="1"/>
  <c r="AC1238" i="9" s="1"/>
  <c r="AC1239" i="9" s="1"/>
  <c r="AC1240" i="9" s="1"/>
  <c r="AC1241" i="9" s="1"/>
  <c r="AC1242" i="9" s="1"/>
  <c r="AC1243" i="9" s="1"/>
  <c r="AC1244" i="9" s="1"/>
  <c r="AC1245" i="9" s="1"/>
  <c r="AC1246" i="9" s="1"/>
  <c r="AC1247" i="9" s="1"/>
  <c r="AC1248" i="9" s="1"/>
  <c r="AC1249" i="9" s="1"/>
  <c r="AC1250" i="9" s="1"/>
  <c r="AC1251" i="9" s="1"/>
  <c r="AC1252" i="9" s="1"/>
  <c r="AC1253" i="9" s="1"/>
  <c r="AC1254" i="9" s="1"/>
  <c r="AC1255" i="9" s="1"/>
  <c r="AC1256" i="9" s="1"/>
  <c r="AC1257" i="9" s="1"/>
  <c r="AC1258" i="9" s="1"/>
  <c r="AC1259" i="9" s="1"/>
  <c r="AC1260" i="9" s="1"/>
  <c r="AC1261" i="9" s="1"/>
  <c r="AC1262" i="9" s="1"/>
  <c r="AC1263" i="9" s="1"/>
  <c r="AC1264" i="9" s="1"/>
  <c r="AC1265" i="9" s="1"/>
  <c r="AC1266" i="9" s="1"/>
  <c r="AC1267" i="9" s="1"/>
  <c r="AC1268" i="9" s="1"/>
  <c r="AC1269" i="9" s="1"/>
  <c r="AC1270" i="9" s="1"/>
  <c r="AC1271" i="9" s="1"/>
  <c r="AC1272" i="9" s="1"/>
  <c r="AC1273" i="9" s="1"/>
  <c r="AC1274" i="9" s="1"/>
  <c r="AC1275" i="9" s="1"/>
  <c r="AC1276" i="9" s="1"/>
  <c r="AC1277" i="9" s="1"/>
  <c r="AC1278" i="9" s="1"/>
  <c r="AC1279" i="9" s="1"/>
  <c r="AC1280" i="9" s="1"/>
  <c r="AC1281" i="9" s="1"/>
  <c r="AC1282" i="9" s="1"/>
  <c r="AC1283" i="9" s="1"/>
  <c r="AC1284" i="9" s="1"/>
  <c r="AC1285" i="9" s="1"/>
  <c r="AC1286" i="9" s="1"/>
  <c r="AC1287" i="9" s="1"/>
  <c r="AC1288" i="9" s="1"/>
  <c r="AC1289" i="9" s="1"/>
  <c r="AC1290" i="9" s="1"/>
  <c r="AC1291" i="9" s="1"/>
  <c r="AC1292" i="9" s="1"/>
  <c r="AC1293" i="9" s="1"/>
  <c r="AC1294" i="9" s="1"/>
  <c r="AC1295" i="9" s="1"/>
  <c r="AC1296" i="9" s="1"/>
  <c r="AC1297" i="9" s="1"/>
  <c r="AC1298" i="9" s="1"/>
  <c r="AC1299" i="9" s="1"/>
  <c r="AC1300" i="9" s="1"/>
  <c r="AC1301" i="9" s="1"/>
  <c r="AC1302" i="9" s="1"/>
  <c r="AC1303" i="9" s="1"/>
  <c r="AC1304" i="9" s="1"/>
  <c r="AC1305" i="9" s="1"/>
  <c r="AC1306" i="9" s="1"/>
  <c r="AC1307" i="9" s="1"/>
  <c r="AC1308" i="9" s="1"/>
  <c r="AC1309" i="9" s="1"/>
  <c r="AC1310" i="9" s="1"/>
  <c r="AC1311" i="9" s="1"/>
  <c r="AC1312" i="9" s="1"/>
  <c r="AC1313" i="9" s="1"/>
  <c r="AC1314" i="9" s="1"/>
  <c r="AC1315" i="9" s="1"/>
  <c r="AC1316" i="9" s="1"/>
  <c r="AC1317" i="9" s="1"/>
  <c r="AC1318" i="9" s="1"/>
  <c r="AC1319" i="9" s="1"/>
  <c r="AC1320" i="9" s="1"/>
  <c r="AC1321" i="9" s="1"/>
  <c r="AC1322" i="9" s="1"/>
  <c r="AC1323" i="9" s="1"/>
  <c r="AC1324" i="9" s="1"/>
  <c r="AC1325" i="9" s="1"/>
  <c r="AC1326" i="9" s="1"/>
  <c r="AC1327" i="9" s="1"/>
  <c r="AC1328" i="9" s="1"/>
  <c r="AC1329" i="9" s="1"/>
  <c r="AC1330" i="9" s="1"/>
  <c r="AC1331" i="9" s="1"/>
  <c r="AC1332" i="9" s="1"/>
  <c r="AC1333" i="9" s="1"/>
  <c r="AC1334" i="9" s="1"/>
  <c r="AC1335" i="9" s="1"/>
  <c r="AC1336" i="9" s="1"/>
  <c r="AC1337" i="9" s="1"/>
  <c r="AC1338" i="9" s="1"/>
  <c r="AC1339" i="9" s="1"/>
  <c r="AC1340" i="9" s="1"/>
  <c r="AC1341" i="9" s="1"/>
  <c r="AC1342" i="9" s="1"/>
  <c r="AC1343" i="9" s="1"/>
  <c r="AC1344" i="9" s="1"/>
  <c r="AC1345" i="9" s="1"/>
  <c r="AC1346" i="9" s="1"/>
  <c r="AC1347" i="9" s="1"/>
  <c r="AC1348" i="9" s="1"/>
  <c r="AC1349" i="9" s="1"/>
  <c r="AC1350" i="9" s="1"/>
  <c r="AC1351" i="9" s="1"/>
  <c r="AC1352" i="9" s="1"/>
  <c r="AC1353" i="9" s="1"/>
  <c r="AC1354" i="9" s="1"/>
  <c r="AC1355" i="9" s="1"/>
  <c r="AC1356" i="9" s="1"/>
  <c r="AC1357" i="9" s="1"/>
  <c r="AC1358" i="9" s="1"/>
  <c r="AC1359" i="9" s="1"/>
  <c r="AC1360" i="9" s="1"/>
  <c r="AC1361" i="9" s="1"/>
  <c r="AC1362" i="9" s="1"/>
  <c r="AC1363" i="9" s="1"/>
  <c r="AC1364" i="9" s="1"/>
  <c r="AC1365" i="9" s="1"/>
  <c r="AC1366" i="9" s="1"/>
  <c r="AC1367" i="9" s="1"/>
  <c r="AC1368" i="9" s="1"/>
  <c r="AC1369" i="9" s="1"/>
  <c r="AC1370" i="9" s="1"/>
  <c r="AC1371" i="9" s="1"/>
  <c r="AC1372" i="9" s="1"/>
  <c r="AC1373" i="9" s="1"/>
  <c r="AC1374" i="9" s="1"/>
  <c r="AC1375" i="9" s="1"/>
  <c r="AC1376" i="9" s="1"/>
  <c r="AC1377" i="9" s="1"/>
  <c r="AC1378" i="9" s="1"/>
  <c r="AC1379" i="9" s="1"/>
  <c r="AC1380" i="9" s="1"/>
  <c r="AC1381" i="9" s="1"/>
  <c r="AC1382" i="9" s="1"/>
  <c r="AC1383" i="9" s="1"/>
  <c r="AC1384" i="9" s="1"/>
  <c r="AC1385" i="9" s="1"/>
  <c r="AC1386" i="9" s="1"/>
  <c r="AC1387" i="9" s="1"/>
  <c r="AC1388" i="9" s="1"/>
  <c r="AC1389" i="9" s="1"/>
  <c r="AC1390" i="9" s="1"/>
  <c r="AC1391" i="9" s="1"/>
  <c r="AC1392" i="9" s="1"/>
  <c r="AC1393" i="9" s="1"/>
  <c r="AC1394" i="9" s="1"/>
  <c r="AC1395" i="9" s="1"/>
  <c r="AC1396" i="9" s="1"/>
  <c r="AC1397" i="9" s="1"/>
  <c r="AC1398" i="9" s="1"/>
  <c r="AC1399" i="9" s="1"/>
  <c r="AC1400" i="9" s="1"/>
  <c r="AC1401" i="9" s="1"/>
  <c r="AC1402" i="9" s="1"/>
  <c r="AC1403" i="9" s="1"/>
  <c r="AC1404" i="9" s="1"/>
  <c r="AC1405" i="9" s="1"/>
  <c r="AC1406" i="9" s="1"/>
  <c r="AC1407" i="9" s="1"/>
  <c r="AC1408" i="9" s="1"/>
  <c r="AC1409" i="9" s="1"/>
  <c r="AC1410" i="9" s="1"/>
  <c r="AC1411" i="9" s="1"/>
  <c r="AC1412" i="9" s="1"/>
  <c r="AC1413" i="9" s="1"/>
  <c r="AC1414" i="9" s="1"/>
  <c r="AC1415" i="9" s="1"/>
  <c r="AC1416" i="9" s="1"/>
  <c r="AC1417" i="9" s="1"/>
  <c r="AC1418" i="9" s="1"/>
  <c r="AC1419" i="9" s="1"/>
  <c r="AC1420" i="9" s="1"/>
  <c r="AC1421" i="9" s="1"/>
  <c r="AC1422" i="9" s="1"/>
  <c r="AC1423" i="9" s="1"/>
  <c r="AC1424" i="9" s="1"/>
  <c r="AC1425" i="9" s="1"/>
  <c r="AC1426" i="9" s="1"/>
  <c r="AC1427" i="9" s="1"/>
  <c r="AC1428" i="9" s="1"/>
  <c r="AC1429" i="9" s="1"/>
  <c r="AC1430" i="9" s="1"/>
  <c r="AC1431" i="9" s="1"/>
  <c r="AC1432" i="9" s="1"/>
  <c r="AC1433" i="9" s="1"/>
  <c r="AC1434" i="9" s="1"/>
  <c r="AC1435" i="9" s="1"/>
  <c r="AC1436" i="9" s="1"/>
  <c r="AC1437" i="9" s="1"/>
  <c r="AC1438" i="9" s="1"/>
  <c r="AC1439" i="9" s="1"/>
  <c r="AC1440" i="9" s="1"/>
  <c r="AC1441" i="9" s="1"/>
  <c r="AC1442" i="9" s="1"/>
  <c r="AC1443" i="9" s="1"/>
  <c r="AC1444" i="9" s="1"/>
  <c r="AC1445" i="9" s="1"/>
  <c r="AC1446" i="9" s="1"/>
  <c r="AC1447" i="9" s="1"/>
  <c r="AC1448" i="9" s="1"/>
  <c r="AC1449" i="9" s="1"/>
  <c r="AC1450" i="9" s="1"/>
  <c r="AC1451" i="9" s="1"/>
  <c r="AC1452" i="9" s="1"/>
  <c r="AC1453" i="9" s="1"/>
  <c r="AC1454" i="9" s="1"/>
  <c r="AC1455" i="9" s="1"/>
  <c r="AC1456" i="9" s="1"/>
  <c r="AC1457" i="9" s="1"/>
  <c r="AC1458" i="9" s="1"/>
  <c r="AC1459" i="9" s="1"/>
  <c r="AC1460" i="9" s="1"/>
  <c r="AC1461" i="9" s="1"/>
  <c r="AC1462" i="9" s="1"/>
  <c r="AC1463" i="9" s="1"/>
  <c r="AC1464" i="9" s="1"/>
  <c r="AC1465" i="9" s="1"/>
  <c r="AC1466" i="9" s="1"/>
  <c r="AC1467" i="9" s="1"/>
  <c r="AC1468" i="9" s="1"/>
  <c r="AC1469" i="9" s="1"/>
  <c r="AC1470" i="9" s="1"/>
  <c r="AC1471" i="9" s="1"/>
  <c r="AC1472" i="9" s="1"/>
  <c r="AC1473" i="9" s="1"/>
  <c r="AC1474" i="9" s="1"/>
  <c r="AC1475" i="9" s="1"/>
  <c r="AC1476" i="9" s="1"/>
  <c r="AC1477" i="9" s="1"/>
  <c r="AC1478" i="9" s="1"/>
  <c r="AC1479" i="9" s="1"/>
  <c r="AC1480" i="9" s="1"/>
  <c r="AC1481" i="9" s="1"/>
  <c r="AC1482" i="9" s="1"/>
  <c r="AC1483" i="9" s="1"/>
  <c r="AC1484" i="9" s="1"/>
  <c r="AC1485" i="9" s="1"/>
  <c r="AC1486" i="9" s="1"/>
  <c r="AC1487" i="9" s="1"/>
  <c r="AC1488" i="9" s="1"/>
  <c r="AC1489" i="9" s="1"/>
  <c r="AC1490" i="9" s="1"/>
  <c r="AC1491" i="9" s="1"/>
  <c r="AC1492" i="9" s="1"/>
  <c r="AC1493" i="9" s="1"/>
  <c r="AC1494" i="9" s="1"/>
  <c r="AC1495" i="9" s="1"/>
  <c r="AC1496" i="9" s="1"/>
  <c r="AC1497" i="9" s="1"/>
  <c r="AC1498" i="9" s="1"/>
  <c r="AC1499" i="9" s="1"/>
  <c r="AC1500" i="9" s="1"/>
  <c r="AC1501" i="9" s="1"/>
  <c r="AC1502" i="9" s="1"/>
  <c r="AC1503" i="9" s="1"/>
  <c r="AC1504" i="9" s="1"/>
  <c r="AC1505" i="9" s="1"/>
  <c r="AC1506" i="9" s="1"/>
  <c r="AC1507" i="9" s="1"/>
  <c r="AC1508" i="9" s="1"/>
  <c r="AC1509" i="9" s="1"/>
  <c r="AC1510" i="9" s="1"/>
  <c r="AC1511" i="9" s="1"/>
  <c r="AC1512" i="9" s="1"/>
  <c r="AC1513" i="9" s="1"/>
  <c r="AC1514" i="9" s="1"/>
  <c r="AC1515" i="9" s="1"/>
  <c r="AC1516" i="9" s="1"/>
  <c r="AC1517" i="9" s="1"/>
  <c r="AC1518" i="9" s="1"/>
  <c r="AC1519" i="9" s="1"/>
  <c r="AC1520" i="9" s="1"/>
  <c r="AC1521" i="9" s="1"/>
  <c r="AC1522" i="9" s="1"/>
  <c r="AC1523" i="9" s="1"/>
  <c r="AC1524" i="9" s="1"/>
  <c r="AC1525" i="9" s="1"/>
  <c r="AC1526" i="9" s="1"/>
  <c r="AC1527" i="9" s="1"/>
  <c r="AC1528" i="9" s="1"/>
  <c r="AC1529" i="9" s="1"/>
  <c r="AC1530" i="9" s="1"/>
  <c r="AC1531" i="9" s="1"/>
  <c r="AC1532" i="9" s="1"/>
  <c r="AC1533" i="9" s="1"/>
  <c r="AC1534" i="9" s="1"/>
  <c r="AC1535" i="9" s="1"/>
  <c r="AC1536" i="9" s="1"/>
  <c r="AC1537" i="9" s="1"/>
  <c r="AC1538" i="9" s="1"/>
  <c r="AC1539" i="9" s="1"/>
  <c r="AC1540" i="9" s="1"/>
  <c r="AC1541" i="9" s="1"/>
  <c r="AC1542" i="9" s="1"/>
  <c r="AC1543" i="9" s="1"/>
  <c r="AC1544" i="9" s="1"/>
  <c r="AC1545" i="9" s="1"/>
  <c r="AC1546" i="9" s="1"/>
  <c r="AC1547" i="9" s="1"/>
  <c r="AC1548" i="9" s="1"/>
  <c r="AC1549" i="9" s="1"/>
  <c r="AC1550" i="9" s="1"/>
  <c r="AC1551" i="9" s="1"/>
  <c r="AC1552" i="9" s="1"/>
  <c r="AC1553" i="9" s="1"/>
  <c r="AC1554" i="9" s="1"/>
  <c r="AC1555" i="9" s="1"/>
  <c r="AC1556" i="9" s="1"/>
  <c r="AC1557" i="9" s="1"/>
  <c r="AC1558" i="9" s="1"/>
  <c r="AC1559" i="9" s="1"/>
  <c r="AC1560" i="9" s="1"/>
  <c r="AC1561" i="9" s="1"/>
  <c r="AC1562" i="9" s="1"/>
  <c r="AC1563" i="9" s="1"/>
  <c r="AC1564" i="9" s="1"/>
  <c r="AC1565" i="9" s="1"/>
  <c r="AC1566" i="9" s="1"/>
  <c r="AC1567" i="9" s="1"/>
  <c r="AC1568" i="9" s="1"/>
  <c r="AC1569" i="9" s="1"/>
  <c r="AC1570" i="9" s="1"/>
  <c r="AC1571" i="9" s="1"/>
  <c r="AC1572" i="9" s="1"/>
  <c r="AC1573" i="9" s="1"/>
  <c r="AC1574" i="9" s="1"/>
  <c r="AC1575" i="9" s="1"/>
  <c r="AC1576" i="9" s="1"/>
  <c r="AC1577" i="9" s="1"/>
  <c r="AC1578" i="9" s="1"/>
  <c r="AC1579" i="9" s="1"/>
  <c r="AC1580" i="9" s="1"/>
  <c r="AC1581" i="9" s="1"/>
  <c r="AC1582" i="9" s="1"/>
  <c r="AC1583" i="9" s="1"/>
  <c r="AC1584" i="9" s="1"/>
  <c r="AC1585" i="9" s="1"/>
  <c r="AC1586" i="9" s="1"/>
  <c r="AC1587" i="9" s="1"/>
  <c r="AC1588" i="9" s="1"/>
  <c r="AC1589" i="9" s="1"/>
  <c r="AC1590" i="9" s="1"/>
  <c r="AC1591" i="9" s="1"/>
  <c r="AC1592" i="9" s="1"/>
  <c r="AC1593" i="9" s="1"/>
  <c r="AC1594" i="9" s="1"/>
  <c r="AC1595" i="9" s="1"/>
  <c r="AC1596" i="9" s="1"/>
  <c r="AC1597" i="9" s="1"/>
  <c r="AC1598" i="9" s="1"/>
  <c r="AC1599" i="9" s="1"/>
  <c r="AC1600" i="9" s="1"/>
  <c r="AC1601" i="9" s="1"/>
  <c r="AC1602" i="9" s="1"/>
  <c r="AC1603" i="9" s="1"/>
  <c r="AC1604" i="9" s="1"/>
  <c r="AC1605" i="9" s="1"/>
  <c r="AC1606" i="9" s="1"/>
  <c r="AC1607" i="9" s="1"/>
  <c r="AC1608" i="9" s="1"/>
  <c r="AC1609" i="9" s="1"/>
  <c r="AC1610" i="9" s="1"/>
  <c r="AC1611" i="9" s="1"/>
  <c r="AC1612" i="9" s="1"/>
  <c r="AC1613" i="9" s="1"/>
  <c r="AC1614" i="9" s="1"/>
  <c r="AC1615" i="9" s="1"/>
  <c r="AC1616" i="9" s="1"/>
  <c r="AC1617" i="9" s="1"/>
  <c r="AC1618" i="9" s="1"/>
  <c r="AC1619" i="9" s="1"/>
  <c r="AC1620" i="9" s="1"/>
  <c r="AC1621" i="9" s="1"/>
  <c r="AC1622" i="9" s="1"/>
  <c r="AC1623" i="9" s="1"/>
  <c r="AC1624" i="9" s="1"/>
  <c r="AC1625" i="9" s="1"/>
  <c r="AC1626" i="9" s="1"/>
  <c r="AC1627" i="9" s="1"/>
  <c r="AC1628" i="9" s="1"/>
  <c r="AC1629" i="9" s="1"/>
  <c r="AC1630" i="9" s="1"/>
  <c r="AC1631" i="9" s="1"/>
  <c r="AC1632" i="9" s="1"/>
  <c r="AC1633" i="9" s="1"/>
  <c r="AC1634" i="9" s="1"/>
  <c r="AC1635" i="9" s="1"/>
  <c r="AC1636" i="9" s="1"/>
  <c r="AC1637" i="9" s="1"/>
  <c r="AC1638" i="9" s="1"/>
  <c r="AC1639" i="9" s="1"/>
  <c r="AC1640" i="9" s="1"/>
  <c r="AC1641" i="9" s="1"/>
  <c r="AC1642" i="9" s="1"/>
  <c r="AC1643" i="9" s="1"/>
  <c r="AC1644" i="9" s="1"/>
  <c r="AC1645" i="9" s="1"/>
  <c r="AC1646" i="9" s="1"/>
  <c r="AC1647" i="9" s="1"/>
  <c r="AC1648" i="9" s="1"/>
  <c r="AC1649" i="9" s="1"/>
  <c r="AC1650" i="9" s="1"/>
  <c r="AC1651" i="9" s="1"/>
  <c r="AC1652" i="9" s="1"/>
  <c r="AC1653" i="9" s="1"/>
  <c r="AC1654" i="9" s="1"/>
  <c r="AC1655" i="9" s="1"/>
  <c r="AC1656" i="9" s="1"/>
  <c r="AC1657" i="9" s="1"/>
  <c r="AC1658" i="9" s="1"/>
  <c r="AC1659" i="9" s="1"/>
  <c r="AC1660" i="9" s="1"/>
  <c r="AC1661" i="9" s="1"/>
  <c r="AC1662" i="9" s="1"/>
  <c r="AC1663" i="9" s="1"/>
  <c r="AC1664" i="9" s="1"/>
  <c r="AC1665" i="9" s="1"/>
  <c r="AC1666" i="9" s="1"/>
  <c r="AC1667" i="9" s="1"/>
  <c r="AC1668" i="9" s="1"/>
  <c r="AC1669" i="9" s="1"/>
  <c r="AC1670" i="9" s="1"/>
  <c r="AC1671" i="9" s="1"/>
  <c r="AC1672" i="9" s="1"/>
  <c r="AC1673" i="9" s="1"/>
  <c r="AC1674" i="9" s="1"/>
  <c r="AC1675" i="9" s="1"/>
  <c r="AC1676" i="9" s="1"/>
  <c r="AC1677" i="9" s="1"/>
  <c r="AC1678" i="9" s="1"/>
  <c r="AC1679" i="9" s="1"/>
  <c r="AC1680" i="9" s="1"/>
  <c r="AC1681" i="9" s="1"/>
  <c r="AC1682" i="9" s="1"/>
  <c r="AC1683" i="9" s="1"/>
  <c r="AC1684" i="9" s="1"/>
  <c r="AC1685" i="9" s="1"/>
  <c r="AC1686" i="9" s="1"/>
  <c r="AC1687" i="9" s="1"/>
  <c r="AC1688" i="9" s="1"/>
  <c r="AC1689" i="9" s="1"/>
  <c r="AC1690" i="9" s="1"/>
  <c r="AC1691" i="9" s="1"/>
  <c r="AC1692" i="9" s="1"/>
  <c r="AC1693" i="9" s="1"/>
  <c r="AC1694" i="9" s="1"/>
  <c r="AC1695" i="9" s="1"/>
  <c r="AC1696" i="9" s="1"/>
  <c r="AC1697" i="9" s="1"/>
  <c r="AC1698" i="9" s="1"/>
  <c r="AC1699" i="9" s="1"/>
  <c r="AC1700" i="9" s="1"/>
  <c r="AC1701" i="9" s="1"/>
  <c r="AC1702" i="9" s="1"/>
  <c r="AC1703" i="9" s="1"/>
  <c r="AC1704" i="9" s="1"/>
  <c r="AC1705" i="9" s="1"/>
  <c r="AC1706" i="9" s="1"/>
  <c r="AC1707" i="9" s="1"/>
  <c r="AC1708" i="9" s="1"/>
  <c r="AC1709" i="9" s="1"/>
  <c r="AC1710" i="9" s="1"/>
  <c r="AC1711" i="9" s="1"/>
  <c r="AC1712" i="9" s="1"/>
  <c r="AC1713" i="9" s="1"/>
  <c r="AC1714" i="9" s="1"/>
  <c r="AC1715" i="9" s="1"/>
  <c r="AC1716" i="9" s="1"/>
  <c r="AC1717" i="9" s="1"/>
  <c r="AC1718" i="9" s="1"/>
  <c r="AC1719" i="9" s="1"/>
  <c r="AC1720" i="9" s="1"/>
  <c r="AC1721" i="9" s="1"/>
  <c r="AC1722" i="9" s="1"/>
  <c r="AC1723" i="9" s="1"/>
  <c r="AC1724" i="9" s="1"/>
  <c r="AC1725" i="9" s="1"/>
  <c r="AC1726" i="9" s="1"/>
  <c r="AC1727" i="9" s="1"/>
  <c r="AC1728" i="9" s="1"/>
  <c r="AC1729" i="9" s="1"/>
  <c r="AC1730" i="9" s="1"/>
  <c r="AC1731" i="9" s="1"/>
  <c r="AC1732" i="9" s="1"/>
  <c r="AC1733" i="9" s="1"/>
  <c r="AC1734" i="9" s="1"/>
  <c r="AC1735" i="9" s="1"/>
  <c r="AC1736" i="9" s="1"/>
  <c r="AC1737" i="9" s="1"/>
  <c r="AC1738" i="9" s="1"/>
  <c r="AC1739" i="9" s="1"/>
  <c r="AC1740" i="9" s="1"/>
  <c r="AC1741" i="9" s="1"/>
  <c r="AC1742" i="9" s="1"/>
  <c r="AC1743" i="9" s="1"/>
  <c r="AC1744" i="9" s="1"/>
  <c r="AC1745" i="9" s="1"/>
  <c r="AC1746" i="9" s="1"/>
  <c r="AC1747" i="9" s="1"/>
  <c r="AC1748" i="9" s="1"/>
  <c r="AC1749" i="9" s="1"/>
  <c r="AC1750" i="9" s="1"/>
  <c r="AC1751" i="9" s="1"/>
  <c r="AC1752" i="9" s="1"/>
  <c r="AC1753" i="9" s="1"/>
  <c r="AC1754" i="9" s="1"/>
  <c r="AC1755" i="9" s="1"/>
  <c r="AC1756" i="9" s="1"/>
  <c r="AC1757" i="9" s="1"/>
  <c r="AC1758" i="9" s="1"/>
  <c r="AC1759" i="9" s="1"/>
  <c r="AC1760" i="9" s="1"/>
  <c r="AC1761" i="9" s="1"/>
  <c r="AC1762" i="9" s="1"/>
  <c r="AC1763" i="9" s="1"/>
  <c r="AC1764" i="9" s="1"/>
  <c r="AC1765" i="9" s="1"/>
  <c r="AC1766" i="9" s="1"/>
  <c r="AC1767" i="9" s="1"/>
  <c r="AC1768" i="9" s="1"/>
  <c r="AC1769" i="9" s="1"/>
  <c r="AC1770" i="9" s="1"/>
  <c r="AC1771" i="9" s="1"/>
  <c r="AC1772" i="9" s="1"/>
  <c r="AC1773" i="9" s="1"/>
  <c r="AC1774" i="9" s="1"/>
  <c r="AC1775" i="9" s="1"/>
  <c r="AC1776" i="9" s="1"/>
  <c r="AC1777" i="9" s="1"/>
  <c r="AC1778" i="9" s="1"/>
  <c r="AC1779" i="9" s="1"/>
  <c r="AC1780" i="9" s="1"/>
  <c r="AC1781" i="9" s="1"/>
  <c r="AC1782" i="9" s="1"/>
  <c r="AC1783" i="9" s="1"/>
  <c r="AC1784" i="9" s="1"/>
  <c r="AC1785" i="9" s="1"/>
  <c r="AC1786" i="9" s="1"/>
  <c r="AC1787" i="9" s="1"/>
  <c r="AC1788" i="9" s="1"/>
  <c r="AC1789" i="9" s="1"/>
  <c r="AC1790" i="9" s="1"/>
  <c r="AC1791" i="9" s="1"/>
  <c r="AC1792" i="9" s="1"/>
  <c r="AC1793" i="9" s="1"/>
  <c r="AC1794" i="9" s="1"/>
  <c r="AC1795" i="9" s="1"/>
  <c r="AC1796" i="9" s="1"/>
  <c r="AC1797" i="9" s="1"/>
  <c r="AC1798" i="9" s="1"/>
  <c r="AC1799" i="9" s="1"/>
  <c r="AC1800" i="9" s="1"/>
  <c r="AC1801" i="9" s="1"/>
  <c r="AC1802" i="9" s="1"/>
  <c r="AC1803" i="9" s="1"/>
  <c r="AC1804" i="9" s="1"/>
  <c r="AC1805" i="9" s="1"/>
  <c r="AC1806" i="9" s="1"/>
  <c r="AC1807" i="9" s="1"/>
  <c r="AC1808" i="9" s="1"/>
  <c r="AC1809" i="9" s="1"/>
  <c r="AC1810" i="9" s="1"/>
  <c r="AC1811" i="9" s="1"/>
  <c r="AC1812" i="9" s="1"/>
  <c r="AC1813" i="9" s="1"/>
  <c r="AC1814" i="9" s="1"/>
  <c r="AC1815" i="9" s="1"/>
  <c r="AC1816" i="9" s="1"/>
  <c r="AC1817" i="9" s="1"/>
  <c r="AC1818" i="9" s="1"/>
  <c r="AC1819" i="9" s="1"/>
  <c r="AC1820" i="9" s="1"/>
  <c r="AC1821" i="9" s="1"/>
  <c r="AC1822" i="9" s="1"/>
  <c r="AC1823" i="9" s="1"/>
  <c r="AC1824" i="9" s="1"/>
  <c r="AC1825" i="9" s="1"/>
  <c r="AC1826" i="9" s="1"/>
  <c r="AC1827" i="9" s="1"/>
  <c r="AC1828" i="9" s="1"/>
  <c r="AC1829" i="9" s="1"/>
  <c r="AC1830" i="9" s="1"/>
  <c r="AC1831" i="9" s="1"/>
  <c r="AC1832" i="9" s="1"/>
  <c r="AC1833" i="9" s="1"/>
  <c r="AC1834" i="9" s="1"/>
  <c r="AC1835" i="9" s="1"/>
  <c r="AC1836" i="9" s="1"/>
  <c r="AC1837" i="9" s="1"/>
  <c r="AC1838" i="9" s="1"/>
  <c r="AC1839" i="9" s="1"/>
  <c r="AC1840" i="9" s="1"/>
  <c r="AC1841" i="9" s="1"/>
  <c r="AC1842" i="9" s="1"/>
  <c r="AC1843" i="9" s="1"/>
  <c r="AC1844" i="9" s="1"/>
  <c r="AC1845" i="9" s="1"/>
  <c r="AC1846" i="9" s="1"/>
  <c r="AC1847" i="9" s="1"/>
  <c r="AC1848" i="9" s="1"/>
  <c r="AC1849" i="9" s="1"/>
  <c r="AC1850" i="9" s="1"/>
  <c r="AC1851" i="9" s="1"/>
  <c r="AC1852" i="9" s="1"/>
  <c r="AC1853" i="9" s="1"/>
  <c r="AC1854" i="9" s="1"/>
  <c r="AC1855" i="9" s="1"/>
  <c r="AC1856" i="9" s="1"/>
  <c r="AC1857" i="9" s="1"/>
  <c r="AC1858" i="9" s="1"/>
  <c r="AC1859" i="9" s="1"/>
  <c r="AC1860" i="9" s="1"/>
  <c r="AC1861" i="9" s="1"/>
  <c r="AC1862" i="9" s="1"/>
  <c r="AC1863" i="9" s="1"/>
  <c r="AC1864" i="9" s="1"/>
  <c r="AC1865" i="9" s="1"/>
  <c r="AC1866" i="9" s="1"/>
  <c r="AC1867" i="9" s="1"/>
  <c r="AC1868" i="9" s="1"/>
  <c r="AC1869" i="9" s="1"/>
  <c r="AC1870" i="9" s="1"/>
  <c r="AC1871" i="9" s="1"/>
  <c r="AC1872" i="9" s="1"/>
  <c r="AC1873" i="9" s="1"/>
  <c r="AC1874" i="9" s="1"/>
  <c r="AC1875" i="9" s="1"/>
  <c r="AC1876" i="9" s="1"/>
  <c r="AC1877" i="9" s="1"/>
  <c r="AC1878" i="9" s="1"/>
  <c r="AC1879" i="9" s="1"/>
  <c r="AC1880" i="9" s="1"/>
  <c r="AC1881" i="9" s="1"/>
  <c r="AC1882" i="9" s="1"/>
  <c r="AC1883" i="9" s="1"/>
  <c r="AC1884" i="9" s="1"/>
  <c r="AC1885" i="9" s="1"/>
  <c r="AC1886" i="9" s="1"/>
  <c r="AC1887" i="9" s="1"/>
  <c r="AC1888" i="9" s="1"/>
  <c r="AC1889" i="9" s="1"/>
  <c r="AC1890" i="9" s="1"/>
  <c r="AC1891" i="9" s="1"/>
  <c r="AC1892" i="9" s="1"/>
  <c r="AC1893" i="9" s="1"/>
  <c r="AC1894" i="9" s="1"/>
  <c r="AC1895" i="9" s="1"/>
  <c r="AC1896" i="9" s="1"/>
  <c r="AC1897" i="9" s="1"/>
  <c r="AC1898" i="9" s="1"/>
  <c r="AC1899" i="9" s="1"/>
  <c r="AC1900" i="9" s="1"/>
  <c r="AC1901" i="9" s="1"/>
  <c r="AC1902" i="9" s="1"/>
  <c r="AC1903" i="9" s="1"/>
  <c r="AC1904" i="9" s="1"/>
  <c r="AC1905" i="9" s="1"/>
  <c r="AC1906" i="9" s="1"/>
  <c r="AC1907" i="9" s="1"/>
  <c r="AC1908" i="9" s="1"/>
  <c r="AC1909" i="9" s="1"/>
  <c r="AC1910" i="9" s="1"/>
  <c r="AC1911" i="9" s="1"/>
  <c r="AC1912" i="9" s="1"/>
  <c r="AC1913" i="9" s="1"/>
  <c r="AC1914" i="9" s="1"/>
  <c r="AC1915" i="9" s="1"/>
  <c r="AC1916" i="9" s="1"/>
  <c r="AC1917" i="9" s="1"/>
  <c r="AC1918" i="9" s="1"/>
  <c r="AC1919" i="9" s="1"/>
  <c r="AC1920" i="9" s="1"/>
  <c r="AC1921" i="9" s="1"/>
  <c r="AC1922" i="9" s="1"/>
  <c r="AC1923" i="9" s="1"/>
  <c r="AC1924" i="9" s="1"/>
  <c r="AC1925" i="9" s="1"/>
  <c r="AC1926" i="9" s="1"/>
  <c r="AC1927" i="9" s="1"/>
  <c r="AC1928" i="9" s="1"/>
  <c r="AC1929" i="9" s="1"/>
  <c r="AC1930" i="9" s="1"/>
  <c r="AC1931" i="9" s="1"/>
  <c r="AC1932" i="9" s="1"/>
  <c r="AC1933" i="9" s="1"/>
  <c r="AC1934" i="9" s="1"/>
  <c r="AC1935" i="9" s="1"/>
  <c r="AC1936" i="9" s="1"/>
  <c r="AC1937" i="9" s="1"/>
  <c r="AC1938" i="9" s="1"/>
  <c r="AC1939" i="9" s="1"/>
  <c r="AC1940" i="9" s="1"/>
  <c r="AC1941" i="9" s="1"/>
  <c r="AC1942" i="9" s="1"/>
  <c r="AC1943" i="9" s="1"/>
  <c r="AC1944" i="9" s="1"/>
  <c r="AC1945" i="9" s="1"/>
  <c r="AC1946" i="9" s="1"/>
  <c r="AC1947" i="9" s="1"/>
  <c r="AC1948" i="9" s="1"/>
  <c r="AC1949" i="9" s="1"/>
  <c r="AC1950" i="9" s="1"/>
  <c r="AC1951" i="9" s="1"/>
  <c r="AC1952" i="9" s="1"/>
  <c r="AC1953" i="9" s="1"/>
  <c r="AC1954" i="9" s="1"/>
  <c r="AC1955" i="9" s="1"/>
  <c r="AC1956" i="9" s="1"/>
  <c r="AC1957" i="9" s="1"/>
  <c r="AC1958" i="9" s="1"/>
  <c r="AC1959" i="9" s="1"/>
  <c r="AC1960" i="9" s="1"/>
  <c r="AC1961" i="9" s="1"/>
  <c r="AC1962" i="9" s="1"/>
  <c r="AC1963" i="9" s="1"/>
  <c r="AC1964" i="9" s="1"/>
  <c r="AC1965" i="9" s="1"/>
  <c r="AC1966" i="9" s="1"/>
  <c r="AC1967" i="9" s="1"/>
  <c r="AC1968" i="9" s="1"/>
  <c r="AC1969" i="9" s="1"/>
  <c r="AC1970" i="9" s="1"/>
  <c r="AC1971" i="9" s="1"/>
  <c r="AC1972" i="9" s="1"/>
  <c r="AC1973" i="9" s="1"/>
  <c r="AC1974" i="9" s="1"/>
  <c r="AC1975" i="9" s="1"/>
  <c r="AC1976" i="9" s="1"/>
  <c r="AC1977" i="9" s="1"/>
  <c r="AC1978" i="9" s="1"/>
  <c r="AC1979" i="9" s="1"/>
  <c r="AC1980" i="9" s="1"/>
  <c r="AC1981" i="9" s="1"/>
  <c r="AC1982" i="9" s="1"/>
  <c r="AC1983" i="9" s="1"/>
  <c r="AC1984" i="9" s="1"/>
  <c r="AC1985" i="9" s="1"/>
  <c r="AC1986" i="9" s="1"/>
  <c r="AC1987" i="9" s="1"/>
  <c r="AC1988" i="9" s="1"/>
  <c r="AC1989" i="9" s="1"/>
  <c r="AC1990" i="9" s="1"/>
  <c r="AC1991" i="9" s="1"/>
  <c r="AC1992" i="9" s="1"/>
  <c r="AC1993" i="9" s="1"/>
  <c r="AC1994" i="9" s="1"/>
  <c r="AC1995" i="9" s="1"/>
  <c r="AC1996" i="9" s="1"/>
  <c r="AC1997" i="9" s="1"/>
  <c r="AC1998" i="9" s="1"/>
  <c r="AC1999" i="9" s="1"/>
  <c r="AC2000" i="9" s="1"/>
  <c r="AC2001" i="9" s="1"/>
  <c r="AC2002" i="9" s="1"/>
  <c r="AC2003" i="9" s="1"/>
  <c r="AC2004" i="9" s="1"/>
  <c r="AC2005" i="9" s="1"/>
  <c r="AC2006" i="9" s="1"/>
  <c r="AC2007" i="9" s="1"/>
  <c r="AC2008" i="9" s="1"/>
  <c r="AC2009" i="9" s="1"/>
  <c r="AC2010" i="9" s="1"/>
  <c r="AC2011" i="9" s="1"/>
  <c r="AC2012" i="9" s="1"/>
  <c r="AC2013" i="9" s="1"/>
  <c r="AC2014" i="9" s="1"/>
  <c r="AC2015" i="9" s="1"/>
  <c r="AC2016" i="9" s="1"/>
  <c r="AC2017" i="9" s="1"/>
  <c r="AC2018" i="9" s="1"/>
  <c r="AC2019" i="9" s="1"/>
  <c r="AC2020" i="9" s="1"/>
  <c r="AC2021" i="9" s="1"/>
  <c r="AC2022" i="9" s="1"/>
  <c r="AC2023" i="9" s="1"/>
  <c r="AC2024" i="9" s="1"/>
  <c r="AC2025" i="9" s="1"/>
  <c r="AC2026" i="9" s="1"/>
  <c r="AC2027" i="9" s="1"/>
  <c r="AC2028" i="9" s="1"/>
  <c r="AC2029" i="9" s="1"/>
  <c r="AC2030" i="9" s="1"/>
  <c r="AC2031" i="9" s="1"/>
  <c r="AC2032" i="9" s="1"/>
  <c r="AC2033" i="9" s="1"/>
  <c r="E7" i="9"/>
  <c r="E12" i="9" s="1"/>
  <c r="N694" i="5"/>
  <c r="O694" i="5" s="1"/>
  <c r="P694" i="5" s="1"/>
  <c r="M695" i="5" s="1"/>
  <c r="N1294" i="5"/>
  <c r="O1294" i="5" s="1"/>
  <c r="P1294" i="5" s="1"/>
  <c r="M1295" i="5" s="1"/>
  <c r="N814" i="5"/>
  <c r="O814" i="5" s="1"/>
  <c r="P814" i="5" s="1"/>
  <c r="M815" i="5" s="1"/>
  <c r="N634" i="5"/>
  <c r="O634" i="5" s="1"/>
  <c r="P634" i="5"/>
  <c r="M635" i="5" s="1"/>
  <c r="N1173" i="5"/>
  <c r="O1173" i="5" s="1"/>
  <c r="P1173" i="5" s="1"/>
  <c r="M1174" i="5" s="1"/>
  <c r="N1054" i="5"/>
  <c r="O1054" i="5" s="1"/>
  <c r="P1054" i="5"/>
  <c r="M1055" i="5" s="1"/>
  <c r="N1114" i="5"/>
  <c r="O1114" i="5" s="1"/>
  <c r="P1114" i="5" s="1"/>
  <c r="M1115" i="5" s="1"/>
  <c r="N1233" i="5"/>
  <c r="O1233" i="5" s="1"/>
  <c r="P1233" i="5"/>
  <c r="M1234" i="5" s="1"/>
  <c r="N418" i="5"/>
  <c r="O418" i="5" s="1"/>
  <c r="P418" i="5" s="1"/>
  <c r="M419" i="5" s="1"/>
  <c r="N994" i="5"/>
  <c r="O994" i="5" s="1"/>
  <c r="P994" i="5" s="1"/>
  <c r="M995" i="5" s="1"/>
  <c r="N10" i="5"/>
  <c r="O10" i="5" s="1"/>
  <c r="P10" i="5" s="1"/>
  <c r="M11" i="5" s="1"/>
  <c r="N514" i="5"/>
  <c r="O514" i="5" s="1"/>
  <c r="P514" i="5"/>
  <c r="M515" i="5" s="1"/>
  <c r="N874" i="5"/>
  <c r="O874" i="5" s="1"/>
  <c r="P874" i="5" s="1"/>
  <c r="M875" i="5" s="1"/>
  <c r="N454" i="5"/>
  <c r="O454" i="5" s="1"/>
  <c r="P454" i="5"/>
  <c r="M455" i="5" s="1"/>
  <c r="N334" i="5"/>
  <c r="O334" i="5" s="1"/>
  <c r="P334" i="5" s="1"/>
  <c r="M335" i="5" s="1"/>
  <c r="N574" i="5"/>
  <c r="O574" i="5" s="1"/>
  <c r="P574" i="5" s="1"/>
  <c r="M575" i="5" s="1"/>
  <c r="N754" i="5"/>
  <c r="O754" i="5" s="1"/>
  <c r="P754" i="5" s="1"/>
  <c r="M755" i="5" s="1"/>
  <c r="N934" i="5"/>
  <c r="O934" i="5" s="1"/>
  <c r="P934" i="5" s="1"/>
  <c r="M935" i="5" s="1"/>
  <c r="N250" i="5"/>
  <c r="O250" i="5" s="1"/>
  <c r="P250" i="5" s="1"/>
  <c r="M251" i="5" s="1"/>
  <c r="E11" i="9" l="1"/>
  <c r="H7" i="9"/>
  <c r="H12" i="9"/>
  <c r="N11" i="5"/>
  <c r="O11" i="5" s="1"/>
  <c r="P11" i="5" s="1"/>
  <c r="M12" i="5" s="1"/>
  <c r="N1174" i="5"/>
  <c r="O1174" i="5" s="1"/>
  <c r="P1174" i="5"/>
  <c r="M1175" i="5" s="1"/>
  <c r="N335" i="5"/>
  <c r="O335" i="5" s="1"/>
  <c r="P335" i="5" s="1"/>
  <c r="M336" i="5" s="1"/>
  <c r="N815" i="5"/>
  <c r="O815" i="5" s="1"/>
  <c r="P815" i="5"/>
  <c r="M816" i="5" s="1"/>
  <c r="N251" i="5"/>
  <c r="O251" i="5" s="1"/>
  <c r="P251" i="5" s="1"/>
  <c r="M252" i="5" s="1"/>
  <c r="N875" i="5"/>
  <c r="O875" i="5" s="1"/>
  <c r="P875" i="5" s="1"/>
  <c r="M876" i="5" s="1"/>
  <c r="N419" i="5"/>
  <c r="O419" i="5" s="1"/>
  <c r="P419" i="5" s="1"/>
  <c r="M420" i="5" s="1"/>
  <c r="N1115" i="5"/>
  <c r="O1115" i="5" s="1"/>
  <c r="P1115" i="5" s="1"/>
  <c r="M1116" i="5" s="1"/>
  <c r="N755" i="5"/>
  <c r="O755" i="5" s="1"/>
  <c r="P755" i="5" s="1"/>
  <c r="M756" i="5" s="1"/>
  <c r="N695" i="5"/>
  <c r="O695" i="5" s="1"/>
  <c r="P695" i="5"/>
  <c r="M696" i="5" s="1"/>
  <c r="N515" i="5"/>
  <c r="O515" i="5" s="1"/>
  <c r="P515" i="5" s="1"/>
  <c r="M516" i="5" s="1"/>
  <c r="N635" i="5"/>
  <c r="O635" i="5" s="1"/>
  <c r="P635" i="5"/>
  <c r="M636" i="5" s="1"/>
  <c r="N575" i="5"/>
  <c r="O575" i="5" s="1"/>
  <c r="P575" i="5"/>
  <c r="M576" i="5" s="1"/>
  <c r="N1234" i="5"/>
  <c r="O1234" i="5" s="1"/>
  <c r="P1234" i="5" s="1"/>
  <c r="M1235" i="5" s="1"/>
  <c r="N935" i="5"/>
  <c r="O935" i="5" s="1"/>
  <c r="P935" i="5" s="1"/>
  <c r="M936" i="5" s="1"/>
  <c r="N455" i="5"/>
  <c r="O455" i="5" s="1"/>
  <c r="P455" i="5"/>
  <c r="M456" i="5" s="1"/>
  <c r="N995" i="5"/>
  <c r="O995" i="5" s="1"/>
  <c r="P995" i="5" s="1"/>
  <c r="M996" i="5" s="1"/>
  <c r="N1055" i="5"/>
  <c r="O1055" i="5" s="1"/>
  <c r="P1055" i="5"/>
  <c r="M1056" i="5" s="1"/>
  <c r="N1295" i="5"/>
  <c r="O1295" i="5" s="1"/>
  <c r="P1295" i="5" s="1"/>
  <c r="M1296" i="5" s="1"/>
  <c r="I7" i="9" l="1"/>
  <c r="H11" i="9"/>
  <c r="N336" i="5"/>
  <c r="O336" i="5" s="1"/>
  <c r="P336" i="5" s="1"/>
  <c r="M337" i="5" s="1"/>
  <c r="N996" i="5"/>
  <c r="O996" i="5" s="1"/>
  <c r="P996" i="5" s="1"/>
  <c r="M997" i="5" s="1"/>
  <c r="N1296" i="5"/>
  <c r="O1296" i="5" s="1"/>
  <c r="P1296" i="5"/>
  <c r="M1297" i="5" s="1"/>
  <c r="N420" i="5"/>
  <c r="O420" i="5" s="1"/>
  <c r="P420" i="5" s="1"/>
  <c r="M421" i="5" s="1"/>
  <c r="N516" i="5"/>
  <c r="O516" i="5" s="1"/>
  <c r="P516" i="5" s="1"/>
  <c r="M517" i="5" s="1"/>
  <c r="N936" i="5"/>
  <c r="O936" i="5" s="1"/>
  <c r="P936" i="5" s="1"/>
  <c r="M937" i="5" s="1"/>
  <c r="N456" i="5"/>
  <c r="O456" i="5" s="1"/>
  <c r="P456" i="5"/>
  <c r="M457" i="5" s="1"/>
  <c r="N816" i="5"/>
  <c r="O816" i="5" s="1"/>
  <c r="P816" i="5"/>
  <c r="M817" i="5" s="1"/>
  <c r="N636" i="5"/>
  <c r="O636" i="5" s="1"/>
  <c r="P636" i="5" s="1"/>
  <c r="M637" i="5" s="1"/>
  <c r="N1116" i="5"/>
  <c r="O1116" i="5" s="1"/>
  <c r="P1116" i="5"/>
  <c r="M1117" i="5" s="1"/>
  <c r="N1056" i="5"/>
  <c r="O1056" i="5" s="1"/>
  <c r="P1056" i="5" s="1"/>
  <c r="M1057" i="5" s="1"/>
  <c r="N1235" i="5"/>
  <c r="O1235" i="5" s="1"/>
  <c r="P1235" i="5"/>
  <c r="M1236" i="5" s="1"/>
  <c r="N696" i="5"/>
  <c r="O696" i="5" s="1"/>
  <c r="P696" i="5" s="1"/>
  <c r="M697" i="5" s="1"/>
  <c r="N876" i="5"/>
  <c r="O876" i="5" s="1"/>
  <c r="P876" i="5" s="1"/>
  <c r="M877" i="5" s="1"/>
  <c r="N1175" i="5"/>
  <c r="O1175" i="5" s="1"/>
  <c r="P1175" i="5" s="1"/>
  <c r="M1176" i="5" s="1"/>
  <c r="N576" i="5"/>
  <c r="O576" i="5" s="1"/>
  <c r="P576" i="5"/>
  <c r="M577" i="5" s="1"/>
  <c r="N756" i="5"/>
  <c r="O756" i="5" s="1"/>
  <c r="P756" i="5" s="1"/>
  <c r="M757" i="5" s="1"/>
  <c r="N252" i="5"/>
  <c r="O252" i="5" s="1"/>
  <c r="P252" i="5" s="1"/>
  <c r="M253" i="5" s="1"/>
  <c r="N12" i="5"/>
  <c r="O12" i="5" s="1"/>
  <c r="P12" i="5"/>
  <c r="M13" i="5" s="1"/>
  <c r="I11" i="9" l="1"/>
  <c r="J7" i="9"/>
  <c r="I12" i="9"/>
  <c r="N637" i="5"/>
  <c r="O637" i="5" s="1"/>
  <c r="P637" i="5" s="1"/>
  <c r="M638" i="5" s="1"/>
  <c r="N517" i="5"/>
  <c r="O517" i="5" s="1"/>
  <c r="P517" i="5" s="1"/>
  <c r="M518" i="5" s="1"/>
  <c r="N757" i="5"/>
  <c r="O757" i="5" s="1"/>
  <c r="P757" i="5"/>
  <c r="M758" i="5" s="1"/>
  <c r="N697" i="5"/>
  <c r="O697" i="5" s="1"/>
  <c r="P697" i="5" s="1"/>
  <c r="M698" i="5" s="1"/>
  <c r="N337" i="5"/>
  <c r="O337" i="5" s="1"/>
  <c r="P337" i="5" s="1"/>
  <c r="M338" i="5" s="1"/>
  <c r="N577" i="5"/>
  <c r="O577" i="5" s="1"/>
  <c r="P577" i="5"/>
  <c r="M578" i="5" s="1"/>
  <c r="N1236" i="5"/>
  <c r="O1236" i="5" s="1"/>
  <c r="P1236" i="5"/>
  <c r="M1237" i="5" s="1"/>
  <c r="N817" i="5"/>
  <c r="O817" i="5" s="1"/>
  <c r="P817" i="5"/>
  <c r="M818" i="5" s="1"/>
  <c r="N421" i="5"/>
  <c r="O421" i="5" s="1"/>
  <c r="P421" i="5" s="1"/>
  <c r="M422" i="5" s="1"/>
  <c r="N13" i="5"/>
  <c r="O13" i="5" s="1"/>
  <c r="P13" i="5"/>
  <c r="M14" i="5" s="1"/>
  <c r="N1297" i="5"/>
  <c r="O1297" i="5" s="1"/>
  <c r="P1297" i="5" s="1"/>
  <c r="M1298" i="5" s="1"/>
  <c r="N253" i="5"/>
  <c r="O253" i="5" s="1"/>
  <c r="P253" i="5"/>
  <c r="M254" i="5" s="1"/>
  <c r="N877" i="5"/>
  <c r="O877" i="5" s="1"/>
  <c r="P877" i="5" s="1"/>
  <c r="M878" i="5" s="1"/>
  <c r="N1117" i="5"/>
  <c r="O1117" i="5" s="1"/>
  <c r="P1117" i="5" s="1"/>
  <c r="M1118" i="5" s="1"/>
  <c r="N937" i="5"/>
  <c r="O937" i="5" s="1"/>
  <c r="P937" i="5"/>
  <c r="M938" i="5" s="1"/>
  <c r="N997" i="5"/>
  <c r="O997" i="5" s="1"/>
  <c r="P997" i="5" s="1"/>
  <c r="M998" i="5" s="1"/>
  <c r="N1057" i="5"/>
  <c r="O1057" i="5" s="1"/>
  <c r="P1057" i="5" s="1"/>
  <c r="M1058" i="5" s="1"/>
  <c r="N1176" i="5"/>
  <c r="O1176" i="5" s="1"/>
  <c r="P1176" i="5"/>
  <c r="M1177" i="5" s="1"/>
  <c r="N457" i="5"/>
  <c r="O457" i="5" s="1"/>
  <c r="P457" i="5" s="1"/>
  <c r="M458" i="5" s="1"/>
  <c r="J12" i="9" l="1"/>
  <c r="J11" i="9"/>
  <c r="K7" i="9"/>
  <c r="N1118" i="5"/>
  <c r="O1118" i="5" s="1"/>
  <c r="P1118" i="5" s="1"/>
  <c r="M1119" i="5" s="1"/>
  <c r="N422" i="5"/>
  <c r="O422" i="5" s="1"/>
  <c r="P422" i="5"/>
  <c r="M423" i="5" s="1"/>
  <c r="N878" i="5"/>
  <c r="O878" i="5" s="1"/>
  <c r="P878" i="5" s="1"/>
  <c r="M879" i="5" s="1"/>
  <c r="N338" i="5"/>
  <c r="O338" i="5" s="1"/>
  <c r="P338" i="5" s="1"/>
  <c r="M339" i="5" s="1"/>
  <c r="N1058" i="5"/>
  <c r="O1058" i="5" s="1"/>
  <c r="P1058" i="5"/>
  <c r="M1059" i="5" s="1"/>
  <c r="N638" i="5"/>
  <c r="O638" i="5" s="1"/>
  <c r="P638" i="5" s="1"/>
  <c r="M639" i="5" s="1"/>
  <c r="N998" i="5"/>
  <c r="O998" i="5" s="1"/>
  <c r="P998" i="5" s="1"/>
  <c r="M999" i="5" s="1"/>
  <c r="N698" i="5"/>
  <c r="O698" i="5" s="1"/>
  <c r="P698" i="5" s="1"/>
  <c r="M699" i="5" s="1"/>
  <c r="N938" i="5"/>
  <c r="O938" i="5" s="1"/>
  <c r="P938" i="5" s="1"/>
  <c r="M939" i="5" s="1"/>
  <c r="N758" i="5"/>
  <c r="O758" i="5" s="1"/>
  <c r="P758" i="5" s="1"/>
  <c r="M759" i="5" s="1"/>
  <c r="N254" i="5"/>
  <c r="O254" i="5" s="1"/>
  <c r="P254" i="5" s="1"/>
  <c r="M255" i="5" s="1"/>
  <c r="N458" i="5"/>
  <c r="O458" i="5" s="1"/>
  <c r="P458" i="5"/>
  <c r="M459" i="5" s="1"/>
  <c r="N1298" i="5"/>
  <c r="O1298" i="5" s="1"/>
  <c r="P1298" i="5" s="1"/>
  <c r="M1299" i="5" s="1"/>
  <c r="N1177" i="5"/>
  <c r="O1177" i="5" s="1"/>
  <c r="P1177" i="5"/>
  <c r="M1178" i="5" s="1"/>
  <c r="N14" i="5"/>
  <c r="O14" i="5" s="1"/>
  <c r="P14" i="5" s="1"/>
  <c r="M15" i="5" s="1"/>
  <c r="N578" i="5"/>
  <c r="O578" i="5" s="1"/>
  <c r="P578" i="5"/>
  <c r="M579" i="5" s="1"/>
  <c r="N518" i="5"/>
  <c r="O518" i="5" s="1"/>
  <c r="P518" i="5" s="1"/>
  <c r="M519" i="5" s="1"/>
  <c r="N818" i="5"/>
  <c r="O818" i="5" s="1"/>
  <c r="P818" i="5" s="1"/>
  <c r="M819" i="5" s="1"/>
  <c r="N1237" i="5"/>
  <c r="O1237" i="5" s="1"/>
  <c r="P1237" i="5" s="1"/>
  <c r="M1238" i="5" s="1"/>
  <c r="K11" i="9" l="1"/>
  <c r="L7" i="9"/>
  <c r="K12" i="9"/>
  <c r="N879" i="5"/>
  <c r="O879" i="5" s="1"/>
  <c r="P879" i="5"/>
  <c r="M880" i="5" s="1"/>
  <c r="N255" i="5"/>
  <c r="O255" i="5" s="1"/>
  <c r="P255" i="5" s="1"/>
  <c r="M256" i="5" s="1"/>
  <c r="N15" i="5"/>
  <c r="O15" i="5" s="1"/>
  <c r="P15" i="5" s="1"/>
  <c r="M16" i="5" s="1"/>
  <c r="N999" i="5"/>
  <c r="O999" i="5" s="1"/>
  <c r="P999" i="5"/>
  <c r="M1000" i="5" s="1"/>
  <c r="N1238" i="5"/>
  <c r="O1238" i="5" s="1"/>
  <c r="P1238" i="5" s="1"/>
  <c r="M1239" i="5" s="1"/>
  <c r="N699" i="5"/>
  <c r="O699" i="5" s="1"/>
  <c r="P699" i="5" s="1"/>
  <c r="M700" i="5" s="1"/>
  <c r="N339" i="5"/>
  <c r="O339" i="5" s="1"/>
  <c r="P339" i="5" s="1"/>
  <c r="M340" i="5" s="1"/>
  <c r="N459" i="5"/>
  <c r="O459" i="5" s="1"/>
  <c r="P459" i="5"/>
  <c r="M460" i="5" s="1"/>
  <c r="N1178" i="5"/>
  <c r="O1178" i="5" s="1"/>
  <c r="P1178" i="5"/>
  <c r="M1179" i="5" s="1"/>
  <c r="N759" i="5"/>
  <c r="O759" i="5" s="1"/>
  <c r="P759" i="5" s="1"/>
  <c r="M760" i="5" s="1"/>
  <c r="N639" i="5"/>
  <c r="O639" i="5" s="1"/>
  <c r="P639" i="5" s="1"/>
  <c r="M640" i="5" s="1"/>
  <c r="N423" i="5"/>
  <c r="O423" i="5" s="1"/>
  <c r="P423" i="5"/>
  <c r="M424" i="5" s="1"/>
  <c r="N519" i="5"/>
  <c r="O519" i="5" s="1"/>
  <c r="P519" i="5"/>
  <c r="M520" i="5" s="1"/>
  <c r="N1299" i="5"/>
  <c r="O1299" i="5" s="1"/>
  <c r="P1299" i="5" s="1"/>
  <c r="M1300" i="5" s="1"/>
  <c r="N939" i="5"/>
  <c r="O939" i="5" s="1"/>
  <c r="P939" i="5" s="1"/>
  <c r="M940" i="5" s="1"/>
  <c r="N1059" i="5"/>
  <c r="O1059" i="5" s="1"/>
  <c r="P1059" i="5" s="1"/>
  <c r="M1060" i="5" s="1"/>
  <c r="N1119" i="5"/>
  <c r="O1119" i="5" s="1"/>
  <c r="P1119" i="5"/>
  <c r="M1120" i="5" s="1"/>
  <c r="N579" i="5"/>
  <c r="O579" i="5" s="1"/>
  <c r="P579" i="5" s="1"/>
  <c r="M580" i="5" s="1"/>
  <c r="N819" i="5"/>
  <c r="O819" i="5" s="1"/>
  <c r="P819" i="5" s="1"/>
  <c r="M820" i="5" s="1"/>
  <c r="L11" i="9" l="1"/>
  <c r="L12" i="9"/>
  <c r="M7" i="9"/>
  <c r="N760" i="5"/>
  <c r="O760" i="5" s="1"/>
  <c r="P760" i="5" s="1"/>
  <c r="M761" i="5" s="1"/>
  <c r="N940" i="5"/>
  <c r="O940" i="5" s="1"/>
  <c r="P940" i="5" s="1"/>
  <c r="M941" i="5" s="1"/>
  <c r="N1300" i="5"/>
  <c r="O1300" i="5" s="1"/>
  <c r="P1300" i="5" s="1"/>
  <c r="M1301" i="5" s="1"/>
  <c r="N640" i="5"/>
  <c r="O640" i="5" s="1"/>
  <c r="P640" i="5" s="1"/>
  <c r="M641" i="5" s="1"/>
  <c r="N16" i="5"/>
  <c r="O16" i="5" s="1"/>
  <c r="P16" i="5" s="1"/>
  <c r="M17" i="5" s="1"/>
  <c r="N256" i="5"/>
  <c r="O256" i="5" s="1"/>
  <c r="P256" i="5" s="1"/>
  <c r="M257" i="5" s="1"/>
  <c r="N820" i="5"/>
  <c r="O820" i="5" s="1"/>
  <c r="P820" i="5" s="1"/>
  <c r="M821" i="5" s="1"/>
  <c r="N340" i="5"/>
  <c r="O340" i="5" s="1"/>
  <c r="P340" i="5"/>
  <c r="M341" i="5" s="1"/>
  <c r="N580" i="5"/>
  <c r="O580" i="5" s="1"/>
  <c r="P580" i="5" s="1"/>
  <c r="M581" i="5" s="1"/>
  <c r="N700" i="5"/>
  <c r="O700" i="5" s="1"/>
  <c r="P700" i="5" s="1"/>
  <c r="M701" i="5" s="1"/>
  <c r="N424" i="5"/>
  <c r="O424" i="5" s="1"/>
  <c r="P424" i="5" s="1"/>
  <c r="M425" i="5" s="1"/>
  <c r="N460" i="5"/>
  <c r="O460" i="5" s="1"/>
  <c r="P460" i="5" s="1"/>
  <c r="M461" i="5" s="1"/>
  <c r="N1060" i="5"/>
  <c r="O1060" i="5" s="1"/>
  <c r="P1060" i="5"/>
  <c r="M1061" i="5" s="1"/>
  <c r="N1000" i="5"/>
  <c r="O1000" i="5" s="1"/>
  <c r="P1000" i="5" s="1"/>
  <c r="M1001" i="5" s="1"/>
  <c r="N1120" i="5"/>
  <c r="O1120" i="5" s="1"/>
  <c r="P1120" i="5" s="1"/>
  <c r="M1121" i="5" s="1"/>
  <c r="N520" i="5"/>
  <c r="O520" i="5" s="1"/>
  <c r="P520" i="5" s="1"/>
  <c r="M521" i="5" s="1"/>
  <c r="N1179" i="5"/>
  <c r="O1179" i="5" s="1"/>
  <c r="P1179" i="5" s="1"/>
  <c r="M1180" i="5" s="1"/>
  <c r="N1239" i="5"/>
  <c r="O1239" i="5" s="1"/>
  <c r="P1239" i="5" s="1"/>
  <c r="M1240" i="5" s="1"/>
  <c r="N880" i="5"/>
  <c r="O880" i="5" s="1"/>
  <c r="P880" i="5" s="1"/>
  <c r="M881" i="5" s="1"/>
  <c r="N7" i="9" l="1"/>
  <c r="M12" i="9"/>
  <c r="M11" i="9"/>
  <c r="N701" i="5"/>
  <c r="O701" i="5" s="1"/>
  <c r="P701" i="5"/>
  <c r="M702" i="5" s="1"/>
  <c r="N425" i="5"/>
  <c r="O425" i="5" s="1"/>
  <c r="P425" i="5"/>
  <c r="M426" i="5" s="1"/>
  <c r="N1001" i="5"/>
  <c r="O1001" i="5" s="1"/>
  <c r="P1001" i="5"/>
  <c r="M1002" i="5" s="1"/>
  <c r="N881" i="5"/>
  <c r="O881" i="5" s="1"/>
  <c r="P881" i="5" s="1"/>
  <c r="M882" i="5" s="1"/>
  <c r="N1301" i="5"/>
  <c r="O1301" i="5" s="1"/>
  <c r="P1301" i="5"/>
  <c r="M1302" i="5" s="1"/>
  <c r="N941" i="5"/>
  <c r="O941" i="5" s="1"/>
  <c r="P941" i="5"/>
  <c r="M942" i="5" s="1"/>
  <c r="N1240" i="5"/>
  <c r="O1240" i="5" s="1"/>
  <c r="P1240" i="5"/>
  <c r="M1241" i="5" s="1"/>
  <c r="N821" i="5"/>
  <c r="O821" i="5" s="1"/>
  <c r="P821" i="5" s="1"/>
  <c r="M822" i="5" s="1"/>
  <c r="N1121" i="5"/>
  <c r="O1121" i="5" s="1"/>
  <c r="P1121" i="5"/>
  <c r="M1122" i="5" s="1"/>
  <c r="N257" i="5"/>
  <c r="O257" i="5" s="1"/>
  <c r="P257" i="5"/>
  <c r="M258" i="5" s="1"/>
  <c r="N461" i="5"/>
  <c r="O461" i="5" s="1"/>
  <c r="P461" i="5"/>
  <c r="M462" i="5" s="1"/>
  <c r="N521" i="5"/>
  <c r="O521" i="5" s="1"/>
  <c r="P521" i="5" s="1"/>
  <c r="M522" i="5" s="1"/>
  <c r="N641" i="5"/>
  <c r="O641" i="5" s="1"/>
  <c r="P641" i="5" s="1"/>
  <c r="M642" i="5" s="1"/>
  <c r="N341" i="5"/>
  <c r="O341" i="5" s="1"/>
  <c r="P341" i="5" s="1"/>
  <c r="M342" i="5" s="1"/>
  <c r="N1180" i="5"/>
  <c r="O1180" i="5" s="1"/>
  <c r="P1180" i="5"/>
  <c r="M1181" i="5" s="1"/>
  <c r="N1061" i="5"/>
  <c r="O1061" i="5" s="1"/>
  <c r="P1061" i="5" s="1"/>
  <c r="M1062" i="5" s="1"/>
  <c r="N581" i="5"/>
  <c r="O581" i="5" s="1"/>
  <c r="P581" i="5" s="1"/>
  <c r="M582" i="5" s="1"/>
  <c r="N17" i="5"/>
  <c r="O17" i="5" s="1"/>
  <c r="P17" i="5"/>
  <c r="M18" i="5" s="1"/>
  <c r="N761" i="5"/>
  <c r="O761" i="5" s="1"/>
  <c r="P761" i="5"/>
  <c r="M762" i="5" s="1"/>
  <c r="N12" i="9" l="1"/>
  <c r="O7" i="9"/>
  <c r="N11" i="9"/>
  <c r="N582" i="5"/>
  <c r="O582" i="5" s="1"/>
  <c r="P582" i="5"/>
  <c r="M583" i="5" s="1"/>
  <c r="N642" i="5"/>
  <c r="O642" i="5" s="1"/>
  <c r="P642" i="5"/>
  <c r="M643" i="5" s="1"/>
  <c r="N1062" i="5"/>
  <c r="O1062" i="5" s="1"/>
  <c r="P1062" i="5"/>
  <c r="M1063" i="5" s="1"/>
  <c r="N882" i="5"/>
  <c r="O882" i="5" s="1"/>
  <c r="P882" i="5" s="1"/>
  <c r="M883" i="5" s="1"/>
  <c r="N462" i="5"/>
  <c r="O462" i="5" s="1"/>
  <c r="P462" i="5"/>
  <c r="M463" i="5" s="1"/>
  <c r="N1241" i="5"/>
  <c r="O1241" i="5" s="1"/>
  <c r="P1241" i="5"/>
  <c r="M1242" i="5" s="1"/>
  <c r="N1002" i="5"/>
  <c r="O1002" i="5" s="1"/>
  <c r="P1002" i="5"/>
  <c r="M1003" i="5" s="1"/>
  <c r="N822" i="5"/>
  <c r="O822" i="5" s="1"/>
  <c r="P822" i="5" s="1"/>
  <c r="M823" i="5" s="1"/>
  <c r="N1181" i="5"/>
  <c r="O1181" i="5" s="1"/>
  <c r="P1181" i="5"/>
  <c r="M1182" i="5" s="1"/>
  <c r="N522" i="5"/>
  <c r="O522" i="5" s="1"/>
  <c r="P522" i="5"/>
  <c r="M523" i="5" s="1"/>
  <c r="N762" i="5"/>
  <c r="O762" i="5" s="1"/>
  <c r="P762" i="5"/>
  <c r="M763" i="5" s="1"/>
  <c r="N18" i="5"/>
  <c r="O18" i="5" s="1"/>
  <c r="P18" i="5" s="1"/>
  <c r="M19" i="5" s="1"/>
  <c r="N342" i="5"/>
  <c r="O342" i="5" s="1"/>
  <c r="P342" i="5"/>
  <c r="M343" i="5" s="1"/>
  <c r="N258" i="5"/>
  <c r="O258" i="5" s="1"/>
  <c r="P258" i="5"/>
  <c r="M259" i="5" s="1"/>
  <c r="N942" i="5"/>
  <c r="O942" i="5" s="1"/>
  <c r="P942" i="5"/>
  <c r="M943" i="5" s="1"/>
  <c r="N426" i="5"/>
  <c r="O426" i="5" s="1"/>
  <c r="P426" i="5" s="1"/>
  <c r="M427" i="5" s="1"/>
  <c r="N1122" i="5"/>
  <c r="O1122" i="5" s="1"/>
  <c r="P1122" i="5"/>
  <c r="M1123" i="5" s="1"/>
  <c r="N1302" i="5"/>
  <c r="O1302" i="5" s="1"/>
  <c r="P1302" i="5"/>
  <c r="M1303" i="5" s="1"/>
  <c r="N702" i="5"/>
  <c r="O702" i="5" s="1"/>
  <c r="P702" i="5"/>
  <c r="M703" i="5" s="1"/>
  <c r="O11" i="9" l="1"/>
  <c r="P7" i="9"/>
  <c r="O12" i="9"/>
  <c r="N883" i="5"/>
  <c r="O883" i="5" s="1"/>
  <c r="P883" i="5"/>
  <c r="M884" i="5" s="1"/>
  <c r="N19" i="5"/>
  <c r="O19" i="5" s="1"/>
  <c r="P19" i="5" s="1"/>
  <c r="M20" i="5" s="1"/>
  <c r="N703" i="5"/>
  <c r="O703" i="5" s="1"/>
  <c r="P703" i="5"/>
  <c r="M704" i="5" s="1"/>
  <c r="N763" i="5"/>
  <c r="O763" i="5" s="1"/>
  <c r="P763" i="5" s="1"/>
  <c r="M764" i="5" s="1"/>
  <c r="N1003" i="5"/>
  <c r="O1003" i="5" s="1"/>
  <c r="P1003" i="5" s="1"/>
  <c r="M1004" i="5" s="1"/>
  <c r="N1063" i="5"/>
  <c r="O1063" i="5" s="1"/>
  <c r="P1063" i="5" s="1"/>
  <c r="M1064" i="5" s="1"/>
  <c r="N427" i="5"/>
  <c r="O427" i="5" s="1"/>
  <c r="P427" i="5"/>
  <c r="M428" i="5" s="1"/>
  <c r="N823" i="5"/>
  <c r="O823" i="5" s="1"/>
  <c r="P823" i="5"/>
  <c r="M824" i="5" s="1"/>
  <c r="N943" i="5"/>
  <c r="O943" i="5" s="1"/>
  <c r="P943" i="5" s="1"/>
  <c r="M944" i="5" s="1"/>
  <c r="N1303" i="5"/>
  <c r="O1303" i="5" s="1"/>
  <c r="P1303" i="5" s="1"/>
  <c r="M1304" i="5" s="1"/>
  <c r="N259" i="5"/>
  <c r="O259" i="5" s="1"/>
  <c r="P259" i="5" s="1"/>
  <c r="M260" i="5" s="1"/>
  <c r="N523" i="5"/>
  <c r="O523" i="5" s="1"/>
  <c r="P523" i="5" s="1"/>
  <c r="M524" i="5" s="1"/>
  <c r="N1242" i="5"/>
  <c r="O1242" i="5" s="1"/>
  <c r="P1242" i="5" s="1"/>
  <c r="M1243" i="5" s="1"/>
  <c r="N643" i="5"/>
  <c r="O643" i="5" s="1"/>
  <c r="P643" i="5" s="1"/>
  <c r="M644" i="5" s="1"/>
  <c r="N1123" i="5"/>
  <c r="O1123" i="5" s="1"/>
  <c r="P1123" i="5"/>
  <c r="M1124" i="5" s="1"/>
  <c r="N343" i="5"/>
  <c r="O343" i="5" s="1"/>
  <c r="P343" i="5"/>
  <c r="M344" i="5" s="1"/>
  <c r="N1182" i="5"/>
  <c r="O1182" i="5" s="1"/>
  <c r="P1182" i="5"/>
  <c r="M1183" i="5" s="1"/>
  <c r="N463" i="5"/>
  <c r="O463" i="5" s="1"/>
  <c r="P463" i="5" s="1"/>
  <c r="M464" i="5" s="1"/>
  <c r="N583" i="5"/>
  <c r="O583" i="5" s="1"/>
  <c r="P583" i="5" s="1"/>
  <c r="M584" i="5" s="1"/>
  <c r="P12" i="9" l="1"/>
  <c r="P11" i="9"/>
  <c r="Q7" i="9"/>
  <c r="N644" i="5"/>
  <c r="O644" i="5" s="1"/>
  <c r="P644" i="5" s="1"/>
  <c r="M645" i="5" s="1"/>
  <c r="N20" i="5"/>
  <c r="O20" i="5" s="1"/>
  <c r="P20" i="5"/>
  <c r="M21" i="5" s="1"/>
  <c r="N1064" i="5"/>
  <c r="O1064" i="5" s="1"/>
  <c r="P1064" i="5"/>
  <c r="M1065" i="5" s="1"/>
  <c r="N464" i="5"/>
  <c r="O464" i="5" s="1"/>
  <c r="P464" i="5" s="1"/>
  <c r="M465" i="5" s="1"/>
  <c r="N1304" i="5"/>
  <c r="O1304" i="5" s="1"/>
  <c r="P1304" i="5" s="1"/>
  <c r="M1305" i="5" s="1"/>
  <c r="N524" i="5"/>
  <c r="O524" i="5" s="1"/>
  <c r="P524" i="5" s="1"/>
  <c r="M525" i="5" s="1"/>
  <c r="N1124" i="5"/>
  <c r="O1124" i="5" s="1"/>
  <c r="P1124" i="5"/>
  <c r="M1125" i="5" s="1"/>
  <c r="N428" i="5"/>
  <c r="O428" i="5" s="1"/>
  <c r="P428" i="5" s="1"/>
  <c r="M429" i="5" s="1"/>
  <c r="N704" i="5"/>
  <c r="O704" i="5" s="1"/>
  <c r="P704" i="5" s="1"/>
  <c r="M705" i="5" s="1"/>
  <c r="N824" i="5"/>
  <c r="O824" i="5" s="1"/>
  <c r="P824" i="5" s="1"/>
  <c r="M825" i="5" s="1"/>
  <c r="N584" i="5"/>
  <c r="O584" i="5" s="1"/>
  <c r="P584" i="5"/>
  <c r="M585" i="5" s="1"/>
  <c r="N344" i="5"/>
  <c r="O344" i="5" s="1"/>
  <c r="P344" i="5"/>
  <c r="M345" i="5" s="1"/>
  <c r="N764" i="5"/>
  <c r="O764" i="5" s="1"/>
  <c r="P764" i="5" s="1"/>
  <c r="M765" i="5" s="1"/>
  <c r="N260" i="5"/>
  <c r="O260" i="5" s="1"/>
  <c r="P260" i="5"/>
  <c r="M261" i="5" s="1"/>
  <c r="N1183" i="5"/>
  <c r="O1183" i="5" s="1"/>
  <c r="P1183" i="5" s="1"/>
  <c r="M1184" i="5" s="1"/>
  <c r="N1243" i="5"/>
  <c r="O1243" i="5" s="1"/>
  <c r="P1243" i="5"/>
  <c r="M1244" i="5" s="1"/>
  <c r="N944" i="5"/>
  <c r="O944" i="5" s="1"/>
  <c r="P944" i="5" s="1"/>
  <c r="M945" i="5" s="1"/>
  <c r="N1004" i="5"/>
  <c r="O1004" i="5" s="1"/>
  <c r="P1004" i="5" s="1"/>
  <c r="M1005" i="5" s="1"/>
  <c r="N884" i="5"/>
  <c r="O884" i="5" s="1"/>
  <c r="P884" i="5" s="1"/>
  <c r="M885" i="5" s="1"/>
  <c r="Q11" i="9" l="1"/>
  <c r="R7" i="9"/>
  <c r="Q12" i="9"/>
  <c r="N945" i="5"/>
  <c r="O945" i="5" s="1"/>
  <c r="P945" i="5" s="1"/>
  <c r="M946" i="5" s="1"/>
  <c r="N1305" i="5"/>
  <c r="O1305" i="5" s="1"/>
  <c r="P1305" i="5" s="1"/>
  <c r="M1306" i="5" s="1"/>
  <c r="N765" i="5"/>
  <c r="O765" i="5" s="1"/>
  <c r="P765" i="5" s="1"/>
  <c r="M766" i="5" s="1"/>
  <c r="N705" i="5"/>
  <c r="O705" i="5" s="1"/>
  <c r="P705" i="5"/>
  <c r="M706" i="5" s="1"/>
  <c r="N645" i="5"/>
  <c r="O645" i="5" s="1"/>
  <c r="P645" i="5" s="1"/>
  <c r="M646" i="5" s="1"/>
  <c r="N429" i="5"/>
  <c r="O429" i="5" s="1"/>
  <c r="P429" i="5" s="1"/>
  <c r="M430" i="5" s="1"/>
  <c r="N585" i="5"/>
  <c r="O585" i="5" s="1"/>
  <c r="P585" i="5" s="1"/>
  <c r="M586" i="5" s="1"/>
  <c r="N1125" i="5"/>
  <c r="O1125" i="5" s="1"/>
  <c r="P1125" i="5"/>
  <c r="M1126" i="5" s="1"/>
  <c r="N1065" i="5"/>
  <c r="O1065" i="5" s="1"/>
  <c r="P1065" i="5" s="1"/>
  <c r="M1066" i="5" s="1"/>
  <c r="N345" i="5"/>
  <c r="O345" i="5" s="1"/>
  <c r="P345" i="5"/>
  <c r="M346" i="5" s="1"/>
  <c r="N885" i="5"/>
  <c r="O885" i="5" s="1"/>
  <c r="P885" i="5"/>
  <c r="M886" i="5" s="1"/>
  <c r="N1244" i="5"/>
  <c r="O1244" i="5" s="1"/>
  <c r="P1244" i="5"/>
  <c r="M1245" i="5" s="1"/>
  <c r="N465" i="5"/>
  <c r="O465" i="5" s="1"/>
  <c r="P465" i="5" s="1"/>
  <c r="M466" i="5" s="1"/>
  <c r="N1184" i="5"/>
  <c r="O1184" i="5" s="1"/>
  <c r="P1184" i="5" s="1"/>
  <c r="M1185" i="5" s="1"/>
  <c r="N1005" i="5"/>
  <c r="O1005" i="5" s="1"/>
  <c r="P1005" i="5"/>
  <c r="M1006" i="5" s="1"/>
  <c r="N261" i="5"/>
  <c r="O261" i="5" s="1"/>
  <c r="P261" i="5" s="1"/>
  <c r="M262" i="5" s="1"/>
  <c r="N825" i="5"/>
  <c r="O825" i="5" s="1"/>
  <c r="P825" i="5" s="1"/>
  <c r="M826" i="5" s="1"/>
  <c r="N525" i="5"/>
  <c r="O525" i="5" s="1"/>
  <c r="P525" i="5" s="1"/>
  <c r="M526" i="5" s="1"/>
  <c r="N21" i="5"/>
  <c r="O21" i="5" s="1"/>
  <c r="P21" i="5"/>
  <c r="M22" i="5" s="1"/>
  <c r="R12" i="9" l="1"/>
  <c r="R11" i="9"/>
  <c r="S7" i="9"/>
  <c r="N466" i="5"/>
  <c r="O466" i="5" s="1"/>
  <c r="P466" i="5"/>
  <c r="M467" i="5" s="1"/>
  <c r="N826" i="5"/>
  <c r="O826" i="5" s="1"/>
  <c r="P826" i="5"/>
  <c r="M827" i="5" s="1"/>
  <c r="N1066" i="5"/>
  <c r="O1066" i="5" s="1"/>
  <c r="P1066" i="5"/>
  <c r="M1067" i="5" s="1"/>
  <c r="N262" i="5"/>
  <c r="O262" i="5" s="1"/>
  <c r="P262" i="5"/>
  <c r="M263" i="5" s="1"/>
  <c r="N706" i="5"/>
  <c r="O706" i="5" s="1"/>
  <c r="P706" i="5"/>
  <c r="M707" i="5" s="1"/>
  <c r="N1245" i="5"/>
  <c r="O1245" i="5" s="1"/>
  <c r="P1245" i="5"/>
  <c r="M1246" i="5" s="1"/>
  <c r="N1126" i="5"/>
  <c r="O1126" i="5" s="1"/>
  <c r="P1126" i="5"/>
  <c r="M1127" i="5" s="1"/>
  <c r="N22" i="5"/>
  <c r="O22" i="5" s="1"/>
  <c r="P22" i="5"/>
  <c r="M23" i="5" s="1"/>
  <c r="N1006" i="5"/>
  <c r="O1006" i="5" s="1"/>
  <c r="P1006" i="5"/>
  <c r="M1007" i="5" s="1"/>
  <c r="N886" i="5"/>
  <c r="O886" i="5" s="1"/>
  <c r="P886" i="5"/>
  <c r="M887" i="5" s="1"/>
  <c r="N586" i="5"/>
  <c r="O586" i="5" s="1"/>
  <c r="P586" i="5"/>
  <c r="M587" i="5" s="1"/>
  <c r="N766" i="5"/>
  <c r="O766" i="5" s="1"/>
  <c r="P766" i="5"/>
  <c r="M767" i="5" s="1"/>
  <c r="N526" i="5"/>
  <c r="O526" i="5" s="1"/>
  <c r="P526" i="5"/>
  <c r="M527" i="5" s="1"/>
  <c r="N1185" i="5"/>
  <c r="O1185" i="5" s="1"/>
  <c r="P1185" i="5"/>
  <c r="M1186" i="5" s="1"/>
  <c r="N346" i="5"/>
  <c r="O346" i="5" s="1"/>
  <c r="P346" i="5"/>
  <c r="M347" i="5" s="1"/>
  <c r="N430" i="5"/>
  <c r="O430" i="5" s="1"/>
  <c r="P430" i="5"/>
  <c r="M431" i="5" s="1"/>
  <c r="N1306" i="5"/>
  <c r="O1306" i="5" s="1"/>
  <c r="P1306" i="5"/>
  <c r="M1307" i="5" s="1"/>
  <c r="N646" i="5"/>
  <c r="O646" i="5" s="1"/>
  <c r="P646" i="5"/>
  <c r="M647" i="5" s="1"/>
  <c r="N946" i="5"/>
  <c r="O946" i="5" s="1"/>
  <c r="P946" i="5" s="1"/>
  <c r="M947" i="5" s="1"/>
  <c r="U11" i="9" l="1"/>
  <c r="T7" i="9"/>
  <c r="S12" i="9"/>
  <c r="G12" i="9" s="1"/>
  <c r="S11" i="9"/>
  <c r="G11" i="9" s="1"/>
  <c r="U12" i="9"/>
  <c r="N947" i="5"/>
  <c r="O947" i="5" s="1"/>
  <c r="P947" i="5"/>
  <c r="M948" i="5" s="1"/>
  <c r="N347" i="5"/>
  <c r="O347" i="5" s="1"/>
  <c r="P347" i="5" s="1"/>
  <c r="M348" i="5" s="1"/>
  <c r="N1067" i="5"/>
  <c r="O1067" i="5" s="1"/>
  <c r="P1067" i="5"/>
  <c r="M1068" i="5" s="1"/>
  <c r="N23" i="5"/>
  <c r="O23" i="5" s="1"/>
  <c r="P23" i="5"/>
  <c r="M24" i="5" s="1"/>
  <c r="N767" i="5"/>
  <c r="O767" i="5" s="1"/>
  <c r="P767" i="5" s="1"/>
  <c r="M768" i="5" s="1"/>
  <c r="N647" i="5"/>
  <c r="O647" i="5" s="1"/>
  <c r="P647" i="5" s="1"/>
  <c r="M648" i="5" s="1"/>
  <c r="N887" i="5"/>
  <c r="O887" i="5" s="1"/>
  <c r="P887" i="5" s="1"/>
  <c r="M888" i="5" s="1"/>
  <c r="N1246" i="5"/>
  <c r="O1246" i="5" s="1"/>
  <c r="P1246" i="5"/>
  <c r="M1247" i="5" s="1"/>
  <c r="N827" i="5"/>
  <c r="O827" i="5" s="1"/>
  <c r="P827" i="5"/>
  <c r="M828" i="5" s="1"/>
  <c r="N1127" i="5"/>
  <c r="O1127" i="5" s="1"/>
  <c r="P1127" i="5" s="1"/>
  <c r="M1128" i="5" s="1"/>
  <c r="N263" i="5"/>
  <c r="O263" i="5" s="1"/>
  <c r="P263" i="5"/>
  <c r="M264" i="5" s="1"/>
  <c r="N1307" i="5"/>
  <c r="O1307" i="5" s="1"/>
  <c r="P1307" i="5"/>
  <c r="M1308" i="5" s="1"/>
  <c r="N527" i="5"/>
  <c r="O527" i="5" s="1"/>
  <c r="P527" i="5" s="1"/>
  <c r="M528" i="5" s="1"/>
  <c r="N1007" i="5"/>
  <c r="O1007" i="5" s="1"/>
  <c r="P1007" i="5" s="1"/>
  <c r="M1008" i="5" s="1"/>
  <c r="N707" i="5"/>
  <c r="O707" i="5" s="1"/>
  <c r="P707" i="5"/>
  <c r="M708" i="5" s="1"/>
  <c r="N467" i="5"/>
  <c r="O467" i="5" s="1"/>
  <c r="P467" i="5"/>
  <c r="M468" i="5" s="1"/>
  <c r="N431" i="5"/>
  <c r="O431" i="5" s="1"/>
  <c r="P431" i="5"/>
  <c r="M432" i="5" s="1"/>
  <c r="N587" i="5"/>
  <c r="O587" i="5" s="1"/>
  <c r="P587" i="5" s="1"/>
  <c r="M588" i="5" s="1"/>
  <c r="N1186" i="5"/>
  <c r="O1186" i="5" s="1"/>
  <c r="P1186" i="5" s="1"/>
  <c r="M1187" i="5" s="1"/>
  <c r="N1008" i="5" l="1"/>
  <c r="O1008" i="5" s="1"/>
  <c r="P1008" i="5"/>
  <c r="M1009" i="5" s="1"/>
  <c r="N348" i="5"/>
  <c r="O348" i="5" s="1"/>
  <c r="P348" i="5" s="1"/>
  <c r="M349" i="5" s="1"/>
  <c r="N588" i="5"/>
  <c r="O588" i="5" s="1"/>
  <c r="P588" i="5"/>
  <c r="M589" i="5" s="1"/>
  <c r="N648" i="5"/>
  <c r="O648" i="5" s="1"/>
  <c r="P648" i="5"/>
  <c r="M649" i="5" s="1"/>
  <c r="N1128" i="5"/>
  <c r="O1128" i="5" s="1"/>
  <c r="P1128" i="5"/>
  <c r="M1129" i="5" s="1"/>
  <c r="N1247" i="5"/>
  <c r="O1247" i="5" s="1"/>
  <c r="P1247" i="5" s="1"/>
  <c r="M1248" i="5" s="1"/>
  <c r="N888" i="5"/>
  <c r="O888" i="5" s="1"/>
  <c r="P888" i="5"/>
  <c r="M889" i="5" s="1"/>
  <c r="N1068" i="5"/>
  <c r="O1068" i="5" s="1"/>
  <c r="P1068" i="5"/>
  <c r="M1069" i="5" s="1"/>
  <c r="N468" i="5"/>
  <c r="O468" i="5" s="1"/>
  <c r="P468" i="5"/>
  <c r="M469" i="5" s="1"/>
  <c r="N264" i="5"/>
  <c r="O264" i="5" s="1"/>
  <c r="P264" i="5" s="1"/>
  <c r="M265" i="5" s="1"/>
  <c r="N708" i="5"/>
  <c r="O708" i="5" s="1"/>
  <c r="P708" i="5"/>
  <c r="M709" i="5" s="1"/>
  <c r="N24" i="5"/>
  <c r="O24" i="5" s="1"/>
  <c r="P24" i="5"/>
  <c r="M25" i="5" s="1"/>
  <c r="N528" i="5"/>
  <c r="O528" i="5" s="1"/>
  <c r="P528" i="5"/>
  <c r="M529" i="5" s="1"/>
  <c r="N828" i="5"/>
  <c r="O828" i="5" s="1"/>
  <c r="P828" i="5" s="1"/>
  <c r="M829" i="5" s="1"/>
  <c r="N768" i="5"/>
  <c r="O768" i="5" s="1"/>
  <c r="P768" i="5"/>
  <c r="M769" i="5" s="1"/>
  <c r="N948" i="5"/>
  <c r="O948" i="5" s="1"/>
  <c r="P948" i="5"/>
  <c r="M949" i="5" s="1"/>
  <c r="N1308" i="5"/>
  <c r="O1308" i="5" s="1"/>
  <c r="P1308" i="5"/>
  <c r="M1309" i="5" s="1"/>
  <c r="N1187" i="5"/>
  <c r="O1187" i="5" s="1"/>
  <c r="P1187" i="5" s="1"/>
  <c r="M1188" i="5" s="1"/>
  <c r="N432" i="5"/>
  <c r="O432" i="5" s="1"/>
  <c r="P432" i="5" s="1"/>
  <c r="M433" i="5" s="1"/>
  <c r="N433" i="5" l="1"/>
  <c r="O433" i="5" s="1"/>
  <c r="P433" i="5"/>
  <c r="M434" i="5" s="1"/>
  <c r="N25" i="5"/>
  <c r="O25" i="5" s="1"/>
  <c r="P25" i="5"/>
  <c r="M26" i="5" s="1"/>
  <c r="N709" i="5"/>
  <c r="O709" i="5" s="1"/>
  <c r="P709" i="5"/>
  <c r="M710" i="5" s="1"/>
  <c r="N889" i="5"/>
  <c r="O889" i="5" s="1"/>
  <c r="P889" i="5"/>
  <c r="M890" i="5" s="1"/>
  <c r="N589" i="5"/>
  <c r="O589" i="5" s="1"/>
  <c r="P589" i="5"/>
  <c r="M590" i="5" s="1"/>
  <c r="N769" i="5"/>
  <c r="O769" i="5" s="1"/>
  <c r="P769" i="5"/>
  <c r="M770" i="5" s="1"/>
  <c r="N829" i="5"/>
  <c r="O829" i="5" s="1"/>
  <c r="P829" i="5"/>
  <c r="M830" i="5" s="1"/>
  <c r="N265" i="5"/>
  <c r="O265" i="5" s="1"/>
  <c r="P265" i="5"/>
  <c r="M266" i="5" s="1"/>
  <c r="N1248" i="5"/>
  <c r="O1248" i="5" s="1"/>
  <c r="P1248" i="5"/>
  <c r="M1249" i="5" s="1"/>
  <c r="N349" i="5"/>
  <c r="O349" i="5" s="1"/>
  <c r="P349" i="5"/>
  <c r="M350" i="5" s="1"/>
  <c r="N1069" i="5"/>
  <c r="O1069" i="5" s="1"/>
  <c r="P1069" i="5"/>
  <c r="M1070" i="5" s="1"/>
  <c r="N1188" i="5"/>
  <c r="O1188" i="5" s="1"/>
  <c r="P1188" i="5"/>
  <c r="M1189" i="5" s="1"/>
  <c r="N649" i="5"/>
  <c r="O649" i="5" s="1"/>
  <c r="P649" i="5"/>
  <c r="M650" i="5" s="1"/>
  <c r="N1309" i="5"/>
  <c r="O1309" i="5" s="1"/>
  <c r="P1309" i="5"/>
  <c r="M1310" i="5" s="1"/>
  <c r="N529" i="5"/>
  <c r="O529" i="5" s="1"/>
  <c r="P529" i="5"/>
  <c r="M530" i="5" s="1"/>
  <c r="N469" i="5"/>
  <c r="O469" i="5" s="1"/>
  <c r="P469" i="5"/>
  <c r="M470" i="5" s="1"/>
  <c r="N1129" i="5"/>
  <c r="O1129" i="5" s="1"/>
  <c r="P1129" i="5"/>
  <c r="M1130" i="5" s="1"/>
  <c r="N1009" i="5"/>
  <c r="O1009" i="5" s="1"/>
  <c r="P1009" i="5"/>
  <c r="M1010" i="5" s="1"/>
  <c r="N949" i="5"/>
  <c r="O949" i="5" s="1"/>
  <c r="P949" i="5"/>
  <c r="M950" i="5" s="1"/>
  <c r="N890" i="5" l="1"/>
  <c r="O890" i="5" s="1"/>
  <c r="P890" i="5" s="1"/>
  <c r="M891" i="5" s="1"/>
  <c r="N950" i="5"/>
  <c r="O950" i="5" s="1"/>
  <c r="P950" i="5"/>
  <c r="M951" i="5" s="1"/>
  <c r="N830" i="5"/>
  <c r="O830" i="5" s="1"/>
  <c r="P830" i="5" s="1"/>
  <c r="M831" i="5" s="1"/>
  <c r="N710" i="5"/>
  <c r="O710" i="5" s="1"/>
  <c r="P710" i="5" s="1"/>
  <c r="M711" i="5" s="1"/>
  <c r="N470" i="5"/>
  <c r="O470" i="5" s="1"/>
  <c r="P470" i="5" s="1"/>
  <c r="M471" i="5" s="1"/>
  <c r="N530" i="5"/>
  <c r="O530" i="5" s="1"/>
  <c r="P530" i="5" s="1"/>
  <c r="M531" i="5" s="1"/>
  <c r="N1310" i="5"/>
  <c r="O1310" i="5" s="1"/>
  <c r="P1310" i="5"/>
  <c r="M1311" i="5" s="1"/>
  <c r="N350" i="5"/>
  <c r="O350" i="5" s="1"/>
  <c r="P350" i="5"/>
  <c r="M351" i="5" s="1"/>
  <c r="N770" i="5"/>
  <c r="O770" i="5" s="1"/>
  <c r="P770" i="5" s="1"/>
  <c r="M771" i="5" s="1"/>
  <c r="N26" i="5"/>
  <c r="O26" i="5" s="1"/>
  <c r="P26" i="5" s="1"/>
  <c r="M27" i="5" s="1"/>
  <c r="N266" i="5"/>
  <c r="O266" i="5" s="1"/>
  <c r="P266" i="5"/>
  <c r="M267" i="5" s="1"/>
  <c r="N1010" i="5"/>
  <c r="O1010" i="5" s="1"/>
  <c r="P1010" i="5"/>
  <c r="M1011" i="5" s="1"/>
  <c r="N1189" i="5"/>
  <c r="O1189" i="5" s="1"/>
  <c r="P1189" i="5" s="1"/>
  <c r="M1190" i="5" s="1"/>
  <c r="N1130" i="5"/>
  <c r="O1130" i="5" s="1"/>
  <c r="P1130" i="5"/>
  <c r="M1131" i="5" s="1"/>
  <c r="N650" i="5"/>
  <c r="O650" i="5" s="1"/>
  <c r="P650" i="5" s="1"/>
  <c r="M651" i="5" s="1"/>
  <c r="N1249" i="5"/>
  <c r="O1249" i="5" s="1"/>
  <c r="P1249" i="5"/>
  <c r="M1250" i="5" s="1"/>
  <c r="N590" i="5"/>
  <c r="O590" i="5" s="1"/>
  <c r="P590" i="5" s="1"/>
  <c r="M591" i="5" s="1"/>
  <c r="N434" i="5"/>
  <c r="O434" i="5" s="1"/>
  <c r="P434" i="5"/>
  <c r="M435" i="5" s="1"/>
  <c r="N1070" i="5"/>
  <c r="O1070" i="5" s="1"/>
  <c r="P1070" i="5" s="1"/>
  <c r="M1071" i="5" s="1"/>
  <c r="N471" i="5" l="1"/>
  <c r="O471" i="5" s="1"/>
  <c r="P471" i="5"/>
  <c r="M472" i="5" s="1"/>
  <c r="N771" i="5"/>
  <c r="O771" i="5" s="1"/>
  <c r="P771" i="5" s="1"/>
  <c r="M772" i="5" s="1"/>
  <c r="N591" i="5"/>
  <c r="O591" i="5" s="1"/>
  <c r="P591" i="5" s="1"/>
  <c r="M592" i="5" s="1"/>
  <c r="N1071" i="5"/>
  <c r="O1071" i="5" s="1"/>
  <c r="P1071" i="5" s="1"/>
  <c r="M1072" i="5" s="1"/>
  <c r="N1190" i="5"/>
  <c r="O1190" i="5" s="1"/>
  <c r="P1190" i="5" s="1"/>
  <c r="M1191" i="5" s="1"/>
  <c r="N891" i="5"/>
  <c r="O891" i="5" s="1"/>
  <c r="P891" i="5" s="1"/>
  <c r="M892" i="5" s="1"/>
  <c r="N267" i="5"/>
  <c r="O267" i="5" s="1"/>
  <c r="P267" i="5" s="1"/>
  <c r="M268" i="5" s="1"/>
  <c r="N1311" i="5"/>
  <c r="O1311" i="5" s="1"/>
  <c r="P1311" i="5"/>
  <c r="M1312" i="5" s="1"/>
  <c r="N831" i="5"/>
  <c r="O831" i="5" s="1"/>
  <c r="P831" i="5"/>
  <c r="M832" i="5" s="1"/>
  <c r="N1250" i="5"/>
  <c r="O1250" i="5" s="1"/>
  <c r="P1250" i="5" s="1"/>
  <c r="M1251" i="5" s="1"/>
  <c r="N1011" i="5"/>
  <c r="O1011" i="5" s="1"/>
  <c r="P1011" i="5" s="1"/>
  <c r="M1012" i="5" s="1"/>
  <c r="N27" i="5"/>
  <c r="O27" i="5" s="1"/>
  <c r="P27" i="5" s="1"/>
  <c r="M28" i="5" s="1"/>
  <c r="N531" i="5"/>
  <c r="O531" i="5" s="1"/>
  <c r="P531" i="5" s="1"/>
  <c r="M532" i="5" s="1"/>
  <c r="N951" i="5"/>
  <c r="O951" i="5" s="1"/>
  <c r="P951" i="5" s="1"/>
  <c r="M952" i="5" s="1"/>
  <c r="N351" i="5"/>
  <c r="O351" i="5" s="1"/>
  <c r="P351" i="5"/>
  <c r="M352" i="5" s="1"/>
  <c r="N711" i="5"/>
  <c r="O711" i="5" s="1"/>
  <c r="P711" i="5" s="1"/>
  <c r="M712" i="5" s="1"/>
  <c r="N435" i="5"/>
  <c r="O435" i="5" s="1"/>
  <c r="P435" i="5" s="1"/>
  <c r="M436" i="5" s="1"/>
  <c r="N651" i="5"/>
  <c r="O651" i="5" s="1"/>
  <c r="P651" i="5" s="1"/>
  <c r="M652" i="5" s="1"/>
  <c r="N1131" i="5"/>
  <c r="O1131" i="5" s="1"/>
  <c r="P1131" i="5" s="1"/>
  <c r="M1132" i="5" s="1"/>
  <c r="N1132" i="5" l="1"/>
  <c r="O1132" i="5" s="1"/>
  <c r="P1132" i="5"/>
  <c r="M1133" i="5" s="1"/>
  <c r="N772" i="5"/>
  <c r="O772" i="5" s="1"/>
  <c r="P772" i="5"/>
  <c r="M773" i="5" s="1"/>
  <c r="N952" i="5"/>
  <c r="O952" i="5" s="1"/>
  <c r="P952" i="5"/>
  <c r="M953" i="5" s="1"/>
  <c r="N712" i="5"/>
  <c r="O712" i="5" s="1"/>
  <c r="P712" i="5" s="1"/>
  <c r="M713" i="5" s="1"/>
  <c r="N892" i="5"/>
  <c r="O892" i="5" s="1"/>
  <c r="P892" i="5"/>
  <c r="M893" i="5" s="1"/>
  <c r="N652" i="5"/>
  <c r="O652" i="5" s="1"/>
  <c r="P652" i="5"/>
  <c r="M653" i="5" s="1"/>
  <c r="N1251" i="5"/>
  <c r="O1251" i="5" s="1"/>
  <c r="P1251" i="5"/>
  <c r="M1252" i="5" s="1"/>
  <c r="N1072" i="5"/>
  <c r="O1072" i="5" s="1"/>
  <c r="P1072" i="5" s="1"/>
  <c r="M1073" i="5" s="1"/>
  <c r="N352" i="5"/>
  <c r="O352" i="5" s="1"/>
  <c r="P352" i="5"/>
  <c r="M353" i="5" s="1"/>
  <c r="N268" i="5"/>
  <c r="O268" i="5" s="1"/>
  <c r="P268" i="5"/>
  <c r="M269" i="5" s="1"/>
  <c r="N592" i="5"/>
  <c r="O592" i="5" s="1"/>
  <c r="P592" i="5"/>
  <c r="M593" i="5" s="1"/>
  <c r="N28" i="5"/>
  <c r="N1012" i="5"/>
  <c r="O1012" i="5" s="1"/>
  <c r="P1012" i="5" s="1"/>
  <c r="M1013" i="5" s="1"/>
  <c r="N1312" i="5"/>
  <c r="O1312" i="5" s="1"/>
  <c r="P1312" i="5" s="1"/>
  <c r="M1313" i="5" s="1"/>
  <c r="N436" i="5"/>
  <c r="O436" i="5" s="1"/>
  <c r="P436" i="5"/>
  <c r="M437" i="5" s="1"/>
  <c r="N532" i="5"/>
  <c r="O532" i="5" s="1"/>
  <c r="P532" i="5" s="1"/>
  <c r="M533" i="5" s="1"/>
  <c r="N832" i="5"/>
  <c r="O832" i="5" s="1"/>
  <c r="P832" i="5" s="1"/>
  <c r="M833" i="5" s="1"/>
  <c r="N1191" i="5"/>
  <c r="O1191" i="5" s="1"/>
  <c r="P1191" i="5" s="1"/>
  <c r="M1192" i="5" s="1"/>
  <c r="N472" i="5"/>
  <c r="O472" i="5" s="1"/>
  <c r="P472" i="5" s="1"/>
  <c r="M473" i="5" s="1"/>
  <c r="N833" i="5" l="1"/>
  <c r="O833" i="5" s="1"/>
  <c r="P833" i="5" s="1"/>
  <c r="M834" i="5" s="1"/>
  <c r="N533" i="5"/>
  <c r="O533" i="5" s="1"/>
  <c r="P533" i="5" s="1"/>
  <c r="M534" i="5" s="1"/>
  <c r="N1073" i="5"/>
  <c r="O1073" i="5" s="1"/>
  <c r="P1073" i="5"/>
  <c r="M1074" i="5" s="1"/>
  <c r="N953" i="5"/>
  <c r="O953" i="5" s="1"/>
  <c r="P953" i="5" s="1"/>
  <c r="M954" i="5" s="1"/>
  <c r="N593" i="5"/>
  <c r="O593" i="5" s="1"/>
  <c r="P593" i="5" s="1"/>
  <c r="M594" i="5" s="1"/>
  <c r="N713" i="5"/>
  <c r="O713" i="5" s="1"/>
  <c r="P713" i="5"/>
  <c r="M714" i="5" s="1"/>
  <c r="N1252" i="5"/>
  <c r="O1252" i="5" s="1"/>
  <c r="P1252" i="5"/>
  <c r="M1253" i="5" s="1"/>
  <c r="N1313" i="5"/>
  <c r="O1313" i="5" s="1"/>
  <c r="P1313" i="5"/>
  <c r="M1314" i="5" s="1"/>
  <c r="N269" i="5"/>
  <c r="O269" i="5" s="1"/>
  <c r="P269" i="5" s="1"/>
  <c r="M270" i="5" s="1"/>
  <c r="N653" i="5"/>
  <c r="O653" i="5" s="1"/>
  <c r="P653" i="5" s="1"/>
  <c r="M654" i="5" s="1"/>
  <c r="N773" i="5"/>
  <c r="O773" i="5" s="1"/>
  <c r="P773" i="5" s="1"/>
  <c r="M774" i="5" s="1"/>
  <c r="O28" i="5"/>
  <c r="N1192" i="5"/>
  <c r="O1192" i="5" s="1"/>
  <c r="P1192" i="5" s="1"/>
  <c r="M1193" i="5" s="1"/>
  <c r="N473" i="5"/>
  <c r="O473" i="5" s="1"/>
  <c r="P473" i="5" s="1"/>
  <c r="M474" i="5" s="1"/>
  <c r="N1013" i="5"/>
  <c r="O1013" i="5" s="1"/>
  <c r="P1013" i="5" s="1"/>
  <c r="M1014" i="5" s="1"/>
  <c r="N353" i="5"/>
  <c r="O353" i="5" s="1"/>
  <c r="P353" i="5" s="1"/>
  <c r="M354" i="5" s="1"/>
  <c r="N893" i="5"/>
  <c r="O893" i="5" s="1"/>
  <c r="P893" i="5" s="1"/>
  <c r="M894" i="5" s="1"/>
  <c r="N1133" i="5"/>
  <c r="O1133" i="5" s="1"/>
  <c r="P1133" i="5"/>
  <c r="M1134" i="5" s="1"/>
  <c r="N437" i="5"/>
  <c r="O437" i="5" s="1"/>
  <c r="P437" i="5" s="1"/>
  <c r="M438" i="5" s="1"/>
  <c r="N270" i="5" l="1"/>
  <c r="O270" i="5" s="1"/>
  <c r="P270" i="5"/>
  <c r="M271" i="5" s="1"/>
  <c r="N594" i="5"/>
  <c r="O594" i="5" s="1"/>
  <c r="P594" i="5" s="1"/>
  <c r="M595" i="5" s="1"/>
  <c r="N894" i="5"/>
  <c r="O894" i="5" s="1"/>
  <c r="P894" i="5" s="1"/>
  <c r="M895" i="5" s="1"/>
  <c r="N1193" i="5"/>
  <c r="O1193" i="5" s="1"/>
  <c r="P1193" i="5" s="1"/>
  <c r="M1194" i="5" s="1"/>
  <c r="N834" i="5"/>
  <c r="O834" i="5" s="1"/>
  <c r="P834" i="5" s="1"/>
  <c r="M835" i="5" s="1"/>
  <c r="N354" i="5"/>
  <c r="O354" i="5" s="1"/>
  <c r="P354" i="5" s="1"/>
  <c r="M355" i="5" s="1"/>
  <c r="P28" i="5"/>
  <c r="M29" i="5" s="1"/>
  <c r="N1253" i="5"/>
  <c r="O1253" i="5" s="1"/>
  <c r="P1253" i="5" s="1"/>
  <c r="M1254" i="5" s="1"/>
  <c r="N1074" i="5"/>
  <c r="O1074" i="5" s="1"/>
  <c r="P1074" i="5" s="1"/>
  <c r="M1075" i="5" s="1"/>
  <c r="N1314" i="5"/>
  <c r="O1314" i="5" s="1"/>
  <c r="P1314" i="5" s="1"/>
  <c r="M1315" i="5" s="1"/>
  <c r="N774" i="5"/>
  <c r="O774" i="5" s="1"/>
  <c r="P774" i="5" s="1"/>
  <c r="M775" i="5" s="1"/>
  <c r="N654" i="5"/>
  <c r="O654" i="5" s="1"/>
  <c r="P654" i="5" s="1"/>
  <c r="M655" i="5" s="1"/>
  <c r="N714" i="5"/>
  <c r="O714" i="5" s="1"/>
  <c r="P714" i="5" s="1"/>
  <c r="M715" i="5" s="1"/>
  <c r="N534" i="5"/>
  <c r="O534" i="5" s="1"/>
  <c r="P534" i="5" s="1"/>
  <c r="M535" i="5" s="1"/>
  <c r="N954" i="5"/>
  <c r="O954" i="5" s="1"/>
  <c r="P954" i="5" s="1"/>
  <c r="M955" i="5" s="1"/>
  <c r="N1014" i="5"/>
  <c r="O1014" i="5" s="1"/>
  <c r="P1014" i="5" s="1"/>
  <c r="M1015" i="5" s="1"/>
  <c r="N474" i="5"/>
  <c r="O474" i="5" s="1"/>
  <c r="P474" i="5" s="1"/>
  <c r="M475" i="5" s="1"/>
  <c r="N438" i="5"/>
  <c r="O438" i="5" s="1"/>
  <c r="P438" i="5" s="1"/>
  <c r="M439" i="5" s="1"/>
  <c r="N1134" i="5"/>
  <c r="O1134" i="5" s="1"/>
  <c r="P1134" i="5" s="1"/>
  <c r="M1135" i="5" s="1"/>
  <c r="N1315" i="5" l="1"/>
  <c r="O1315" i="5" s="1"/>
  <c r="P1315" i="5" s="1"/>
  <c r="M1316" i="5" s="1"/>
  <c r="N1075" i="5"/>
  <c r="O1075" i="5" s="1"/>
  <c r="P1075" i="5"/>
  <c r="M1076" i="5" s="1"/>
  <c r="N715" i="5"/>
  <c r="O715" i="5" s="1"/>
  <c r="P715" i="5" s="1"/>
  <c r="M716" i="5" s="1"/>
  <c r="N595" i="5"/>
  <c r="O595" i="5" s="1"/>
  <c r="P595" i="5" s="1"/>
  <c r="M596" i="5" s="1"/>
  <c r="N535" i="5"/>
  <c r="O535" i="5" s="1"/>
  <c r="P535" i="5" s="1"/>
  <c r="M536" i="5" s="1"/>
  <c r="N355" i="5"/>
  <c r="O355" i="5" s="1"/>
  <c r="P355" i="5"/>
  <c r="M356" i="5" s="1"/>
  <c r="N439" i="5"/>
  <c r="O439" i="5" s="1"/>
  <c r="P439" i="5" s="1"/>
  <c r="M440" i="5" s="1"/>
  <c r="N475" i="5"/>
  <c r="O475" i="5" s="1"/>
  <c r="P475" i="5" s="1"/>
  <c r="M476" i="5" s="1"/>
  <c r="N1254" i="5"/>
  <c r="O1254" i="5" s="1"/>
  <c r="P1254" i="5" s="1"/>
  <c r="M1255" i="5" s="1"/>
  <c r="N1015" i="5"/>
  <c r="O1015" i="5" s="1"/>
  <c r="P1015" i="5"/>
  <c r="M1016" i="5" s="1"/>
  <c r="N775" i="5"/>
  <c r="O775" i="5" s="1"/>
  <c r="P775" i="5"/>
  <c r="M776" i="5" s="1"/>
  <c r="N895" i="5"/>
  <c r="O895" i="5" s="1"/>
  <c r="P895" i="5"/>
  <c r="M896" i="5" s="1"/>
  <c r="N955" i="5"/>
  <c r="O955" i="5" s="1"/>
  <c r="P955" i="5" s="1"/>
  <c r="M956" i="5" s="1"/>
  <c r="N655" i="5"/>
  <c r="O655" i="5" s="1"/>
  <c r="P655" i="5" s="1"/>
  <c r="M656" i="5" s="1"/>
  <c r="N29" i="5"/>
  <c r="N1194" i="5"/>
  <c r="O1194" i="5" s="1"/>
  <c r="P1194" i="5" s="1"/>
  <c r="M1195" i="5" s="1"/>
  <c r="N835" i="5"/>
  <c r="O835" i="5" s="1"/>
  <c r="P835" i="5" s="1"/>
  <c r="M836" i="5" s="1"/>
  <c r="N271" i="5"/>
  <c r="O271" i="5" s="1"/>
  <c r="P271" i="5"/>
  <c r="M272" i="5" s="1"/>
  <c r="N1135" i="5"/>
  <c r="O1135" i="5" s="1"/>
  <c r="P1135" i="5"/>
  <c r="M1136" i="5" s="1"/>
  <c r="N956" i="5" l="1"/>
  <c r="O956" i="5" s="1"/>
  <c r="P956" i="5" s="1"/>
  <c r="M957" i="5" s="1"/>
  <c r="N1195" i="5"/>
  <c r="O1195" i="5" s="1"/>
  <c r="P1195" i="5" s="1"/>
  <c r="M1196" i="5" s="1"/>
  <c r="N836" i="5"/>
  <c r="O836" i="5" s="1"/>
  <c r="P836" i="5"/>
  <c r="M837" i="5" s="1"/>
  <c r="N1255" i="5"/>
  <c r="O1255" i="5" s="1"/>
  <c r="P1255" i="5"/>
  <c r="M1256" i="5" s="1"/>
  <c r="N476" i="5"/>
  <c r="O476" i="5" s="1"/>
  <c r="P476" i="5" s="1"/>
  <c r="M477" i="5" s="1"/>
  <c r="N440" i="5"/>
  <c r="O440" i="5" s="1"/>
  <c r="P440" i="5" s="1"/>
  <c r="M441" i="5" s="1"/>
  <c r="N716" i="5"/>
  <c r="O716" i="5" s="1"/>
  <c r="P716" i="5"/>
  <c r="M717" i="5" s="1"/>
  <c r="O29" i="5"/>
  <c r="N896" i="5"/>
  <c r="O896" i="5" s="1"/>
  <c r="P896" i="5" s="1"/>
  <c r="M897" i="5" s="1"/>
  <c r="N776" i="5"/>
  <c r="O776" i="5" s="1"/>
  <c r="P776" i="5" s="1"/>
  <c r="M777" i="5" s="1"/>
  <c r="N1016" i="5"/>
  <c r="O1016" i="5" s="1"/>
  <c r="P1016" i="5"/>
  <c r="M1017" i="5" s="1"/>
  <c r="N356" i="5"/>
  <c r="O356" i="5" s="1"/>
  <c r="P356" i="5" s="1"/>
  <c r="M357" i="5" s="1"/>
  <c r="N1076" i="5"/>
  <c r="O1076" i="5" s="1"/>
  <c r="P1076" i="5" s="1"/>
  <c r="M1077" i="5" s="1"/>
  <c r="N596" i="5"/>
  <c r="O596" i="5" s="1"/>
  <c r="P596" i="5" s="1"/>
  <c r="M597" i="5" s="1"/>
  <c r="N1136" i="5"/>
  <c r="O1136" i="5" s="1"/>
  <c r="P1136" i="5"/>
  <c r="M1137" i="5" s="1"/>
  <c r="N656" i="5"/>
  <c r="O656" i="5" s="1"/>
  <c r="P656" i="5"/>
  <c r="M657" i="5" s="1"/>
  <c r="N536" i="5"/>
  <c r="O536" i="5" s="1"/>
  <c r="P536" i="5" s="1"/>
  <c r="M537" i="5" s="1"/>
  <c r="N1316" i="5"/>
  <c r="O1316" i="5" s="1"/>
  <c r="P1316" i="5" s="1"/>
  <c r="M1317" i="5" s="1"/>
  <c r="N272" i="5"/>
  <c r="O272" i="5" s="1"/>
  <c r="P272" i="5" s="1"/>
  <c r="M273" i="5" s="1"/>
  <c r="N477" i="5" l="1"/>
  <c r="O477" i="5" s="1"/>
  <c r="P477" i="5"/>
  <c r="M478" i="5" s="1"/>
  <c r="N777" i="5"/>
  <c r="O777" i="5" s="1"/>
  <c r="P777" i="5"/>
  <c r="M778" i="5" s="1"/>
  <c r="N897" i="5"/>
  <c r="O897" i="5" s="1"/>
  <c r="P897" i="5"/>
  <c r="M898" i="5" s="1"/>
  <c r="N441" i="5"/>
  <c r="O441" i="5" s="1"/>
  <c r="P441" i="5" s="1"/>
  <c r="M442" i="5" s="1"/>
  <c r="N597" i="5"/>
  <c r="O597" i="5" s="1"/>
  <c r="P597" i="5"/>
  <c r="M598" i="5" s="1"/>
  <c r="N1077" i="5"/>
  <c r="O1077" i="5" s="1"/>
  <c r="P1077" i="5"/>
  <c r="M1078" i="5" s="1"/>
  <c r="N1196" i="5"/>
  <c r="O1196" i="5" s="1"/>
  <c r="P1196" i="5"/>
  <c r="M1197" i="5" s="1"/>
  <c r="N537" i="5"/>
  <c r="O537" i="5" s="1"/>
  <c r="P537" i="5" s="1"/>
  <c r="M538" i="5" s="1"/>
  <c r="N1317" i="5"/>
  <c r="O1317" i="5" s="1"/>
  <c r="P1317" i="5"/>
  <c r="M1318" i="5" s="1"/>
  <c r="N957" i="5"/>
  <c r="O957" i="5" s="1"/>
  <c r="P957" i="5"/>
  <c r="M958" i="5" s="1"/>
  <c r="P29" i="5"/>
  <c r="M30" i="5" s="1"/>
  <c r="N357" i="5"/>
  <c r="O357" i="5" s="1"/>
  <c r="P357" i="5"/>
  <c r="M358" i="5" s="1"/>
  <c r="N717" i="5"/>
  <c r="O717" i="5" s="1"/>
  <c r="P717" i="5" s="1"/>
  <c r="M718" i="5" s="1"/>
  <c r="N837" i="5"/>
  <c r="O837" i="5" s="1"/>
  <c r="P837" i="5"/>
  <c r="M838" i="5" s="1"/>
  <c r="N657" i="5"/>
  <c r="O657" i="5" s="1"/>
  <c r="P657" i="5" s="1"/>
  <c r="M658" i="5" s="1"/>
  <c r="N1137" i="5"/>
  <c r="O1137" i="5" s="1"/>
  <c r="P1137" i="5" s="1"/>
  <c r="M1138" i="5" s="1"/>
  <c r="N1256" i="5"/>
  <c r="O1256" i="5" s="1"/>
  <c r="P1256" i="5" s="1"/>
  <c r="M1257" i="5" s="1"/>
  <c r="N273" i="5"/>
  <c r="O273" i="5" s="1"/>
  <c r="P273" i="5" s="1"/>
  <c r="M274" i="5" s="1"/>
  <c r="N1017" i="5"/>
  <c r="O1017" i="5" s="1"/>
  <c r="P1017" i="5"/>
  <c r="M1018" i="5" s="1"/>
  <c r="N274" i="5" l="1"/>
  <c r="O274" i="5" s="1"/>
  <c r="P274" i="5"/>
  <c r="M275" i="5" s="1"/>
  <c r="N1138" i="5"/>
  <c r="O1138" i="5" s="1"/>
  <c r="P1138" i="5"/>
  <c r="M1139" i="5" s="1"/>
  <c r="N1018" i="5"/>
  <c r="O1018" i="5" s="1"/>
  <c r="P1018" i="5"/>
  <c r="M1019" i="5" s="1"/>
  <c r="N1197" i="5"/>
  <c r="O1197" i="5" s="1"/>
  <c r="P1197" i="5" s="1"/>
  <c r="M1198" i="5" s="1"/>
  <c r="N898" i="5"/>
  <c r="O898" i="5" s="1"/>
  <c r="P898" i="5"/>
  <c r="M899" i="5" s="1"/>
  <c r="N358" i="5"/>
  <c r="O358" i="5" s="1"/>
  <c r="P358" i="5"/>
  <c r="M359" i="5" s="1"/>
  <c r="N30" i="5"/>
  <c r="N838" i="5"/>
  <c r="O838" i="5" s="1"/>
  <c r="P838" i="5" s="1"/>
  <c r="M839" i="5" s="1"/>
  <c r="N958" i="5"/>
  <c r="O958" i="5" s="1"/>
  <c r="P958" i="5" s="1"/>
  <c r="M959" i="5" s="1"/>
  <c r="N1078" i="5"/>
  <c r="O1078" i="5" s="1"/>
  <c r="P1078" i="5" s="1"/>
  <c r="M1079" i="5" s="1"/>
  <c r="N778" i="5"/>
  <c r="O778" i="5" s="1"/>
  <c r="P778" i="5" s="1"/>
  <c r="M779" i="5" s="1"/>
  <c r="N658" i="5"/>
  <c r="O658" i="5" s="1"/>
  <c r="P658" i="5" s="1"/>
  <c r="M659" i="5" s="1"/>
  <c r="N442" i="5"/>
  <c r="O442" i="5" s="1"/>
  <c r="P442" i="5" s="1"/>
  <c r="M443" i="5" s="1"/>
  <c r="N1257" i="5"/>
  <c r="O1257" i="5" s="1"/>
  <c r="P1257" i="5" s="1"/>
  <c r="M1258" i="5" s="1"/>
  <c r="N718" i="5"/>
  <c r="O718" i="5" s="1"/>
  <c r="P718" i="5"/>
  <c r="M719" i="5" s="1"/>
  <c r="N1318" i="5"/>
  <c r="O1318" i="5" s="1"/>
  <c r="P1318" i="5" s="1"/>
  <c r="M1319" i="5" s="1"/>
  <c r="N598" i="5"/>
  <c r="O598" i="5" s="1"/>
  <c r="P598" i="5" s="1"/>
  <c r="M599" i="5" s="1"/>
  <c r="N478" i="5"/>
  <c r="O478" i="5" s="1"/>
  <c r="P478" i="5" s="1"/>
  <c r="M479" i="5" s="1"/>
  <c r="N538" i="5"/>
  <c r="O538" i="5" s="1"/>
  <c r="P538" i="5" s="1"/>
  <c r="M539" i="5" s="1"/>
  <c r="N839" i="5" l="1"/>
  <c r="O839" i="5" s="1"/>
  <c r="P839" i="5"/>
  <c r="M840" i="5" s="1"/>
  <c r="N539" i="5"/>
  <c r="O539" i="5" s="1"/>
  <c r="P539" i="5"/>
  <c r="M540" i="5" s="1"/>
  <c r="N1019" i="5"/>
  <c r="O1019" i="5" s="1"/>
  <c r="P1019" i="5"/>
  <c r="M1020" i="5" s="1"/>
  <c r="N1198" i="5"/>
  <c r="O1198" i="5" s="1"/>
  <c r="P1198" i="5" s="1"/>
  <c r="M1199" i="5" s="1"/>
  <c r="O30" i="5"/>
  <c r="N719" i="5"/>
  <c r="O719" i="5" s="1"/>
  <c r="P719" i="5" s="1"/>
  <c r="M720" i="5" s="1"/>
  <c r="N1258" i="5"/>
  <c r="O1258" i="5" s="1"/>
  <c r="P1258" i="5" s="1"/>
  <c r="M1259" i="5" s="1"/>
  <c r="N1079" i="5"/>
  <c r="O1079" i="5" s="1"/>
  <c r="P1079" i="5" s="1"/>
  <c r="M1080" i="5" s="1"/>
  <c r="N359" i="5"/>
  <c r="O359" i="5" s="1"/>
  <c r="P359" i="5" s="1"/>
  <c r="M360" i="5" s="1"/>
  <c r="N1139" i="5"/>
  <c r="O1139" i="5" s="1"/>
  <c r="P1139" i="5" s="1"/>
  <c r="M1140" i="5" s="1"/>
  <c r="N659" i="5"/>
  <c r="O659" i="5" s="1"/>
  <c r="P659" i="5" s="1"/>
  <c r="M660" i="5" s="1"/>
  <c r="N479" i="5"/>
  <c r="O479" i="5" s="1"/>
  <c r="P479" i="5" s="1"/>
  <c r="M480" i="5" s="1"/>
  <c r="N779" i="5"/>
  <c r="O779" i="5" s="1"/>
  <c r="P779" i="5" s="1"/>
  <c r="M780" i="5" s="1"/>
  <c r="N599" i="5"/>
  <c r="O599" i="5" s="1"/>
  <c r="P599" i="5" s="1"/>
  <c r="M600" i="5" s="1"/>
  <c r="N443" i="5"/>
  <c r="O443" i="5" s="1"/>
  <c r="P443" i="5" s="1"/>
  <c r="M444" i="5" s="1"/>
  <c r="N959" i="5"/>
  <c r="O959" i="5" s="1"/>
  <c r="P959" i="5" s="1"/>
  <c r="M960" i="5" s="1"/>
  <c r="N899" i="5"/>
  <c r="O899" i="5" s="1"/>
  <c r="P899" i="5" s="1"/>
  <c r="M900" i="5" s="1"/>
  <c r="N275" i="5"/>
  <c r="O275" i="5" s="1"/>
  <c r="P275" i="5" s="1"/>
  <c r="M276" i="5" s="1"/>
  <c r="N1319" i="5"/>
  <c r="O1319" i="5" s="1"/>
  <c r="P1319" i="5" s="1"/>
  <c r="M1320" i="5" s="1"/>
  <c r="N1199" i="5" l="1"/>
  <c r="O1199" i="5" s="1"/>
  <c r="P1199" i="5"/>
  <c r="M1200" i="5" s="1"/>
  <c r="N480" i="5"/>
  <c r="O480" i="5" s="1"/>
  <c r="P480" i="5"/>
  <c r="M481" i="5" s="1"/>
  <c r="N660" i="5"/>
  <c r="O660" i="5" s="1"/>
  <c r="P660" i="5"/>
  <c r="M661" i="5" s="1"/>
  <c r="N1259" i="5"/>
  <c r="O1259" i="5" s="1"/>
  <c r="P1259" i="5" s="1"/>
  <c r="M1260" i="5" s="1"/>
  <c r="N1020" i="5"/>
  <c r="O1020" i="5" s="1"/>
  <c r="P1020" i="5"/>
  <c r="M1021" i="5" s="1"/>
  <c r="N444" i="5"/>
  <c r="O444" i="5" s="1"/>
  <c r="P444" i="5"/>
  <c r="M445" i="5" s="1"/>
  <c r="N1080" i="5"/>
  <c r="O1080" i="5" s="1"/>
  <c r="P1080" i="5"/>
  <c r="M1081" i="5" s="1"/>
  <c r="N276" i="5"/>
  <c r="O276" i="5" s="1"/>
  <c r="P276" i="5" s="1"/>
  <c r="M277" i="5" s="1"/>
  <c r="N600" i="5"/>
  <c r="O600" i="5" s="1"/>
  <c r="P600" i="5"/>
  <c r="M601" i="5" s="1"/>
  <c r="N1140" i="5"/>
  <c r="O1140" i="5" s="1"/>
  <c r="P1140" i="5"/>
  <c r="M1141" i="5" s="1"/>
  <c r="N720" i="5"/>
  <c r="O720" i="5" s="1"/>
  <c r="P720" i="5"/>
  <c r="M721" i="5" s="1"/>
  <c r="N540" i="5"/>
  <c r="O540" i="5" s="1"/>
  <c r="P540" i="5" s="1"/>
  <c r="M541" i="5" s="1"/>
  <c r="N1320" i="5"/>
  <c r="O1320" i="5" s="1"/>
  <c r="P1320" i="5"/>
  <c r="M1321" i="5" s="1"/>
  <c r="N840" i="5"/>
  <c r="O840" i="5" s="1"/>
  <c r="P840" i="5"/>
  <c r="M841" i="5" s="1"/>
  <c r="N960" i="5"/>
  <c r="O960" i="5" s="1"/>
  <c r="P960" i="5" s="1"/>
  <c r="M961" i="5" s="1"/>
  <c r="N900" i="5"/>
  <c r="O900" i="5" s="1"/>
  <c r="P900" i="5" s="1"/>
  <c r="M901" i="5" s="1"/>
  <c r="N780" i="5"/>
  <c r="O780" i="5" s="1"/>
  <c r="P780" i="5" s="1"/>
  <c r="M781" i="5" s="1"/>
  <c r="N360" i="5"/>
  <c r="O360" i="5" s="1"/>
  <c r="P360" i="5" s="1"/>
  <c r="M361" i="5" s="1"/>
  <c r="P30" i="5"/>
  <c r="M31" i="5" s="1"/>
  <c r="N961" i="5" l="1"/>
  <c r="O961" i="5" s="1"/>
  <c r="P961" i="5"/>
  <c r="M962" i="5" s="1"/>
  <c r="N361" i="5"/>
  <c r="O361" i="5" s="1"/>
  <c r="P361" i="5"/>
  <c r="M362" i="5" s="1"/>
  <c r="N1081" i="5"/>
  <c r="O1081" i="5" s="1"/>
  <c r="P1081" i="5"/>
  <c r="M1082" i="5" s="1"/>
  <c r="N661" i="5"/>
  <c r="O661" i="5" s="1"/>
  <c r="P661" i="5" s="1"/>
  <c r="M662" i="5" s="1"/>
  <c r="N1260" i="5"/>
  <c r="O1260" i="5" s="1"/>
  <c r="P1260" i="5"/>
  <c r="M1261" i="5" s="1"/>
  <c r="N277" i="5"/>
  <c r="O277" i="5" s="1"/>
  <c r="P277" i="5"/>
  <c r="M278" i="5" s="1"/>
  <c r="N841" i="5"/>
  <c r="O841" i="5" s="1"/>
  <c r="P841" i="5"/>
  <c r="M842" i="5" s="1"/>
  <c r="N1141" i="5"/>
  <c r="O1141" i="5" s="1"/>
  <c r="P1141" i="5" s="1"/>
  <c r="M1142" i="5" s="1"/>
  <c r="N445" i="5"/>
  <c r="O445" i="5" s="1"/>
  <c r="P445" i="5"/>
  <c r="N481" i="5"/>
  <c r="O481" i="5" s="1"/>
  <c r="P481" i="5"/>
  <c r="M482" i="5" s="1"/>
  <c r="N901" i="5"/>
  <c r="O901" i="5" s="1"/>
  <c r="P901" i="5"/>
  <c r="M902" i="5" s="1"/>
  <c r="N31" i="5"/>
  <c r="N1321" i="5"/>
  <c r="O1321" i="5" s="1"/>
  <c r="P1321" i="5" s="1"/>
  <c r="M1322" i="5" s="1"/>
  <c r="N601" i="5"/>
  <c r="O601" i="5" s="1"/>
  <c r="P601" i="5"/>
  <c r="M602" i="5" s="1"/>
  <c r="N1021" i="5"/>
  <c r="O1021" i="5" s="1"/>
  <c r="P1021" i="5"/>
  <c r="M1022" i="5" s="1"/>
  <c r="N1200" i="5"/>
  <c r="O1200" i="5" s="1"/>
  <c r="P1200" i="5"/>
  <c r="M1201" i="5" s="1"/>
  <c r="N541" i="5"/>
  <c r="O541" i="5" s="1"/>
  <c r="P541" i="5" s="1"/>
  <c r="M542" i="5" s="1"/>
  <c r="N721" i="5"/>
  <c r="O721" i="5" s="1"/>
  <c r="P721" i="5" s="1"/>
  <c r="M722" i="5" s="1"/>
  <c r="N781" i="5"/>
  <c r="O781" i="5" s="1"/>
  <c r="P781" i="5" s="1"/>
  <c r="M782" i="5" s="1"/>
  <c r="N542" i="5" l="1"/>
  <c r="O542" i="5" s="1"/>
  <c r="P542" i="5"/>
  <c r="M543" i="5" s="1"/>
  <c r="N1322" i="5"/>
  <c r="O1322" i="5" s="1"/>
  <c r="P1322" i="5"/>
  <c r="M1323" i="5" s="1"/>
  <c r="N662" i="5"/>
  <c r="O662" i="5" s="1"/>
  <c r="P662" i="5"/>
  <c r="M663" i="5" s="1"/>
  <c r="O31" i="5"/>
  <c r="N842" i="5"/>
  <c r="O842" i="5" s="1"/>
  <c r="P842" i="5" s="1"/>
  <c r="M843" i="5" s="1"/>
  <c r="N1082" i="5"/>
  <c r="O1082" i="5" s="1"/>
  <c r="P1082" i="5" s="1"/>
  <c r="M1083" i="5" s="1"/>
  <c r="N1201" i="5"/>
  <c r="O1201" i="5" s="1"/>
  <c r="P1201" i="5" s="1"/>
  <c r="M1202" i="5" s="1"/>
  <c r="N782" i="5"/>
  <c r="O782" i="5" s="1"/>
  <c r="P782" i="5" s="1"/>
  <c r="M783" i="5" s="1"/>
  <c r="N602" i="5"/>
  <c r="O602" i="5" s="1"/>
  <c r="P602" i="5" s="1"/>
  <c r="M603" i="5" s="1"/>
  <c r="N482" i="5"/>
  <c r="O482" i="5" s="1"/>
  <c r="P482" i="5"/>
  <c r="M483" i="5" s="1"/>
  <c r="N278" i="5"/>
  <c r="O278" i="5" s="1"/>
  <c r="P278" i="5"/>
  <c r="M279" i="5" s="1"/>
  <c r="N362" i="5"/>
  <c r="O362" i="5" s="1"/>
  <c r="P362" i="5"/>
  <c r="M363" i="5" s="1"/>
  <c r="N1142" i="5"/>
  <c r="O1142" i="5" s="1"/>
  <c r="P1142" i="5" s="1"/>
  <c r="M1143" i="5" s="1"/>
  <c r="N902" i="5"/>
  <c r="O902" i="5" s="1"/>
  <c r="P902" i="5" s="1"/>
  <c r="M903" i="5" s="1"/>
  <c r="N1261" i="5"/>
  <c r="O1261" i="5" s="1"/>
  <c r="P1261" i="5" s="1"/>
  <c r="M1262" i="5" s="1"/>
  <c r="N962" i="5"/>
  <c r="O962" i="5" s="1"/>
  <c r="P962" i="5"/>
  <c r="M963" i="5" s="1"/>
  <c r="N1022" i="5"/>
  <c r="O1022" i="5" s="1"/>
  <c r="P1022" i="5" s="1"/>
  <c r="M1023" i="5" s="1"/>
  <c r="N722" i="5"/>
  <c r="O722" i="5" s="1"/>
  <c r="P722" i="5" s="1"/>
  <c r="M723" i="5" s="1"/>
  <c r="N1143" i="5" l="1"/>
  <c r="O1143" i="5" s="1"/>
  <c r="P1143" i="5"/>
  <c r="M1144" i="5" s="1"/>
  <c r="N603" i="5"/>
  <c r="O603" i="5" s="1"/>
  <c r="P603" i="5"/>
  <c r="M604" i="5" s="1"/>
  <c r="N1262" i="5"/>
  <c r="O1262" i="5" s="1"/>
  <c r="P1262" i="5"/>
  <c r="M1263" i="5" s="1"/>
  <c r="N1023" i="5"/>
  <c r="O1023" i="5" s="1"/>
  <c r="P1023" i="5" s="1"/>
  <c r="M1024" i="5" s="1"/>
  <c r="P31" i="5"/>
  <c r="M32" i="5" s="1"/>
  <c r="N1202" i="5"/>
  <c r="O1202" i="5" s="1"/>
  <c r="P1202" i="5" s="1"/>
  <c r="M1203" i="5" s="1"/>
  <c r="N663" i="5"/>
  <c r="O663" i="5" s="1"/>
  <c r="P663" i="5" s="1"/>
  <c r="M664" i="5" s="1"/>
  <c r="N783" i="5"/>
  <c r="O783" i="5" s="1"/>
  <c r="P783" i="5" s="1"/>
  <c r="M784" i="5" s="1"/>
  <c r="N903" i="5"/>
  <c r="O903" i="5" s="1"/>
  <c r="P903" i="5" s="1"/>
  <c r="M904" i="5" s="1"/>
  <c r="N483" i="5"/>
  <c r="O483" i="5" s="1"/>
  <c r="P483" i="5"/>
  <c r="M484" i="5" s="1"/>
  <c r="N1083" i="5"/>
  <c r="O1083" i="5" s="1"/>
  <c r="P1083" i="5"/>
  <c r="M1084" i="5" s="1"/>
  <c r="N1323" i="5"/>
  <c r="O1323" i="5" s="1"/>
  <c r="P1323" i="5"/>
  <c r="M1324" i="5" s="1"/>
  <c r="N723" i="5"/>
  <c r="O723" i="5" s="1"/>
  <c r="P723" i="5" s="1"/>
  <c r="M724" i="5" s="1"/>
  <c r="N963" i="5"/>
  <c r="O963" i="5" s="1"/>
  <c r="P963" i="5" s="1"/>
  <c r="M964" i="5" s="1"/>
  <c r="N279" i="5"/>
  <c r="O279" i="5" s="1"/>
  <c r="P279" i="5" s="1"/>
  <c r="M280" i="5" s="1"/>
  <c r="N843" i="5"/>
  <c r="O843" i="5" s="1"/>
  <c r="P843" i="5"/>
  <c r="M844" i="5" s="1"/>
  <c r="N543" i="5"/>
  <c r="O543" i="5" s="1"/>
  <c r="P543" i="5" s="1"/>
  <c r="M544" i="5" s="1"/>
  <c r="N363" i="5"/>
  <c r="O363" i="5" s="1"/>
  <c r="P363" i="5" s="1"/>
  <c r="M364" i="5" s="1"/>
  <c r="N724" i="5" l="1"/>
  <c r="O724" i="5" s="1"/>
  <c r="P724" i="5"/>
  <c r="M725" i="5" s="1"/>
  <c r="N544" i="5"/>
  <c r="O544" i="5" s="1"/>
  <c r="P544" i="5"/>
  <c r="M545" i="5" s="1"/>
  <c r="N904" i="5"/>
  <c r="O904" i="5" s="1"/>
  <c r="P904" i="5"/>
  <c r="M905" i="5" s="1"/>
  <c r="N844" i="5"/>
  <c r="O844" i="5" s="1"/>
  <c r="P844" i="5" s="1"/>
  <c r="M845" i="5" s="1"/>
  <c r="N664" i="5"/>
  <c r="O664" i="5" s="1"/>
  <c r="P664" i="5"/>
  <c r="M665" i="5" s="1"/>
  <c r="N1263" i="5"/>
  <c r="O1263" i="5" s="1"/>
  <c r="P1263" i="5"/>
  <c r="M1264" i="5" s="1"/>
  <c r="N280" i="5"/>
  <c r="O280" i="5" s="1"/>
  <c r="P280" i="5"/>
  <c r="M281" i="5" s="1"/>
  <c r="N1024" i="5"/>
  <c r="O1024" i="5" s="1"/>
  <c r="P1024" i="5" s="1"/>
  <c r="M1025" i="5" s="1"/>
  <c r="N364" i="5"/>
  <c r="O364" i="5" s="1"/>
  <c r="P364" i="5"/>
  <c r="M365" i="5" s="1"/>
  <c r="N484" i="5"/>
  <c r="O484" i="5" s="1"/>
  <c r="P484" i="5"/>
  <c r="M485" i="5" s="1"/>
  <c r="N1203" i="5"/>
  <c r="O1203" i="5" s="1"/>
  <c r="P1203" i="5"/>
  <c r="M1204" i="5" s="1"/>
  <c r="N604" i="5"/>
  <c r="O604" i="5" s="1"/>
  <c r="P604" i="5" s="1"/>
  <c r="M605" i="5" s="1"/>
  <c r="N1324" i="5"/>
  <c r="O1324" i="5" s="1"/>
  <c r="P1324" i="5"/>
  <c r="M1325" i="5" s="1"/>
  <c r="N1084" i="5"/>
  <c r="O1084" i="5" s="1"/>
  <c r="P1084" i="5"/>
  <c r="M1085" i="5" s="1"/>
  <c r="N964" i="5"/>
  <c r="O964" i="5" s="1"/>
  <c r="P964" i="5" s="1"/>
  <c r="M965" i="5" s="1"/>
  <c r="N784" i="5"/>
  <c r="O784" i="5" s="1"/>
  <c r="P784" i="5" s="1"/>
  <c r="M785" i="5" s="1"/>
  <c r="N32" i="5"/>
  <c r="N1144" i="5"/>
  <c r="O1144" i="5" s="1"/>
  <c r="P1144" i="5"/>
  <c r="M1145" i="5" s="1"/>
  <c r="N965" i="5" l="1"/>
  <c r="O965" i="5" s="1"/>
  <c r="P965" i="5" s="1"/>
  <c r="M966" i="5" s="1"/>
  <c r="N785" i="5"/>
  <c r="O785" i="5" s="1"/>
  <c r="P785" i="5" s="1"/>
  <c r="M786" i="5" s="1"/>
  <c r="N281" i="5"/>
  <c r="O281" i="5" s="1"/>
  <c r="P281" i="5"/>
  <c r="M282" i="5" s="1"/>
  <c r="N905" i="5"/>
  <c r="O905" i="5" s="1"/>
  <c r="P905" i="5"/>
  <c r="M906" i="5" s="1"/>
  <c r="N605" i="5"/>
  <c r="O605" i="5" s="1"/>
  <c r="P605" i="5" s="1"/>
  <c r="M606" i="5" s="1"/>
  <c r="N845" i="5"/>
  <c r="O845" i="5" s="1"/>
  <c r="P845" i="5" s="1"/>
  <c r="M846" i="5" s="1"/>
  <c r="N1085" i="5"/>
  <c r="O1085" i="5" s="1"/>
  <c r="P1085" i="5"/>
  <c r="M1086" i="5" s="1"/>
  <c r="N485" i="5"/>
  <c r="O485" i="5" s="1"/>
  <c r="P485" i="5"/>
  <c r="M486" i="5" s="1"/>
  <c r="N1264" i="5"/>
  <c r="O1264" i="5" s="1"/>
  <c r="P1264" i="5" s="1"/>
  <c r="M1265" i="5" s="1"/>
  <c r="N545" i="5"/>
  <c r="O545" i="5" s="1"/>
  <c r="P545" i="5" s="1"/>
  <c r="M546" i="5" s="1"/>
  <c r="N1025" i="5"/>
  <c r="O1025" i="5" s="1"/>
  <c r="P1025" i="5" s="1"/>
  <c r="M1026" i="5" s="1"/>
  <c r="N1145" i="5"/>
  <c r="O1145" i="5" s="1"/>
  <c r="P1145" i="5"/>
  <c r="M1146" i="5" s="1"/>
  <c r="N1325" i="5"/>
  <c r="O1325" i="5" s="1"/>
  <c r="P1325" i="5" s="1"/>
  <c r="M1326" i="5" s="1"/>
  <c r="N365" i="5"/>
  <c r="O365" i="5" s="1"/>
  <c r="P365" i="5" s="1"/>
  <c r="M366" i="5" s="1"/>
  <c r="N665" i="5"/>
  <c r="O665" i="5" s="1"/>
  <c r="P665" i="5" s="1"/>
  <c r="M666" i="5" s="1"/>
  <c r="N725" i="5"/>
  <c r="O725" i="5" s="1"/>
  <c r="P725" i="5"/>
  <c r="M726" i="5" s="1"/>
  <c r="N1204" i="5"/>
  <c r="O1204" i="5" s="1"/>
  <c r="P1204" i="5" s="1"/>
  <c r="M1205" i="5" s="1"/>
  <c r="O32" i="5"/>
  <c r="N606" i="5" l="1"/>
  <c r="O606" i="5" s="1"/>
  <c r="P606" i="5"/>
  <c r="M607" i="5" s="1"/>
  <c r="N546" i="5"/>
  <c r="O546" i="5" s="1"/>
  <c r="P546" i="5"/>
  <c r="M547" i="5" s="1"/>
  <c r="N366" i="5"/>
  <c r="O366" i="5" s="1"/>
  <c r="P366" i="5"/>
  <c r="M367" i="5" s="1"/>
  <c r="N846" i="5"/>
  <c r="O846" i="5" s="1"/>
  <c r="P846" i="5" s="1"/>
  <c r="M847" i="5" s="1"/>
  <c r="N1326" i="5"/>
  <c r="O1326" i="5" s="1"/>
  <c r="P1326" i="5"/>
  <c r="M1327" i="5" s="1"/>
  <c r="N1265" i="5"/>
  <c r="O1265" i="5" s="1"/>
  <c r="P1265" i="5"/>
  <c r="M1266" i="5" s="1"/>
  <c r="N786" i="5"/>
  <c r="O786" i="5" s="1"/>
  <c r="P786" i="5"/>
  <c r="M787" i="5" s="1"/>
  <c r="N1205" i="5"/>
  <c r="O1205" i="5" s="1"/>
  <c r="P1205" i="5" s="1"/>
  <c r="M1206" i="5" s="1"/>
  <c r="N666" i="5"/>
  <c r="O666" i="5" s="1"/>
  <c r="P666" i="5"/>
  <c r="M667" i="5" s="1"/>
  <c r="N966" i="5"/>
  <c r="O966" i="5" s="1"/>
  <c r="P966" i="5"/>
  <c r="M967" i="5" s="1"/>
  <c r="N486" i="5"/>
  <c r="O486" i="5" s="1"/>
  <c r="P486" i="5"/>
  <c r="M487" i="5" s="1"/>
  <c r="N726" i="5"/>
  <c r="O726" i="5" s="1"/>
  <c r="P726" i="5" s="1"/>
  <c r="M727" i="5" s="1"/>
  <c r="N1086" i="5"/>
  <c r="O1086" i="5" s="1"/>
  <c r="P1086" i="5" s="1"/>
  <c r="M1087" i="5" s="1"/>
  <c r="N282" i="5"/>
  <c r="O282" i="5" s="1"/>
  <c r="P282" i="5" s="1"/>
  <c r="M283" i="5" s="1"/>
  <c r="N1146" i="5"/>
  <c r="O1146" i="5" s="1"/>
  <c r="P1146" i="5"/>
  <c r="M1147" i="5" s="1"/>
  <c r="N906" i="5"/>
  <c r="O906" i="5" s="1"/>
  <c r="P906" i="5" s="1"/>
  <c r="M907" i="5" s="1"/>
  <c r="P32" i="5"/>
  <c r="M33" i="5" s="1"/>
  <c r="N1026" i="5"/>
  <c r="O1026" i="5" s="1"/>
  <c r="P1026" i="5" s="1"/>
  <c r="M1027" i="5" s="1"/>
  <c r="N1027" i="5" l="1"/>
  <c r="O1027" i="5" s="1"/>
  <c r="P1027" i="5"/>
  <c r="M1028" i="5" s="1"/>
  <c r="N1087" i="5"/>
  <c r="O1087" i="5" s="1"/>
  <c r="P1087" i="5"/>
  <c r="M1088" i="5" s="1"/>
  <c r="N487" i="5"/>
  <c r="O487" i="5" s="1"/>
  <c r="P487" i="5"/>
  <c r="M488" i="5" s="1"/>
  <c r="N367" i="5"/>
  <c r="O367" i="5" s="1"/>
  <c r="P367" i="5" s="1"/>
  <c r="M368" i="5" s="1"/>
  <c r="N1206" i="5"/>
  <c r="O1206" i="5" s="1"/>
  <c r="P1206" i="5"/>
  <c r="M1207" i="5" s="1"/>
  <c r="N847" i="5"/>
  <c r="O847" i="5" s="1"/>
  <c r="P847" i="5"/>
  <c r="M848" i="5" s="1"/>
  <c r="N283" i="5"/>
  <c r="O283" i="5" s="1"/>
  <c r="P283" i="5"/>
  <c r="M284" i="5" s="1"/>
  <c r="N967" i="5"/>
  <c r="O967" i="5" s="1"/>
  <c r="P967" i="5" s="1"/>
  <c r="M968" i="5" s="1"/>
  <c r="N1266" i="5"/>
  <c r="O1266" i="5" s="1"/>
  <c r="P1266" i="5" s="1"/>
  <c r="M1267" i="5" s="1"/>
  <c r="N547" i="5"/>
  <c r="O547" i="5" s="1"/>
  <c r="P547" i="5" s="1"/>
  <c r="M548" i="5" s="1"/>
  <c r="N907" i="5"/>
  <c r="O907" i="5" s="1"/>
  <c r="P907" i="5" s="1"/>
  <c r="M908" i="5" s="1"/>
  <c r="N1147" i="5"/>
  <c r="O1147" i="5" s="1"/>
  <c r="P1147" i="5" s="1"/>
  <c r="M1148" i="5" s="1"/>
  <c r="N727" i="5"/>
  <c r="O727" i="5" s="1"/>
  <c r="P727" i="5" s="1"/>
  <c r="M728" i="5" s="1"/>
  <c r="N787" i="5"/>
  <c r="O787" i="5" s="1"/>
  <c r="P787" i="5"/>
  <c r="M788" i="5" s="1"/>
  <c r="N33" i="5"/>
  <c r="N667" i="5"/>
  <c r="O667" i="5" s="1"/>
  <c r="P667" i="5"/>
  <c r="M668" i="5" s="1"/>
  <c r="N1327" i="5"/>
  <c r="O1327" i="5" s="1"/>
  <c r="P1327" i="5" s="1"/>
  <c r="M1328" i="5" s="1"/>
  <c r="N607" i="5"/>
  <c r="O607" i="5" s="1"/>
  <c r="P607" i="5" s="1"/>
  <c r="M608" i="5" s="1"/>
  <c r="N728" i="5" l="1"/>
  <c r="O728" i="5" s="1"/>
  <c r="P728" i="5" s="1"/>
  <c r="M729" i="5" s="1"/>
  <c r="N1328" i="5"/>
  <c r="O1328" i="5" s="1"/>
  <c r="P1328" i="5" s="1"/>
  <c r="M1329" i="5" s="1"/>
  <c r="N1267" i="5"/>
  <c r="O1267" i="5" s="1"/>
  <c r="P1267" i="5"/>
  <c r="M1268" i="5" s="1"/>
  <c r="N908" i="5"/>
  <c r="O908" i="5" s="1"/>
  <c r="P908" i="5" s="1"/>
  <c r="M909" i="5" s="1"/>
  <c r="N488" i="5"/>
  <c r="O488" i="5" s="1"/>
  <c r="P488" i="5" s="1"/>
  <c r="M489" i="5" s="1"/>
  <c r="N668" i="5"/>
  <c r="O668" i="5" s="1"/>
  <c r="P668" i="5" s="1"/>
  <c r="M669" i="5" s="1"/>
  <c r="N968" i="5"/>
  <c r="O968" i="5" s="1"/>
  <c r="P968" i="5" s="1"/>
  <c r="M969" i="5" s="1"/>
  <c r="N608" i="5"/>
  <c r="O608" i="5" s="1"/>
  <c r="P608" i="5"/>
  <c r="M609" i="5" s="1"/>
  <c r="N548" i="5"/>
  <c r="O548" i="5" s="1"/>
  <c r="P548" i="5" s="1"/>
  <c r="M549" i="5" s="1"/>
  <c r="N848" i="5"/>
  <c r="O848" i="5" s="1"/>
  <c r="P848" i="5" s="1"/>
  <c r="M849" i="5" s="1"/>
  <c r="N1088" i="5"/>
  <c r="O1088" i="5" s="1"/>
  <c r="P1088" i="5" s="1"/>
  <c r="M1089" i="5" s="1"/>
  <c r="N368" i="5"/>
  <c r="O368" i="5" s="1"/>
  <c r="P368" i="5" s="1"/>
  <c r="M369" i="5" s="1"/>
  <c r="O33" i="5"/>
  <c r="N284" i="5"/>
  <c r="O284" i="5" s="1"/>
  <c r="P284" i="5" s="1"/>
  <c r="M285" i="5" s="1"/>
  <c r="N1207" i="5"/>
  <c r="O1207" i="5" s="1"/>
  <c r="P1207" i="5" s="1"/>
  <c r="M1208" i="5" s="1"/>
  <c r="N1028" i="5"/>
  <c r="O1028" i="5" s="1"/>
  <c r="P1028" i="5" s="1"/>
  <c r="M1029" i="5" s="1"/>
  <c r="N1148" i="5"/>
  <c r="O1148" i="5" s="1"/>
  <c r="P1148" i="5" s="1"/>
  <c r="M1149" i="5" s="1"/>
  <c r="N788" i="5"/>
  <c r="O788" i="5" s="1"/>
  <c r="P788" i="5" s="1"/>
  <c r="M789" i="5" s="1"/>
  <c r="N489" i="5" l="1"/>
  <c r="O489" i="5" s="1"/>
  <c r="P489" i="5"/>
  <c r="M490" i="5" s="1"/>
  <c r="N285" i="5"/>
  <c r="O285" i="5" s="1"/>
  <c r="P285" i="5"/>
  <c r="M286" i="5" s="1"/>
  <c r="N789" i="5"/>
  <c r="O789" i="5" s="1"/>
  <c r="P789" i="5"/>
  <c r="M790" i="5" s="1"/>
  <c r="N849" i="5"/>
  <c r="O849" i="5" s="1"/>
  <c r="P849" i="5" s="1"/>
  <c r="M850" i="5" s="1"/>
  <c r="N1329" i="5"/>
  <c r="O1329" i="5" s="1"/>
  <c r="P1329" i="5"/>
  <c r="M1330" i="5" s="1"/>
  <c r="N669" i="5"/>
  <c r="O669" i="5" s="1"/>
  <c r="P669" i="5"/>
  <c r="M670" i="5" s="1"/>
  <c r="N549" i="5"/>
  <c r="O549" i="5" s="1"/>
  <c r="P549" i="5"/>
  <c r="M550" i="5" s="1"/>
  <c r="N729" i="5"/>
  <c r="O729" i="5" s="1"/>
  <c r="P729" i="5" s="1"/>
  <c r="M730" i="5" s="1"/>
  <c r="N1029" i="5"/>
  <c r="O1029" i="5" s="1"/>
  <c r="P1029" i="5"/>
  <c r="M1030" i="5" s="1"/>
  <c r="N369" i="5"/>
  <c r="O369" i="5" s="1"/>
  <c r="P369" i="5"/>
  <c r="M370" i="5" s="1"/>
  <c r="N969" i="5"/>
  <c r="O969" i="5" s="1"/>
  <c r="P969" i="5"/>
  <c r="M970" i="5" s="1"/>
  <c r="N1268" i="5"/>
  <c r="O1268" i="5" s="1"/>
  <c r="P1268" i="5" s="1"/>
  <c r="M1269" i="5" s="1"/>
  <c r="N1089" i="5"/>
  <c r="O1089" i="5" s="1"/>
  <c r="P1089" i="5"/>
  <c r="M1090" i="5" s="1"/>
  <c r="N1208" i="5"/>
  <c r="O1208" i="5" s="1"/>
  <c r="P1208" i="5"/>
  <c r="M1209" i="5" s="1"/>
  <c r="N909" i="5"/>
  <c r="O909" i="5" s="1"/>
  <c r="P909" i="5"/>
  <c r="M910" i="5" s="1"/>
  <c r="N609" i="5"/>
  <c r="O609" i="5" s="1"/>
  <c r="P609" i="5" s="1"/>
  <c r="M610" i="5" s="1"/>
  <c r="N1149" i="5"/>
  <c r="O1149" i="5" s="1"/>
  <c r="P1149" i="5"/>
  <c r="M1150" i="5" s="1"/>
  <c r="P33" i="5"/>
  <c r="M34" i="5" s="1"/>
  <c r="N1269" i="5" l="1"/>
  <c r="O1269" i="5" s="1"/>
  <c r="P1269" i="5" s="1"/>
  <c r="M1270" i="5" s="1"/>
  <c r="N610" i="5"/>
  <c r="O610" i="5" s="1"/>
  <c r="P610" i="5" s="1"/>
  <c r="M611" i="5" s="1"/>
  <c r="N550" i="5"/>
  <c r="O550" i="5" s="1"/>
  <c r="P550" i="5"/>
  <c r="M551" i="5" s="1"/>
  <c r="N790" i="5"/>
  <c r="O790" i="5" s="1"/>
  <c r="P790" i="5" s="1"/>
  <c r="M791" i="5" s="1"/>
  <c r="N850" i="5"/>
  <c r="O850" i="5" s="1"/>
  <c r="P850" i="5" s="1"/>
  <c r="M851" i="5" s="1"/>
  <c r="N1209" i="5"/>
  <c r="O1209" i="5" s="1"/>
  <c r="P1209" i="5"/>
  <c r="M1210" i="5" s="1"/>
  <c r="N370" i="5"/>
  <c r="O370" i="5" s="1"/>
  <c r="P370" i="5"/>
  <c r="M371" i="5" s="1"/>
  <c r="N670" i="5"/>
  <c r="O670" i="5" s="1"/>
  <c r="P670" i="5"/>
  <c r="M671" i="5" s="1"/>
  <c r="N286" i="5"/>
  <c r="O286" i="5" s="1"/>
  <c r="P286" i="5" s="1"/>
  <c r="M287" i="5" s="1"/>
  <c r="N910" i="5"/>
  <c r="O910" i="5" s="1"/>
  <c r="P910" i="5" s="1"/>
  <c r="M911" i="5" s="1"/>
  <c r="N34" i="5"/>
  <c r="N730" i="5"/>
  <c r="O730" i="5" s="1"/>
  <c r="P730" i="5"/>
  <c r="M731" i="5" s="1"/>
  <c r="N970" i="5"/>
  <c r="O970" i="5" s="1"/>
  <c r="P970" i="5" s="1"/>
  <c r="M971" i="5" s="1"/>
  <c r="N1150" i="5"/>
  <c r="O1150" i="5" s="1"/>
  <c r="P1150" i="5" s="1"/>
  <c r="M1151" i="5" s="1"/>
  <c r="N1090" i="5"/>
  <c r="O1090" i="5" s="1"/>
  <c r="P1090" i="5" s="1"/>
  <c r="M1091" i="5" s="1"/>
  <c r="N1030" i="5"/>
  <c r="O1030" i="5" s="1"/>
  <c r="P1030" i="5"/>
  <c r="M1031" i="5" s="1"/>
  <c r="N1330" i="5"/>
  <c r="O1330" i="5" s="1"/>
  <c r="P1330" i="5" s="1"/>
  <c r="M1331" i="5" s="1"/>
  <c r="N490" i="5"/>
  <c r="O490" i="5" s="1"/>
  <c r="P490" i="5"/>
  <c r="M491" i="5" s="1"/>
  <c r="N851" i="5" l="1"/>
  <c r="O851" i="5" s="1"/>
  <c r="P851" i="5" s="1"/>
  <c r="M852" i="5" s="1"/>
  <c r="N971" i="5"/>
  <c r="O971" i="5" s="1"/>
  <c r="P971" i="5" s="1"/>
  <c r="M972" i="5" s="1"/>
  <c r="N1091" i="5"/>
  <c r="O1091" i="5" s="1"/>
  <c r="P1091" i="5"/>
  <c r="M1092" i="5" s="1"/>
  <c r="N1331" i="5"/>
  <c r="O1331" i="5" s="1"/>
  <c r="P1331" i="5"/>
  <c r="M1332" i="5" s="1"/>
  <c r="N287" i="5"/>
  <c r="O287" i="5" s="1"/>
  <c r="P287" i="5" s="1"/>
  <c r="M288" i="5" s="1"/>
  <c r="N1270" i="5"/>
  <c r="O1270" i="5" s="1"/>
  <c r="P1270" i="5" s="1"/>
  <c r="M1271" i="5" s="1"/>
  <c r="N551" i="5"/>
  <c r="O551" i="5" s="1"/>
  <c r="P551" i="5"/>
  <c r="M552" i="5" s="1"/>
  <c r="N1031" i="5"/>
  <c r="O1031" i="5" s="1"/>
  <c r="P1031" i="5"/>
  <c r="M1032" i="5" s="1"/>
  <c r="O34" i="5"/>
  <c r="N731" i="5"/>
  <c r="O731" i="5" s="1"/>
  <c r="P731" i="5" s="1"/>
  <c r="M732" i="5" s="1"/>
  <c r="N491" i="5"/>
  <c r="O491" i="5" s="1"/>
  <c r="P491" i="5" s="1"/>
  <c r="M492" i="5" s="1"/>
  <c r="N911" i="5"/>
  <c r="O911" i="5" s="1"/>
  <c r="P911" i="5"/>
  <c r="M912" i="5" s="1"/>
  <c r="N1210" i="5"/>
  <c r="O1210" i="5" s="1"/>
  <c r="P1210" i="5"/>
  <c r="M1211" i="5" s="1"/>
  <c r="N611" i="5"/>
  <c r="O611" i="5" s="1"/>
  <c r="P611" i="5" s="1"/>
  <c r="M612" i="5" s="1"/>
  <c r="N671" i="5"/>
  <c r="O671" i="5" s="1"/>
  <c r="P671" i="5" s="1"/>
  <c r="M672" i="5" s="1"/>
  <c r="N791" i="5"/>
  <c r="O791" i="5" s="1"/>
  <c r="P791" i="5" s="1"/>
  <c r="M792" i="5" s="1"/>
  <c r="N1151" i="5"/>
  <c r="O1151" i="5" s="1"/>
  <c r="P1151" i="5" s="1"/>
  <c r="M1152" i="5" s="1"/>
  <c r="N371" i="5"/>
  <c r="O371" i="5" s="1"/>
  <c r="P371" i="5" s="1"/>
  <c r="M372" i="5" s="1"/>
  <c r="N732" i="5" l="1"/>
  <c r="O732" i="5" s="1"/>
  <c r="P732" i="5"/>
  <c r="M733" i="5" s="1"/>
  <c r="N372" i="5"/>
  <c r="O372" i="5" s="1"/>
  <c r="P372" i="5"/>
  <c r="M373" i="5" s="1"/>
  <c r="N288" i="5"/>
  <c r="O288" i="5" s="1"/>
  <c r="P288" i="5"/>
  <c r="M289" i="5" s="1"/>
  <c r="N972" i="5"/>
  <c r="O972" i="5" s="1"/>
  <c r="P972" i="5" s="1"/>
  <c r="M973" i="5" s="1"/>
  <c r="N1271" i="5"/>
  <c r="O1271" i="5" s="1"/>
  <c r="P1271" i="5"/>
  <c r="M1272" i="5" s="1"/>
  <c r="N612" i="5"/>
  <c r="O612" i="5" s="1"/>
  <c r="P612" i="5"/>
  <c r="M613" i="5" s="1"/>
  <c r="N852" i="5"/>
  <c r="O852" i="5" s="1"/>
  <c r="P852" i="5"/>
  <c r="M853" i="5" s="1"/>
  <c r="N492" i="5"/>
  <c r="O492" i="5" s="1"/>
  <c r="P492" i="5" s="1"/>
  <c r="M493" i="5" s="1"/>
  <c r="N552" i="5"/>
  <c r="O552" i="5" s="1"/>
  <c r="P552" i="5"/>
  <c r="M553" i="5" s="1"/>
  <c r="N1092" i="5"/>
  <c r="O1092" i="5" s="1"/>
  <c r="P1092" i="5"/>
  <c r="M1093" i="5" s="1"/>
  <c r="N1332" i="5"/>
  <c r="O1332" i="5" s="1"/>
  <c r="P1332" i="5"/>
  <c r="M1333" i="5" s="1"/>
  <c r="N912" i="5"/>
  <c r="O912" i="5" s="1"/>
  <c r="P912" i="5" s="1"/>
  <c r="M913" i="5" s="1"/>
  <c r="N672" i="5"/>
  <c r="O672" i="5" s="1"/>
  <c r="P672" i="5"/>
  <c r="M673" i="5" s="1"/>
  <c r="N1032" i="5"/>
  <c r="O1032" i="5" s="1"/>
  <c r="P1032" i="5"/>
  <c r="M1033" i="5" s="1"/>
  <c r="N792" i="5"/>
  <c r="O792" i="5" s="1"/>
  <c r="P792" i="5"/>
  <c r="M793" i="5" s="1"/>
  <c r="N1152" i="5"/>
  <c r="O1152" i="5" s="1"/>
  <c r="P1152" i="5" s="1"/>
  <c r="M1153" i="5" s="1"/>
  <c r="N1211" i="5"/>
  <c r="O1211" i="5" s="1"/>
  <c r="P1211" i="5" s="1"/>
  <c r="M1212" i="5" s="1"/>
  <c r="P34" i="5"/>
  <c r="M35" i="5" s="1"/>
  <c r="N1212" i="5" l="1"/>
  <c r="O1212" i="5" s="1"/>
  <c r="P1212" i="5" s="1"/>
  <c r="M1213" i="5" s="1"/>
  <c r="N913" i="5"/>
  <c r="O913" i="5" s="1"/>
  <c r="P913" i="5" s="1"/>
  <c r="M914" i="5" s="1"/>
  <c r="N1153" i="5"/>
  <c r="O1153" i="5" s="1"/>
  <c r="P1153" i="5"/>
  <c r="M1154" i="5" s="1"/>
  <c r="N853" i="5"/>
  <c r="O853" i="5" s="1"/>
  <c r="P853" i="5"/>
  <c r="M854" i="5" s="1"/>
  <c r="N289" i="5"/>
  <c r="O289" i="5" s="1"/>
  <c r="P289" i="5" s="1"/>
  <c r="M290" i="5" s="1"/>
  <c r="N1333" i="5"/>
  <c r="O1333" i="5" s="1"/>
  <c r="P1333" i="5" s="1"/>
  <c r="M1334" i="5" s="1"/>
  <c r="N493" i="5"/>
  <c r="O493" i="5" s="1"/>
  <c r="P493" i="5"/>
  <c r="M494" i="5" s="1"/>
  <c r="N1033" i="5"/>
  <c r="O1033" i="5" s="1"/>
  <c r="P1033" i="5"/>
  <c r="M1034" i="5" s="1"/>
  <c r="N1093" i="5"/>
  <c r="O1093" i="5" s="1"/>
  <c r="P1093" i="5" s="1"/>
  <c r="M1094" i="5" s="1"/>
  <c r="N613" i="5"/>
  <c r="O613" i="5" s="1"/>
  <c r="P613" i="5" s="1"/>
  <c r="M614" i="5" s="1"/>
  <c r="N373" i="5"/>
  <c r="O373" i="5" s="1"/>
  <c r="P373" i="5" s="1"/>
  <c r="M374" i="5" s="1"/>
  <c r="N793" i="5"/>
  <c r="O793" i="5" s="1"/>
  <c r="P793" i="5"/>
  <c r="M794" i="5" s="1"/>
  <c r="N35" i="5"/>
  <c r="N673" i="5"/>
  <c r="O673" i="5" s="1"/>
  <c r="P673" i="5" s="1"/>
  <c r="M674" i="5" s="1"/>
  <c r="N553" i="5"/>
  <c r="O553" i="5" s="1"/>
  <c r="P553" i="5"/>
  <c r="M554" i="5" s="1"/>
  <c r="N1272" i="5"/>
  <c r="O1272" i="5" s="1"/>
  <c r="P1272" i="5" s="1"/>
  <c r="M1273" i="5" s="1"/>
  <c r="N733" i="5"/>
  <c r="O733" i="5" s="1"/>
  <c r="P733" i="5" s="1"/>
  <c r="M734" i="5" s="1"/>
  <c r="N973" i="5"/>
  <c r="O973" i="5" s="1"/>
  <c r="P973" i="5" s="1"/>
  <c r="M974" i="5" s="1"/>
  <c r="N1334" i="5" l="1"/>
  <c r="O1334" i="5" s="1"/>
  <c r="P1334" i="5" s="1"/>
  <c r="M1335" i="5" s="1"/>
  <c r="N614" i="5"/>
  <c r="O614" i="5" s="1"/>
  <c r="P614" i="5" s="1"/>
  <c r="M615" i="5" s="1"/>
  <c r="N674" i="5"/>
  <c r="O674" i="5" s="1"/>
  <c r="P674" i="5"/>
  <c r="M675" i="5" s="1"/>
  <c r="N290" i="5"/>
  <c r="O290" i="5" s="1"/>
  <c r="P290" i="5" s="1"/>
  <c r="M291" i="5" s="1"/>
  <c r="N974" i="5"/>
  <c r="O974" i="5" s="1"/>
  <c r="P974" i="5" s="1"/>
  <c r="M975" i="5" s="1"/>
  <c r="N914" i="5"/>
  <c r="O914" i="5" s="1"/>
  <c r="P914" i="5" s="1"/>
  <c r="M915" i="5" s="1"/>
  <c r="N1094" i="5"/>
  <c r="O1094" i="5" s="1"/>
  <c r="P1094" i="5" s="1"/>
  <c r="M1095" i="5" s="1"/>
  <c r="N734" i="5"/>
  <c r="O734" i="5" s="1"/>
  <c r="P734" i="5"/>
  <c r="M735" i="5" s="1"/>
  <c r="N1213" i="5"/>
  <c r="O1213" i="5" s="1"/>
  <c r="P1213" i="5" s="1"/>
  <c r="M1214" i="5" s="1"/>
  <c r="N1273" i="5"/>
  <c r="O1273" i="5" s="1"/>
  <c r="P1273" i="5" s="1"/>
  <c r="M1274" i="5" s="1"/>
  <c r="N794" i="5"/>
  <c r="O794" i="5" s="1"/>
  <c r="P794" i="5" s="1"/>
  <c r="M795" i="5" s="1"/>
  <c r="N1154" i="5"/>
  <c r="O1154" i="5" s="1"/>
  <c r="P1154" i="5" s="1"/>
  <c r="M1155" i="5" s="1"/>
  <c r="N554" i="5"/>
  <c r="O554" i="5" s="1"/>
  <c r="P554" i="5" s="1"/>
  <c r="M555" i="5" s="1"/>
  <c r="N1034" i="5"/>
  <c r="O1034" i="5" s="1"/>
  <c r="P1034" i="5" s="1"/>
  <c r="M1035" i="5" s="1"/>
  <c r="N494" i="5"/>
  <c r="O494" i="5" s="1"/>
  <c r="P494" i="5" s="1"/>
  <c r="M495" i="5" s="1"/>
  <c r="N374" i="5"/>
  <c r="O374" i="5" s="1"/>
  <c r="P374" i="5" s="1"/>
  <c r="M375" i="5" s="1"/>
  <c r="N854" i="5"/>
  <c r="O854" i="5" s="1"/>
  <c r="P854" i="5" s="1"/>
  <c r="M855" i="5" s="1"/>
  <c r="O35" i="5"/>
  <c r="N975" i="5" l="1"/>
  <c r="O975" i="5" s="1"/>
  <c r="P975" i="5"/>
  <c r="M976" i="5" s="1"/>
  <c r="N375" i="5"/>
  <c r="O375" i="5" s="1"/>
  <c r="P375" i="5"/>
  <c r="M376" i="5" s="1"/>
  <c r="N495" i="5"/>
  <c r="O495" i="5" s="1"/>
  <c r="P495" i="5"/>
  <c r="M496" i="5" s="1"/>
  <c r="N1274" i="5"/>
  <c r="O1274" i="5" s="1"/>
  <c r="P1274" i="5" s="1"/>
  <c r="M1275" i="5" s="1"/>
  <c r="N555" i="5"/>
  <c r="O555" i="5" s="1"/>
  <c r="P555" i="5"/>
  <c r="M556" i="5" s="1"/>
  <c r="N855" i="5"/>
  <c r="O855" i="5" s="1"/>
  <c r="P855" i="5"/>
  <c r="M856" i="5" s="1"/>
  <c r="N1214" i="5"/>
  <c r="O1214" i="5" s="1"/>
  <c r="P1214" i="5"/>
  <c r="M1215" i="5" s="1"/>
  <c r="N615" i="5"/>
  <c r="O615" i="5" s="1"/>
  <c r="P615" i="5" s="1"/>
  <c r="M616" i="5" s="1"/>
  <c r="N915" i="5"/>
  <c r="O915" i="5" s="1"/>
  <c r="P915" i="5"/>
  <c r="M916" i="5" s="1"/>
  <c r="N1035" i="5"/>
  <c r="O1035" i="5" s="1"/>
  <c r="P1035" i="5"/>
  <c r="M1036" i="5" s="1"/>
  <c r="N1335" i="5"/>
  <c r="O1335" i="5" s="1"/>
  <c r="P1335" i="5"/>
  <c r="M1336" i="5" s="1"/>
  <c r="N1095" i="5"/>
  <c r="O1095" i="5" s="1"/>
  <c r="P1095" i="5" s="1"/>
  <c r="M1096" i="5" s="1"/>
  <c r="N675" i="5"/>
  <c r="O675" i="5" s="1"/>
  <c r="P675" i="5"/>
  <c r="M676" i="5" s="1"/>
  <c r="N1155" i="5"/>
  <c r="O1155" i="5" s="1"/>
  <c r="P1155" i="5"/>
  <c r="M1156" i="5" s="1"/>
  <c r="N291" i="5"/>
  <c r="O291" i="5" s="1"/>
  <c r="P291" i="5"/>
  <c r="M292" i="5" s="1"/>
  <c r="P35" i="5"/>
  <c r="M36" i="5" s="1"/>
  <c r="N795" i="5"/>
  <c r="O795" i="5" s="1"/>
  <c r="P795" i="5" s="1"/>
  <c r="M796" i="5" s="1"/>
  <c r="N735" i="5"/>
  <c r="O735" i="5" s="1"/>
  <c r="P735" i="5" s="1"/>
  <c r="M736" i="5" s="1"/>
  <c r="N736" i="5" l="1"/>
  <c r="O736" i="5" s="1"/>
  <c r="P736" i="5"/>
  <c r="M737" i="5" s="1"/>
  <c r="N1096" i="5"/>
  <c r="O1096" i="5" s="1"/>
  <c r="P1096" i="5"/>
  <c r="M1097" i="5" s="1"/>
  <c r="N36" i="5"/>
  <c r="N1215" i="5"/>
  <c r="O1215" i="5" s="1"/>
  <c r="P1215" i="5" s="1"/>
  <c r="M1216" i="5" s="1"/>
  <c r="N496" i="5"/>
  <c r="O496" i="5" s="1"/>
  <c r="P496" i="5" s="1"/>
  <c r="M497" i="5" s="1"/>
  <c r="N1275" i="5"/>
  <c r="O1275" i="5" s="1"/>
  <c r="P1275" i="5" s="1"/>
  <c r="M1276" i="5" s="1"/>
  <c r="N1156" i="5"/>
  <c r="O1156" i="5" s="1"/>
  <c r="P1156" i="5" s="1"/>
  <c r="M1157" i="5" s="1"/>
  <c r="N1036" i="5"/>
  <c r="O1036" i="5" s="1"/>
  <c r="P1036" i="5" s="1"/>
  <c r="M1037" i="5" s="1"/>
  <c r="N856" i="5"/>
  <c r="O856" i="5" s="1"/>
  <c r="P856" i="5" s="1"/>
  <c r="M857" i="5" s="1"/>
  <c r="N376" i="5"/>
  <c r="N616" i="5"/>
  <c r="O616" i="5" s="1"/>
  <c r="P616" i="5"/>
  <c r="M617" i="5" s="1"/>
  <c r="N1336" i="5"/>
  <c r="O1336" i="5" s="1"/>
  <c r="P1336" i="5"/>
  <c r="M1337" i="5" s="1"/>
  <c r="N796" i="5"/>
  <c r="O796" i="5" s="1"/>
  <c r="P796" i="5" s="1"/>
  <c r="M797" i="5" s="1"/>
  <c r="N676" i="5"/>
  <c r="O676" i="5" s="1"/>
  <c r="P676" i="5"/>
  <c r="M677" i="5" s="1"/>
  <c r="N916" i="5"/>
  <c r="O916" i="5" s="1"/>
  <c r="P916" i="5" s="1"/>
  <c r="M917" i="5" s="1"/>
  <c r="N556" i="5"/>
  <c r="O556" i="5" s="1"/>
  <c r="P556" i="5" s="1"/>
  <c r="M557" i="5" s="1"/>
  <c r="N976" i="5"/>
  <c r="O976" i="5" s="1"/>
  <c r="P976" i="5" s="1"/>
  <c r="M977" i="5" s="1"/>
  <c r="N292" i="5"/>
  <c r="O292" i="5" s="1"/>
  <c r="P292" i="5" s="1"/>
  <c r="M293" i="5" s="1"/>
  <c r="N293" i="5" l="1"/>
  <c r="O293" i="5" s="1"/>
  <c r="P293" i="5" s="1"/>
  <c r="M294" i="5" s="1"/>
  <c r="N917" i="5"/>
  <c r="O917" i="5" s="1"/>
  <c r="P917" i="5" s="1"/>
  <c r="M918" i="5" s="1"/>
  <c r="N1157" i="5"/>
  <c r="O1157" i="5" s="1"/>
  <c r="P1157" i="5"/>
  <c r="M1158" i="5" s="1"/>
  <c r="N557" i="5"/>
  <c r="O557" i="5" s="1"/>
  <c r="P557" i="5"/>
  <c r="M558" i="5" s="1"/>
  <c r="O36" i="5"/>
  <c r="N1337" i="5"/>
  <c r="O1337" i="5" s="1"/>
  <c r="P1337" i="5" s="1"/>
  <c r="M1338" i="5" s="1"/>
  <c r="N677" i="5"/>
  <c r="O677" i="5" s="1"/>
  <c r="P677" i="5"/>
  <c r="M678" i="5" s="1"/>
  <c r="N1276" i="5"/>
  <c r="O1276" i="5" s="1"/>
  <c r="P1276" i="5"/>
  <c r="M1277" i="5" s="1"/>
  <c r="N1097" i="5"/>
  <c r="O1097" i="5" s="1"/>
  <c r="P1097" i="5"/>
  <c r="M1098" i="5" s="1"/>
  <c r="N1037" i="5"/>
  <c r="O1037" i="5" s="1"/>
  <c r="P1037" i="5" s="1"/>
  <c r="M1038" i="5" s="1"/>
  <c r="O376" i="5"/>
  <c r="E9" i="9"/>
  <c r="E14" i="9" s="1"/>
  <c r="N1216" i="5"/>
  <c r="O1216" i="5" s="1"/>
  <c r="P1216" i="5" s="1"/>
  <c r="M1217" i="5" s="1"/>
  <c r="N797" i="5"/>
  <c r="O797" i="5" s="1"/>
  <c r="P797" i="5"/>
  <c r="M798" i="5" s="1"/>
  <c r="N857" i="5"/>
  <c r="O857" i="5" s="1"/>
  <c r="P857" i="5" s="1"/>
  <c r="M858" i="5" s="1"/>
  <c r="N497" i="5"/>
  <c r="O497" i="5" s="1"/>
  <c r="P497" i="5" s="1"/>
  <c r="M498" i="5" s="1"/>
  <c r="N737" i="5"/>
  <c r="O737" i="5" s="1"/>
  <c r="P737" i="5"/>
  <c r="M738" i="5" s="1"/>
  <c r="N617" i="5"/>
  <c r="O617" i="5" s="1"/>
  <c r="P617" i="5"/>
  <c r="M618" i="5" s="1"/>
  <c r="N977" i="5"/>
  <c r="O977" i="5" s="1"/>
  <c r="P977" i="5" s="1"/>
  <c r="M978" i="5" s="1"/>
  <c r="N858" i="5" l="1"/>
  <c r="O858" i="5" s="1"/>
  <c r="P858" i="5"/>
  <c r="M859" i="5" s="1"/>
  <c r="N978" i="5"/>
  <c r="O978" i="5" s="1"/>
  <c r="P978" i="5" s="1"/>
  <c r="M979" i="5" s="1"/>
  <c r="N1338" i="5"/>
  <c r="O1338" i="5" s="1"/>
  <c r="P1338" i="5"/>
  <c r="M1339" i="5" s="1"/>
  <c r="N918" i="5"/>
  <c r="O918" i="5" s="1"/>
  <c r="P918" i="5" s="1"/>
  <c r="M919" i="5" s="1"/>
  <c r="N1038" i="5"/>
  <c r="O1038" i="5" s="1"/>
  <c r="P1038" i="5" s="1"/>
  <c r="M1039" i="5" s="1"/>
  <c r="N294" i="5"/>
  <c r="O294" i="5" s="1"/>
  <c r="P294" i="5" s="1"/>
  <c r="M295" i="5" s="1"/>
  <c r="N1217" i="5"/>
  <c r="O1217" i="5" s="1"/>
  <c r="P1217" i="5"/>
  <c r="M1218" i="5" s="1"/>
  <c r="N738" i="5"/>
  <c r="O738" i="5" s="1"/>
  <c r="P738" i="5"/>
  <c r="M739" i="5" s="1"/>
  <c r="N498" i="5"/>
  <c r="O498" i="5" s="1"/>
  <c r="P498" i="5" s="1"/>
  <c r="M499" i="5" s="1"/>
  <c r="N678" i="5"/>
  <c r="O678" i="5" s="1"/>
  <c r="P678" i="5" s="1"/>
  <c r="M679" i="5" s="1"/>
  <c r="N1158" i="5"/>
  <c r="O1158" i="5" s="1"/>
  <c r="P1158" i="5"/>
  <c r="M1159" i="5" s="1"/>
  <c r="N558" i="5"/>
  <c r="O558" i="5" s="1"/>
  <c r="P558" i="5"/>
  <c r="M559" i="5" s="1"/>
  <c r="E10" i="9"/>
  <c r="H18" i="9" s="1"/>
  <c r="P376" i="5"/>
  <c r="M377" i="5" s="1"/>
  <c r="N1277" i="5"/>
  <c r="O1277" i="5" s="1"/>
  <c r="P1277" i="5" s="1"/>
  <c r="M1278" i="5" s="1"/>
  <c r="N618" i="5"/>
  <c r="O618" i="5" s="1"/>
  <c r="P618" i="5" s="1"/>
  <c r="M619" i="5" s="1"/>
  <c r="N798" i="5"/>
  <c r="O798" i="5" s="1"/>
  <c r="P798" i="5" s="1"/>
  <c r="M799" i="5" s="1"/>
  <c r="N1098" i="5"/>
  <c r="O1098" i="5" s="1"/>
  <c r="P1098" i="5" s="1"/>
  <c r="M1099" i="5" s="1"/>
  <c r="P36" i="5"/>
  <c r="M37" i="5" s="1"/>
  <c r="N499" i="5" l="1"/>
  <c r="O499" i="5" s="1"/>
  <c r="P499" i="5"/>
  <c r="M500" i="5" s="1"/>
  <c r="N1278" i="5"/>
  <c r="O1278" i="5" s="1"/>
  <c r="P1278" i="5"/>
  <c r="M1279" i="5" s="1"/>
  <c r="N679" i="5"/>
  <c r="O679" i="5" s="1"/>
  <c r="P679" i="5"/>
  <c r="M680" i="5" s="1"/>
  <c r="N1099" i="5"/>
  <c r="O1099" i="5" s="1"/>
  <c r="P1099" i="5" s="1"/>
  <c r="M1100" i="5" s="1"/>
  <c r="N295" i="5"/>
  <c r="O295" i="5" s="1"/>
  <c r="P295" i="5"/>
  <c r="M296" i="5" s="1"/>
  <c r="N979" i="5"/>
  <c r="O979" i="5" s="1"/>
  <c r="P979" i="5"/>
  <c r="M980" i="5" s="1"/>
  <c r="N739" i="5"/>
  <c r="O739" i="5" s="1"/>
  <c r="P739" i="5"/>
  <c r="M740" i="5" s="1"/>
  <c r="N619" i="5"/>
  <c r="O619" i="5" s="1"/>
  <c r="P619" i="5" s="1"/>
  <c r="M620" i="5" s="1"/>
  <c r="N1339" i="5"/>
  <c r="O1339" i="5" s="1"/>
  <c r="P1339" i="5" s="1"/>
  <c r="M1340" i="5" s="1"/>
  <c r="N559" i="5"/>
  <c r="O559" i="5" s="1"/>
  <c r="P559" i="5" s="1"/>
  <c r="M560" i="5" s="1"/>
  <c r="N1218" i="5"/>
  <c r="O1218" i="5" s="1"/>
  <c r="P1218" i="5"/>
  <c r="M1219" i="5" s="1"/>
  <c r="N799" i="5"/>
  <c r="O799" i="5" s="1"/>
  <c r="P799" i="5" s="1"/>
  <c r="M800" i="5" s="1"/>
  <c r="N1159" i="5"/>
  <c r="O1159" i="5" s="1"/>
  <c r="P1159" i="5" s="1"/>
  <c r="M1160" i="5" s="1"/>
  <c r="N37" i="5"/>
  <c r="N919" i="5"/>
  <c r="O919" i="5" s="1"/>
  <c r="P919" i="5" s="1"/>
  <c r="M920" i="5" s="1"/>
  <c r="N377" i="5"/>
  <c r="N1039" i="5"/>
  <c r="O1039" i="5" s="1"/>
  <c r="P1039" i="5" s="1"/>
  <c r="M1040" i="5" s="1"/>
  <c r="N859" i="5"/>
  <c r="O859" i="5" s="1"/>
  <c r="P859" i="5" s="1"/>
  <c r="M860" i="5" s="1"/>
  <c r="N1160" i="5" l="1"/>
  <c r="O1160" i="5" s="1"/>
  <c r="P1160" i="5" s="1"/>
  <c r="M1161" i="5" s="1"/>
  <c r="N1040" i="5"/>
  <c r="O1040" i="5" s="1"/>
  <c r="P1040" i="5" s="1"/>
  <c r="M1041" i="5" s="1"/>
  <c r="N1340" i="5"/>
  <c r="O1340" i="5" s="1"/>
  <c r="P1340" i="5"/>
  <c r="M1341" i="5" s="1"/>
  <c r="N1100" i="5"/>
  <c r="O1100" i="5" s="1"/>
  <c r="P1100" i="5"/>
  <c r="M1101" i="5" s="1"/>
  <c r="O377" i="5"/>
  <c r="H9" i="9"/>
  <c r="N680" i="5"/>
  <c r="O680" i="5" s="1"/>
  <c r="P680" i="5" s="1"/>
  <c r="M681" i="5" s="1"/>
  <c r="N740" i="5"/>
  <c r="O740" i="5" s="1"/>
  <c r="P740" i="5" s="1"/>
  <c r="M741" i="5" s="1"/>
  <c r="N920" i="5"/>
  <c r="O920" i="5" s="1"/>
  <c r="P920" i="5" s="1"/>
  <c r="M921" i="5" s="1"/>
  <c r="N560" i="5"/>
  <c r="O560" i="5" s="1"/>
  <c r="P560" i="5" s="1"/>
  <c r="M561" i="5" s="1"/>
  <c r="N980" i="5"/>
  <c r="O980" i="5" s="1"/>
  <c r="P980" i="5" s="1"/>
  <c r="M981" i="5" s="1"/>
  <c r="N1279" i="5"/>
  <c r="O1279" i="5" s="1"/>
  <c r="P1279" i="5"/>
  <c r="M1280" i="5" s="1"/>
  <c r="N1219" i="5"/>
  <c r="O1219" i="5" s="1"/>
  <c r="P1219" i="5"/>
  <c r="M1220" i="5" s="1"/>
  <c r="O37" i="5"/>
  <c r="N800" i="5"/>
  <c r="O800" i="5" s="1"/>
  <c r="P800" i="5" s="1"/>
  <c r="M801" i="5" s="1"/>
  <c r="N296" i="5"/>
  <c r="O296" i="5" s="1"/>
  <c r="P296" i="5"/>
  <c r="M297" i="5" s="1"/>
  <c r="N500" i="5"/>
  <c r="O500" i="5" s="1"/>
  <c r="P500" i="5"/>
  <c r="M501" i="5" s="1"/>
  <c r="N620" i="5"/>
  <c r="O620" i="5" s="1"/>
  <c r="P620" i="5"/>
  <c r="M621" i="5" s="1"/>
  <c r="N860" i="5"/>
  <c r="O860" i="5" s="1"/>
  <c r="P860" i="5" s="1"/>
  <c r="M861" i="5" s="1"/>
  <c r="N981" i="5" l="1"/>
  <c r="O981" i="5" s="1"/>
  <c r="P981" i="5"/>
  <c r="M982" i="5" s="1"/>
  <c r="N801" i="5"/>
  <c r="O801" i="5" s="1"/>
  <c r="P801" i="5"/>
  <c r="M802" i="5" s="1"/>
  <c r="N861" i="5"/>
  <c r="O861" i="5" s="1"/>
  <c r="P861" i="5"/>
  <c r="M862" i="5" s="1"/>
  <c r="N1041" i="5"/>
  <c r="O1041" i="5" s="1"/>
  <c r="P1041" i="5" s="1"/>
  <c r="M1042" i="5" s="1"/>
  <c r="N681" i="5"/>
  <c r="O681" i="5" s="1"/>
  <c r="P681" i="5"/>
  <c r="M682" i="5" s="1"/>
  <c r="N1161" i="5"/>
  <c r="O1161" i="5" s="1"/>
  <c r="P1161" i="5"/>
  <c r="M1162" i="5" s="1"/>
  <c r="N621" i="5"/>
  <c r="O621" i="5" s="1"/>
  <c r="P621" i="5"/>
  <c r="M622" i="5" s="1"/>
  <c r="N297" i="5"/>
  <c r="O297" i="5" s="1"/>
  <c r="P297" i="5" s="1"/>
  <c r="M298" i="5" s="1"/>
  <c r="N741" i="5"/>
  <c r="O741" i="5" s="1"/>
  <c r="P741" i="5"/>
  <c r="M742" i="5" s="1"/>
  <c r="N1341" i="5"/>
  <c r="O1341" i="5" s="1"/>
  <c r="P1341" i="5"/>
  <c r="M1342" i="5" s="1"/>
  <c r="N501" i="5"/>
  <c r="O501" i="5" s="1"/>
  <c r="P501" i="5"/>
  <c r="M502" i="5" s="1"/>
  <c r="N1101" i="5"/>
  <c r="O1101" i="5" s="1"/>
  <c r="P1101" i="5" s="1"/>
  <c r="M1102" i="5" s="1"/>
  <c r="N1220" i="5"/>
  <c r="O1220" i="5" s="1"/>
  <c r="P1220" i="5"/>
  <c r="M1221" i="5" s="1"/>
  <c r="N1280" i="5"/>
  <c r="O1280" i="5" s="1"/>
  <c r="P1280" i="5"/>
  <c r="M1281" i="5" s="1"/>
  <c r="N921" i="5"/>
  <c r="O921" i="5" s="1"/>
  <c r="P921" i="5"/>
  <c r="M922" i="5" s="1"/>
  <c r="N561" i="5"/>
  <c r="O561" i="5" s="1"/>
  <c r="P561" i="5" s="1"/>
  <c r="M562" i="5" s="1"/>
  <c r="P37" i="5"/>
  <c r="M38" i="5" s="1"/>
  <c r="H10" i="9"/>
  <c r="P377" i="5"/>
  <c r="M378" i="5" s="1"/>
  <c r="N1102" i="5" l="1"/>
  <c r="O1102" i="5" s="1"/>
  <c r="P1102" i="5" s="1"/>
  <c r="M1103" i="5" s="1"/>
  <c r="N922" i="5"/>
  <c r="O922" i="5" s="1"/>
  <c r="P922" i="5" s="1"/>
  <c r="M923" i="5" s="1"/>
  <c r="N622" i="5"/>
  <c r="O622" i="5" s="1"/>
  <c r="P622" i="5"/>
  <c r="M623" i="5" s="1"/>
  <c r="N862" i="5"/>
  <c r="O862" i="5" s="1"/>
  <c r="P862" i="5"/>
  <c r="M863" i="5" s="1"/>
  <c r="N1042" i="5"/>
  <c r="O1042" i="5" s="1"/>
  <c r="P1042" i="5" s="1"/>
  <c r="M1043" i="5" s="1"/>
  <c r="N502" i="5"/>
  <c r="O502" i="5" s="1"/>
  <c r="P502" i="5" s="1"/>
  <c r="M503" i="5" s="1"/>
  <c r="N298" i="5"/>
  <c r="O298" i="5" s="1"/>
  <c r="P298" i="5"/>
  <c r="M299" i="5" s="1"/>
  <c r="N1281" i="5"/>
  <c r="O1281" i="5" s="1"/>
  <c r="P1281" i="5"/>
  <c r="M1282" i="5" s="1"/>
  <c r="N1342" i="5"/>
  <c r="O1342" i="5" s="1"/>
  <c r="P1342" i="5" s="1"/>
  <c r="M1343" i="5" s="1"/>
  <c r="N1162" i="5"/>
  <c r="O1162" i="5" s="1"/>
  <c r="P1162" i="5" s="1"/>
  <c r="M1163" i="5" s="1"/>
  <c r="N802" i="5"/>
  <c r="O802" i="5" s="1"/>
  <c r="P802" i="5" s="1"/>
  <c r="M803" i="5" s="1"/>
  <c r="N562" i="5"/>
  <c r="O562" i="5" s="1"/>
  <c r="P562" i="5"/>
  <c r="M563" i="5" s="1"/>
  <c r="N378" i="5"/>
  <c r="N38" i="5"/>
  <c r="N1221" i="5"/>
  <c r="O1221" i="5" s="1"/>
  <c r="P1221" i="5"/>
  <c r="M1222" i="5" s="1"/>
  <c r="N742" i="5"/>
  <c r="O742" i="5" s="1"/>
  <c r="P742" i="5" s="1"/>
  <c r="M743" i="5" s="1"/>
  <c r="N682" i="5"/>
  <c r="O682" i="5" s="1"/>
  <c r="P682" i="5" s="1"/>
  <c r="M683" i="5" s="1"/>
  <c r="N982" i="5"/>
  <c r="O982" i="5" s="1"/>
  <c r="P982" i="5" s="1"/>
  <c r="M983" i="5" s="1"/>
  <c r="N503" i="5" l="1"/>
  <c r="O503" i="5" s="1"/>
  <c r="P503" i="5" s="1"/>
  <c r="M504" i="5" s="1"/>
  <c r="N1043" i="5"/>
  <c r="O1043" i="5" s="1"/>
  <c r="P1043" i="5" s="1"/>
  <c r="M1044" i="5" s="1"/>
  <c r="N1343" i="5"/>
  <c r="O1343" i="5" s="1"/>
  <c r="P1343" i="5"/>
  <c r="M1344" i="5" s="1"/>
  <c r="N983" i="5"/>
  <c r="O983" i="5" s="1"/>
  <c r="P983" i="5" s="1"/>
  <c r="M984" i="5" s="1"/>
  <c r="N923" i="5"/>
  <c r="O923" i="5" s="1"/>
  <c r="P923" i="5" s="1"/>
  <c r="M924" i="5" s="1"/>
  <c r="N1163" i="5"/>
  <c r="O1163" i="5" s="1"/>
  <c r="P1163" i="5"/>
  <c r="M1164" i="5" s="1"/>
  <c r="N683" i="5"/>
  <c r="O683" i="5" s="1"/>
  <c r="P683" i="5"/>
  <c r="M684" i="5" s="1"/>
  <c r="N1103" i="5"/>
  <c r="O1103" i="5" s="1"/>
  <c r="P1103" i="5"/>
  <c r="M1104" i="5" s="1"/>
  <c r="N1222" i="5"/>
  <c r="O1222" i="5" s="1"/>
  <c r="P1222" i="5" s="1"/>
  <c r="M1223" i="5" s="1"/>
  <c r="N623" i="5"/>
  <c r="O623" i="5" s="1"/>
  <c r="P623" i="5" s="1"/>
  <c r="M624" i="5" s="1"/>
  <c r="N863" i="5"/>
  <c r="O863" i="5" s="1"/>
  <c r="P863" i="5" s="1"/>
  <c r="M864" i="5" s="1"/>
  <c r="N1282" i="5"/>
  <c r="O1282" i="5" s="1"/>
  <c r="P1282" i="5"/>
  <c r="M1283" i="5" s="1"/>
  <c r="N803" i="5"/>
  <c r="O803" i="5" s="1"/>
  <c r="P803" i="5" s="1"/>
  <c r="M804" i="5" s="1"/>
  <c r="N563" i="5"/>
  <c r="O563" i="5" s="1"/>
  <c r="P563" i="5" s="1"/>
  <c r="M564" i="5" s="1"/>
  <c r="O38" i="5"/>
  <c r="N743" i="5"/>
  <c r="O743" i="5" s="1"/>
  <c r="P743" i="5" s="1"/>
  <c r="M744" i="5" s="1"/>
  <c r="N299" i="5"/>
  <c r="O299" i="5" s="1"/>
  <c r="P299" i="5" s="1"/>
  <c r="M300" i="5" s="1"/>
  <c r="O378" i="5"/>
  <c r="I9" i="9"/>
  <c r="N1223" i="5" l="1"/>
  <c r="O1223" i="5" s="1"/>
  <c r="P1223" i="5"/>
  <c r="M1224" i="5" s="1"/>
  <c r="N924" i="5"/>
  <c r="O924" i="5" s="1"/>
  <c r="P924" i="5"/>
  <c r="M925" i="5" s="1"/>
  <c r="N804" i="5"/>
  <c r="O804" i="5" s="1"/>
  <c r="P804" i="5"/>
  <c r="M805" i="5" s="1"/>
  <c r="N300" i="5"/>
  <c r="O300" i="5" s="1"/>
  <c r="P300" i="5" s="1"/>
  <c r="M301" i="5" s="1"/>
  <c r="N504" i="5"/>
  <c r="O504" i="5" s="1"/>
  <c r="P504" i="5"/>
  <c r="M505" i="5" s="1"/>
  <c r="N1283" i="5"/>
  <c r="O1283" i="5" s="1"/>
  <c r="P1283" i="5"/>
  <c r="M1284" i="5" s="1"/>
  <c r="N1344" i="5"/>
  <c r="O1344" i="5" s="1"/>
  <c r="P1344" i="5"/>
  <c r="M1345" i="5" s="1"/>
  <c r="N984" i="5"/>
  <c r="O984" i="5" s="1"/>
  <c r="P984" i="5" s="1"/>
  <c r="M985" i="5" s="1"/>
  <c r="N1104" i="5"/>
  <c r="O1104" i="5" s="1"/>
  <c r="P1104" i="5" s="1"/>
  <c r="M1105" i="5" s="1"/>
  <c r="N684" i="5"/>
  <c r="O684" i="5" s="1"/>
  <c r="P684" i="5" s="1"/>
  <c r="M685" i="5" s="1"/>
  <c r="N624" i="5"/>
  <c r="O624" i="5" s="1"/>
  <c r="P624" i="5"/>
  <c r="M625" i="5" s="1"/>
  <c r="N1164" i="5"/>
  <c r="O1164" i="5" s="1"/>
  <c r="P1164" i="5" s="1"/>
  <c r="M1165" i="5" s="1"/>
  <c r="N1044" i="5"/>
  <c r="O1044" i="5" s="1"/>
  <c r="P1044" i="5" s="1"/>
  <c r="M1045" i="5" s="1"/>
  <c r="I10" i="9"/>
  <c r="P378" i="5"/>
  <c r="M379" i="5" s="1"/>
  <c r="N564" i="5"/>
  <c r="O564" i="5" s="1"/>
  <c r="P564" i="5"/>
  <c r="M565" i="5" s="1"/>
  <c r="N744" i="5"/>
  <c r="O744" i="5" s="1"/>
  <c r="P744" i="5"/>
  <c r="M745" i="5" s="1"/>
  <c r="N864" i="5"/>
  <c r="O864" i="5" s="1"/>
  <c r="P864" i="5" s="1"/>
  <c r="M865" i="5" s="1"/>
  <c r="P38" i="5"/>
  <c r="M39" i="5" s="1"/>
  <c r="N1045" i="5" l="1"/>
  <c r="O1045" i="5" s="1"/>
  <c r="P1045" i="5" s="1"/>
  <c r="N865" i="5"/>
  <c r="O865" i="5" s="1"/>
  <c r="P865" i="5" s="1"/>
  <c r="N1105" i="5"/>
  <c r="O1105" i="5" s="1"/>
  <c r="P1105" i="5"/>
  <c r="N1165" i="5"/>
  <c r="O1165" i="5" s="1"/>
  <c r="P1165" i="5"/>
  <c r="N1345" i="5"/>
  <c r="O1345" i="5" s="1"/>
  <c r="P1345" i="5" s="1"/>
  <c r="N805" i="5"/>
  <c r="O805" i="5" s="1"/>
  <c r="P805" i="5" s="1"/>
  <c r="N301" i="5"/>
  <c r="O301" i="5" s="1"/>
  <c r="P301" i="5"/>
  <c r="M302" i="5" s="1"/>
  <c r="N745" i="5"/>
  <c r="O745" i="5" s="1"/>
  <c r="P745" i="5"/>
  <c r="N565" i="5"/>
  <c r="O565" i="5" s="1"/>
  <c r="P565" i="5" s="1"/>
  <c r="N379" i="5"/>
  <c r="N685" i="5"/>
  <c r="O685" i="5" s="1"/>
  <c r="P685" i="5" s="1"/>
  <c r="N1284" i="5"/>
  <c r="O1284" i="5" s="1"/>
  <c r="P1284" i="5"/>
  <c r="M1285" i="5" s="1"/>
  <c r="N925" i="5"/>
  <c r="O925" i="5" s="1"/>
  <c r="P925" i="5" s="1"/>
  <c r="N505" i="5"/>
  <c r="O505" i="5" s="1"/>
  <c r="P505" i="5" s="1"/>
  <c r="N1224" i="5"/>
  <c r="O1224" i="5" s="1"/>
  <c r="P1224" i="5" s="1"/>
  <c r="M1225" i="5" s="1"/>
  <c r="N985" i="5"/>
  <c r="O985" i="5" s="1"/>
  <c r="P985" i="5" s="1"/>
  <c r="N625" i="5"/>
  <c r="O625" i="5" s="1"/>
  <c r="P625" i="5" s="1"/>
  <c r="N39" i="5"/>
  <c r="N1225" i="5" l="1"/>
  <c r="O1225" i="5" s="1"/>
  <c r="P1225" i="5" s="1"/>
  <c r="N302" i="5"/>
  <c r="O302" i="5" s="1"/>
  <c r="P302" i="5" s="1"/>
  <c r="M303" i="5" s="1"/>
  <c r="N1285" i="5"/>
  <c r="O1285" i="5" s="1"/>
  <c r="P1285" i="5"/>
  <c r="O39" i="5"/>
  <c r="O379" i="5"/>
  <c r="J9" i="9"/>
  <c r="N303" i="5" l="1"/>
  <c r="O303" i="5" s="1"/>
  <c r="P303" i="5"/>
  <c r="M304" i="5" s="1"/>
  <c r="P39" i="5"/>
  <c r="M40" i="5" s="1"/>
  <c r="J10" i="9"/>
  <c r="P379" i="5"/>
  <c r="M380" i="5" s="1"/>
  <c r="N380" i="5" l="1"/>
  <c r="N40" i="5"/>
  <c r="N304" i="5"/>
  <c r="O304" i="5" s="1"/>
  <c r="P304" i="5" s="1"/>
  <c r="M305" i="5" s="1"/>
  <c r="N305" i="5" l="1"/>
  <c r="O305" i="5" s="1"/>
  <c r="P305" i="5"/>
  <c r="M306" i="5" s="1"/>
  <c r="O40" i="5"/>
  <c r="O380" i="5"/>
  <c r="K9" i="9"/>
  <c r="N306" i="5" l="1"/>
  <c r="O306" i="5" s="1"/>
  <c r="P306" i="5" s="1"/>
  <c r="M307" i="5" s="1"/>
  <c r="K10" i="9"/>
  <c r="P380" i="5"/>
  <c r="M381" i="5" s="1"/>
  <c r="P40" i="5"/>
  <c r="M41" i="5" s="1"/>
  <c r="N307" i="5" l="1"/>
  <c r="O307" i="5" s="1"/>
  <c r="P307" i="5" s="1"/>
  <c r="M308" i="5" s="1"/>
  <c r="N41" i="5"/>
  <c r="N381" i="5"/>
  <c r="N308" i="5" l="1"/>
  <c r="O308" i="5" s="1"/>
  <c r="P308" i="5"/>
  <c r="M309" i="5" s="1"/>
  <c r="O41" i="5"/>
  <c r="O381" i="5"/>
  <c r="L9" i="9"/>
  <c r="P41" i="5" l="1"/>
  <c r="M42" i="5" s="1"/>
  <c r="L10" i="9"/>
  <c r="P381" i="5"/>
  <c r="M382" i="5" s="1"/>
  <c r="N309" i="5"/>
  <c r="O309" i="5" s="1"/>
  <c r="P309" i="5"/>
  <c r="M310" i="5" s="1"/>
  <c r="N310" i="5" l="1"/>
  <c r="O310" i="5" s="1"/>
  <c r="P310" i="5" s="1"/>
  <c r="M311" i="5" s="1"/>
  <c r="N382" i="5"/>
  <c r="N42" i="5"/>
  <c r="N311" i="5" l="1"/>
  <c r="O311" i="5" s="1"/>
  <c r="P311" i="5"/>
  <c r="M312" i="5" s="1"/>
  <c r="O42" i="5"/>
  <c r="O382" i="5"/>
  <c r="M9" i="9"/>
  <c r="N312" i="5" l="1"/>
  <c r="O312" i="5" s="1"/>
  <c r="P312" i="5"/>
  <c r="M313" i="5" s="1"/>
  <c r="M10" i="9"/>
  <c r="P382" i="5"/>
  <c r="M383" i="5" s="1"/>
  <c r="P42" i="5"/>
  <c r="M43" i="5" s="1"/>
  <c r="N383" i="5" l="1"/>
  <c r="N43" i="5"/>
  <c r="N313" i="5"/>
  <c r="O313" i="5" s="1"/>
  <c r="P313" i="5" s="1"/>
  <c r="M314" i="5" s="1"/>
  <c r="N314" i="5" l="1"/>
  <c r="O314" i="5" s="1"/>
  <c r="P314" i="5"/>
  <c r="M315" i="5" s="1"/>
  <c r="O43" i="5"/>
  <c r="O383" i="5"/>
  <c r="N9" i="9"/>
  <c r="N315" i="5" l="1"/>
  <c r="O315" i="5" s="1"/>
  <c r="P315" i="5" s="1"/>
  <c r="M316" i="5" s="1"/>
  <c r="N10" i="9"/>
  <c r="P383" i="5"/>
  <c r="M384" i="5" s="1"/>
  <c r="P43" i="5"/>
  <c r="M44" i="5" s="1"/>
  <c r="N44" i="5" l="1"/>
  <c r="N384" i="5"/>
  <c r="N316" i="5"/>
  <c r="O316" i="5" s="1"/>
  <c r="P316" i="5" s="1"/>
  <c r="M317" i="5" s="1"/>
  <c r="N317" i="5" l="1"/>
  <c r="O317" i="5" s="1"/>
  <c r="P317" i="5"/>
  <c r="M318" i="5" s="1"/>
  <c r="O384" i="5"/>
  <c r="O9" i="9"/>
  <c r="O44" i="5"/>
  <c r="P44" i="5" l="1"/>
  <c r="M45" i="5" s="1"/>
  <c r="N318" i="5"/>
  <c r="O318" i="5" s="1"/>
  <c r="P318" i="5"/>
  <c r="M319" i="5" s="1"/>
  <c r="O10" i="9"/>
  <c r="P384" i="5"/>
  <c r="M385" i="5" s="1"/>
  <c r="N319" i="5" l="1"/>
  <c r="O319" i="5" s="1"/>
  <c r="P319" i="5" s="1"/>
  <c r="M320" i="5" s="1"/>
  <c r="N385" i="5"/>
  <c r="N45" i="5"/>
  <c r="N320" i="5" l="1"/>
  <c r="O320" i="5" s="1"/>
  <c r="P320" i="5"/>
  <c r="M321" i="5" s="1"/>
  <c r="O385" i="5"/>
  <c r="P9" i="9"/>
  <c r="O45" i="5"/>
  <c r="N321" i="5" l="1"/>
  <c r="O321" i="5" s="1"/>
  <c r="P321" i="5"/>
  <c r="M322" i="5" s="1"/>
  <c r="P45" i="5"/>
  <c r="M46" i="5" s="1"/>
  <c r="P10" i="9"/>
  <c r="P385" i="5"/>
  <c r="M386" i="5" s="1"/>
  <c r="N322" i="5" l="1"/>
  <c r="O322" i="5" s="1"/>
  <c r="P322" i="5" s="1"/>
  <c r="M323" i="5" s="1"/>
  <c r="N386" i="5"/>
  <c r="N46" i="5"/>
  <c r="O46" i="5" s="1"/>
  <c r="P46" i="5"/>
  <c r="M47" i="5" s="1"/>
  <c r="N323" i="5" l="1"/>
  <c r="O323" i="5" s="1"/>
  <c r="P323" i="5"/>
  <c r="M324" i="5" s="1"/>
  <c r="N47" i="5"/>
  <c r="O47" i="5" s="1"/>
  <c r="P47" i="5"/>
  <c r="M48" i="5" s="1"/>
  <c r="O386" i="5"/>
  <c r="Q9" i="9"/>
  <c r="N48" i="5" l="1"/>
  <c r="O48" i="5" s="1"/>
  <c r="P48" i="5" s="1"/>
  <c r="M49" i="5" s="1"/>
  <c r="Q10" i="9"/>
  <c r="P386" i="5"/>
  <c r="M387" i="5" s="1"/>
  <c r="N324" i="5"/>
  <c r="O324" i="5" s="1"/>
  <c r="P324" i="5"/>
  <c r="M325" i="5" s="1"/>
  <c r="N49" i="5" l="1"/>
  <c r="O49" i="5" s="1"/>
  <c r="P49" i="5" s="1"/>
  <c r="M50" i="5" s="1"/>
  <c r="N325" i="5"/>
  <c r="O325" i="5" s="1"/>
  <c r="P325" i="5" s="1"/>
  <c r="N387" i="5"/>
  <c r="N50" i="5" l="1"/>
  <c r="O50" i="5" s="1"/>
  <c r="P50" i="5"/>
  <c r="M51" i="5" s="1"/>
  <c r="O387" i="5"/>
  <c r="R9" i="9"/>
  <c r="N51" i="5" l="1"/>
  <c r="O51" i="5" s="1"/>
  <c r="P51" i="5" s="1"/>
  <c r="M52" i="5" s="1"/>
  <c r="R10" i="9"/>
  <c r="P387" i="5"/>
  <c r="M388" i="5" s="1"/>
  <c r="N52" i="5" l="1"/>
  <c r="O52" i="5" s="1"/>
  <c r="P52" i="5" s="1"/>
  <c r="M53" i="5" s="1"/>
  <c r="N388" i="5"/>
  <c r="N53" i="5" l="1"/>
  <c r="O53" i="5" s="1"/>
  <c r="P53" i="5"/>
  <c r="M54" i="5" s="1"/>
  <c r="O388" i="5"/>
  <c r="S9" i="9"/>
  <c r="G9" i="9" s="1"/>
  <c r="G14" i="9" s="1"/>
  <c r="N54" i="5" l="1"/>
  <c r="O54" i="5" s="1"/>
  <c r="P54" i="5" s="1"/>
  <c r="M55" i="5" s="1"/>
  <c r="S10" i="9"/>
  <c r="G10" i="9" s="1"/>
  <c r="P388" i="5"/>
  <c r="M389" i="5" s="1"/>
  <c r="N389" i="5" l="1"/>
  <c r="O389" i="5" s="1"/>
  <c r="P389" i="5"/>
  <c r="M390" i="5" s="1"/>
  <c r="N55" i="5"/>
  <c r="O55" i="5" s="1"/>
  <c r="P55" i="5" s="1"/>
  <c r="M56" i="5" s="1"/>
  <c r="N56" i="5" l="1"/>
  <c r="O56" i="5" s="1"/>
  <c r="P56" i="5" s="1"/>
  <c r="M57" i="5" s="1"/>
  <c r="N390" i="5"/>
  <c r="O390" i="5" s="1"/>
  <c r="P390" i="5" s="1"/>
  <c r="M391" i="5" s="1"/>
  <c r="N391" i="5" l="1"/>
  <c r="O391" i="5" s="1"/>
  <c r="P391" i="5"/>
  <c r="M392" i="5" s="1"/>
  <c r="N57" i="5"/>
  <c r="O57" i="5" s="1"/>
  <c r="P57" i="5" s="1"/>
  <c r="M58" i="5" s="1"/>
  <c r="N58" i="5" l="1"/>
  <c r="O58" i="5" s="1"/>
  <c r="P58" i="5"/>
  <c r="M59" i="5" s="1"/>
  <c r="N392" i="5"/>
  <c r="O392" i="5" s="1"/>
  <c r="P392" i="5" s="1"/>
  <c r="M393" i="5" s="1"/>
  <c r="N393" i="5" l="1"/>
  <c r="O393" i="5" s="1"/>
  <c r="P393" i="5"/>
  <c r="M394" i="5" s="1"/>
  <c r="N59" i="5"/>
  <c r="O59" i="5" s="1"/>
  <c r="P59" i="5" s="1"/>
  <c r="M60" i="5" s="1"/>
  <c r="N60" i="5" l="1"/>
  <c r="O60" i="5" s="1"/>
  <c r="P60" i="5"/>
  <c r="M61" i="5" s="1"/>
  <c r="N394" i="5"/>
  <c r="O394" i="5" s="1"/>
  <c r="P394" i="5"/>
  <c r="M395" i="5" s="1"/>
  <c r="N395" i="5" l="1"/>
  <c r="O395" i="5" s="1"/>
  <c r="P395" i="5"/>
  <c r="M396" i="5" s="1"/>
  <c r="N61" i="5"/>
  <c r="O61" i="5" s="1"/>
  <c r="P61" i="5" s="1"/>
  <c r="M62" i="5" s="1"/>
  <c r="N62" i="5" l="1"/>
  <c r="O62" i="5" s="1"/>
  <c r="P62" i="5"/>
  <c r="M63" i="5" s="1"/>
  <c r="N396" i="5"/>
  <c r="O396" i="5" s="1"/>
  <c r="P396" i="5"/>
  <c r="M397" i="5" s="1"/>
  <c r="N397" i="5" l="1"/>
  <c r="O397" i="5" s="1"/>
  <c r="P397" i="5"/>
  <c r="M398" i="5" s="1"/>
  <c r="N63" i="5"/>
  <c r="O63" i="5" s="1"/>
  <c r="P63" i="5" s="1"/>
  <c r="M64" i="5" s="1"/>
  <c r="N64" i="5" l="1"/>
  <c r="O64" i="5" s="1"/>
  <c r="P64" i="5"/>
  <c r="M65" i="5" s="1"/>
  <c r="N398" i="5"/>
  <c r="O398" i="5" s="1"/>
  <c r="P398" i="5" s="1"/>
  <c r="M399" i="5" s="1"/>
  <c r="N399" i="5" l="1"/>
  <c r="O399" i="5" s="1"/>
  <c r="P399" i="5" s="1"/>
  <c r="M400" i="5" s="1"/>
  <c r="N65" i="5"/>
  <c r="O65" i="5" s="1"/>
  <c r="P65" i="5" s="1"/>
  <c r="M66" i="5" s="1"/>
  <c r="N66" i="5" l="1"/>
  <c r="O66" i="5" s="1"/>
  <c r="P66" i="5"/>
  <c r="M67" i="5" s="1"/>
  <c r="N400" i="5"/>
  <c r="O400" i="5" s="1"/>
  <c r="P400" i="5" s="1"/>
  <c r="M401" i="5" s="1"/>
  <c r="N401" i="5" l="1"/>
  <c r="O401" i="5" s="1"/>
  <c r="P401" i="5"/>
  <c r="M402" i="5" s="1"/>
  <c r="N67" i="5"/>
  <c r="O67" i="5" s="1"/>
  <c r="P67" i="5" s="1"/>
  <c r="M68" i="5" s="1"/>
  <c r="N68" i="5" l="1"/>
  <c r="O68" i="5" s="1"/>
  <c r="P68" i="5" s="1"/>
  <c r="M69" i="5" s="1"/>
  <c r="N402" i="5"/>
  <c r="O402" i="5" s="1"/>
  <c r="P402" i="5" s="1"/>
  <c r="M403" i="5" s="1"/>
  <c r="N69" i="5" l="1"/>
  <c r="O69" i="5" s="1"/>
  <c r="P69" i="5" s="1"/>
  <c r="M70" i="5" s="1"/>
  <c r="N403" i="5"/>
  <c r="O403" i="5" s="1"/>
  <c r="P403" i="5" s="1"/>
  <c r="M404" i="5" s="1"/>
  <c r="N404" i="5" l="1"/>
  <c r="O404" i="5" s="1"/>
  <c r="P404" i="5"/>
  <c r="M405" i="5" s="1"/>
  <c r="N70" i="5"/>
  <c r="O70" i="5" s="1"/>
  <c r="P70" i="5" s="1"/>
  <c r="M71" i="5" s="1"/>
  <c r="N71" i="5" l="1"/>
  <c r="O71" i="5" s="1"/>
  <c r="P71" i="5"/>
  <c r="M72" i="5" s="1"/>
  <c r="N405" i="5"/>
  <c r="O405" i="5" s="1"/>
  <c r="P405" i="5" s="1"/>
  <c r="M406" i="5" s="1"/>
  <c r="N406" i="5" l="1"/>
  <c r="O406" i="5" s="1"/>
  <c r="P406" i="5" s="1"/>
  <c r="M407" i="5" s="1"/>
  <c r="N72" i="5"/>
  <c r="O72" i="5" s="1"/>
  <c r="P72" i="5" s="1"/>
  <c r="M73" i="5" s="1"/>
  <c r="N73" i="5" l="1"/>
  <c r="O73" i="5" s="1"/>
  <c r="P73" i="5" s="1"/>
  <c r="M74" i="5" s="1"/>
  <c r="N407" i="5"/>
  <c r="O407" i="5" s="1"/>
  <c r="P407" i="5" s="1"/>
  <c r="M408" i="5" s="1"/>
  <c r="N408" i="5" l="1"/>
  <c r="O408" i="5" s="1"/>
  <c r="P408" i="5"/>
  <c r="M409" i="5" s="1"/>
  <c r="N74" i="5"/>
  <c r="O74" i="5" s="1"/>
  <c r="P74" i="5"/>
  <c r="M75" i="5" s="1"/>
  <c r="N75" i="5" l="1"/>
  <c r="O75" i="5" s="1"/>
  <c r="P75" i="5"/>
  <c r="M76" i="5" s="1"/>
  <c r="N409" i="5"/>
  <c r="N76" i="5" l="1"/>
  <c r="O76" i="5" s="1"/>
  <c r="P76" i="5"/>
  <c r="M77" i="5" s="1"/>
  <c r="O409" i="5"/>
  <c r="N77" i="5" l="1"/>
  <c r="P409" i="5"/>
  <c r="O77" i="5" l="1"/>
  <c r="P77" i="5" l="1"/>
  <c r="M78" i="5" s="1"/>
  <c r="N78" i="5" l="1"/>
  <c r="O78" i="5" l="1"/>
  <c r="P78" i="5" l="1"/>
  <c r="M79" i="5" s="1"/>
  <c r="N79" i="5" l="1"/>
  <c r="O79" i="5" l="1"/>
  <c r="P79" i="5" l="1"/>
  <c r="M80" i="5" s="1"/>
  <c r="N80" i="5" l="1"/>
  <c r="O80" i="5" l="1"/>
  <c r="P80" i="5" l="1"/>
  <c r="M81" i="5" s="1"/>
  <c r="N81" i="5" l="1"/>
  <c r="O81" i="5" s="1"/>
  <c r="P81" i="5" s="1"/>
  <c r="M82" i="5" s="1"/>
  <c r="N82" i="5" l="1"/>
  <c r="O82" i="5" s="1"/>
  <c r="P82" i="5"/>
  <c r="M83" i="5" s="1"/>
  <c r="N83" i="5" l="1"/>
  <c r="O83" i="5" s="1"/>
  <c r="P83" i="5" s="1"/>
  <c r="M84" i="5" s="1"/>
  <c r="N84" i="5" l="1"/>
  <c r="O84" i="5" s="1"/>
  <c r="P84" i="5"/>
  <c r="M85" i="5" s="1"/>
  <c r="N85" i="5" l="1"/>
  <c r="O85" i="5" s="1"/>
  <c r="P85" i="5"/>
  <c r="M86" i="5" s="1"/>
  <c r="N86" i="5" l="1"/>
  <c r="O86" i="5" s="1"/>
  <c r="P86" i="5"/>
  <c r="M87" i="5" s="1"/>
  <c r="N87" i="5" l="1"/>
  <c r="O87" i="5" s="1"/>
  <c r="P87" i="5"/>
  <c r="M88" i="5" s="1"/>
  <c r="N88" i="5" l="1"/>
  <c r="O88" i="5" s="1"/>
  <c r="P88" i="5"/>
  <c r="M89" i="5" s="1"/>
  <c r="N89" i="5" l="1"/>
  <c r="O89" i="5" s="1"/>
  <c r="P89" i="5"/>
  <c r="M90" i="5" s="1"/>
  <c r="N90" i="5" l="1"/>
  <c r="O90" i="5" s="1"/>
  <c r="P90" i="5"/>
  <c r="M91" i="5" s="1"/>
  <c r="N91" i="5" l="1"/>
  <c r="O91" i="5" s="1"/>
  <c r="P91" i="5"/>
  <c r="M92" i="5" s="1"/>
  <c r="N92" i="5" l="1"/>
  <c r="O92" i="5" s="1"/>
  <c r="P92" i="5" s="1"/>
  <c r="M93" i="5" s="1"/>
  <c r="N93" i="5" l="1"/>
  <c r="O93" i="5" s="1"/>
  <c r="P93" i="5"/>
  <c r="M94" i="5" s="1"/>
  <c r="N94" i="5" l="1"/>
  <c r="O94" i="5" s="1"/>
  <c r="P94" i="5"/>
  <c r="M95" i="5" s="1"/>
  <c r="N95" i="5" l="1"/>
  <c r="O95" i="5" s="1"/>
  <c r="P95" i="5"/>
  <c r="M96" i="5" s="1"/>
  <c r="N96" i="5" l="1"/>
  <c r="O96" i="5" s="1"/>
  <c r="P96" i="5"/>
  <c r="M97" i="5" s="1"/>
  <c r="N97" i="5" l="1"/>
  <c r="O97" i="5" s="1"/>
  <c r="P97" i="5" s="1"/>
  <c r="M98" i="5" s="1"/>
  <c r="N98" i="5" l="1"/>
  <c r="O98" i="5" s="1"/>
  <c r="P98" i="5" s="1"/>
  <c r="M99" i="5" s="1"/>
  <c r="N99" i="5" l="1"/>
  <c r="O99" i="5" s="1"/>
  <c r="P99" i="5"/>
  <c r="M100" i="5" s="1"/>
  <c r="N100" i="5" l="1"/>
  <c r="O100" i="5" s="1"/>
  <c r="P100" i="5"/>
  <c r="M101" i="5" s="1"/>
  <c r="N101" i="5" l="1"/>
  <c r="O101" i="5" s="1"/>
  <c r="P101" i="5"/>
  <c r="M102" i="5" s="1"/>
  <c r="N102" i="5" l="1"/>
  <c r="O102" i="5" s="1"/>
  <c r="P102" i="5"/>
  <c r="M103" i="5" s="1"/>
  <c r="N103" i="5" l="1"/>
  <c r="O103" i="5" s="1"/>
  <c r="P103" i="5"/>
  <c r="M104" i="5" s="1"/>
  <c r="N104" i="5" l="1"/>
  <c r="O104" i="5" s="1"/>
  <c r="P104" i="5"/>
  <c r="M105" i="5" s="1"/>
  <c r="N105" i="5" l="1"/>
  <c r="O105" i="5" s="1"/>
  <c r="P105" i="5"/>
  <c r="M106" i="5" s="1"/>
  <c r="N106" i="5" l="1"/>
  <c r="O106" i="5" s="1"/>
  <c r="P106" i="5"/>
  <c r="M107" i="5" s="1"/>
  <c r="N107" i="5" l="1"/>
  <c r="O107" i="5" s="1"/>
  <c r="P107" i="5"/>
  <c r="M108" i="5" s="1"/>
  <c r="N108" i="5" l="1"/>
  <c r="O108" i="5" s="1"/>
  <c r="P108" i="5"/>
  <c r="M109" i="5" s="1"/>
  <c r="N109" i="5" l="1"/>
  <c r="O109" i="5" s="1"/>
  <c r="P109" i="5"/>
  <c r="M110" i="5" s="1"/>
  <c r="N110" i="5" l="1"/>
  <c r="O110" i="5" s="1"/>
  <c r="P110" i="5"/>
  <c r="M111" i="5" s="1"/>
  <c r="N111" i="5" l="1"/>
  <c r="O111" i="5" s="1"/>
  <c r="P111" i="5"/>
  <c r="M112" i="5" s="1"/>
  <c r="N112" i="5" l="1"/>
  <c r="O112" i="5" s="1"/>
  <c r="P112" i="5"/>
  <c r="M113" i="5" s="1"/>
  <c r="N113" i="5" l="1"/>
  <c r="O113" i="5" s="1"/>
  <c r="P113" i="5"/>
  <c r="M114" i="5" s="1"/>
  <c r="N114" i="5" l="1"/>
  <c r="O114" i="5" s="1"/>
  <c r="P114" i="5"/>
  <c r="M115" i="5" s="1"/>
  <c r="N115" i="5" l="1"/>
  <c r="O115" i="5" s="1"/>
  <c r="P115" i="5"/>
  <c r="M116" i="5" s="1"/>
  <c r="N116" i="5" l="1"/>
  <c r="O116" i="5" s="1"/>
  <c r="P116" i="5"/>
  <c r="M117" i="5" s="1"/>
  <c r="N117" i="5" l="1"/>
  <c r="O117" i="5" s="1"/>
  <c r="P117" i="5" s="1"/>
  <c r="M118" i="5" s="1"/>
  <c r="N118" i="5" l="1"/>
  <c r="O118" i="5" s="1"/>
  <c r="P118" i="5"/>
  <c r="M119" i="5" s="1"/>
  <c r="N119" i="5" l="1"/>
  <c r="O119" i="5" s="1"/>
  <c r="P119" i="5" s="1"/>
  <c r="M120" i="5" s="1"/>
  <c r="N120" i="5" l="1"/>
  <c r="O120" i="5" s="1"/>
  <c r="P120" i="5"/>
  <c r="M121" i="5" s="1"/>
  <c r="N121" i="5" l="1"/>
  <c r="O121" i="5" s="1"/>
  <c r="P121" i="5"/>
  <c r="M122" i="5" s="1"/>
  <c r="N122" i="5" l="1"/>
  <c r="O122" i="5" s="1"/>
  <c r="P122" i="5"/>
  <c r="M123" i="5" s="1"/>
  <c r="N123" i="5" l="1"/>
  <c r="O123" i="5" s="1"/>
  <c r="P123" i="5"/>
  <c r="M124" i="5" s="1"/>
  <c r="N124" i="5" l="1"/>
  <c r="O124" i="5" s="1"/>
  <c r="P124" i="5"/>
  <c r="M125" i="5" s="1"/>
  <c r="N125" i="5" l="1"/>
  <c r="O125" i="5" s="1"/>
  <c r="P125" i="5"/>
  <c r="M126" i="5" s="1"/>
  <c r="N126" i="5" l="1"/>
  <c r="O126" i="5" s="1"/>
  <c r="P126" i="5"/>
  <c r="M127" i="5" s="1"/>
  <c r="N127" i="5" l="1"/>
  <c r="O127" i="5" s="1"/>
  <c r="P127" i="5"/>
  <c r="M128" i="5" s="1"/>
  <c r="N128" i="5" l="1"/>
  <c r="O128" i="5" s="1"/>
  <c r="P128" i="5"/>
  <c r="M129" i="5" s="1"/>
  <c r="N129" i="5" l="1"/>
  <c r="O129" i="5" s="1"/>
  <c r="P129" i="5"/>
  <c r="M130" i="5" s="1"/>
  <c r="N130" i="5" l="1"/>
  <c r="O130" i="5" s="1"/>
  <c r="P130" i="5"/>
  <c r="M131" i="5" s="1"/>
  <c r="N131" i="5" l="1"/>
  <c r="O131" i="5" s="1"/>
  <c r="P131" i="5"/>
  <c r="M132" i="5" s="1"/>
  <c r="N132" i="5" l="1"/>
  <c r="O132" i="5" s="1"/>
  <c r="P132" i="5"/>
  <c r="M133" i="5" s="1"/>
  <c r="N133" i="5" l="1"/>
  <c r="O133" i="5" s="1"/>
  <c r="P133" i="5"/>
  <c r="M134" i="5" s="1"/>
  <c r="N134" i="5" l="1"/>
  <c r="O134" i="5" s="1"/>
  <c r="P134" i="5" s="1"/>
  <c r="M135" i="5" s="1"/>
  <c r="N135" i="5" l="1"/>
  <c r="O135" i="5" s="1"/>
  <c r="P135" i="5"/>
  <c r="M136" i="5" s="1"/>
  <c r="N136" i="5" l="1"/>
  <c r="O136" i="5" s="1"/>
  <c r="P136" i="5" s="1"/>
  <c r="M137" i="5" s="1"/>
  <c r="N137" i="5" l="1"/>
  <c r="O137" i="5" s="1"/>
  <c r="P137" i="5" s="1"/>
  <c r="M138" i="5" s="1"/>
  <c r="N138" i="5" l="1"/>
  <c r="O138" i="5" s="1"/>
  <c r="P138" i="5"/>
  <c r="M139" i="5" s="1"/>
  <c r="N139" i="5" l="1"/>
  <c r="O139" i="5" s="1"/>
  <c r="P139" i="5"/>
  <c r="M140" i="5" s="1"/>
  <c r="N140" i="5" l="1"/>
  <c r="O140" i="5" s="1"/>
  <c r="P140" i="5"/>
  <c r="M141" i="5" s="1"/>
  <c r="N141" i="5" l="1"/>
  <c r="O141" i="5" s="1"/>
  <c r="P141" i="5"/>
  <c r="M142" i="5" s="1"/>
  <c r="N142" i="5" l="1"/>
  <c r="O142" i="5" s="1"/>
  <c r="P142" i="5" s="1"/>
  <c r="M143" i="5" s="1"/>
  <c r="N143" i="5" l="1"/>
  <c r="O143" i="5" s="1"/>
  <c r="P143" i="5"/>
  <c r="M144" i="5" s="1"/>
  <c r="N144" i="5" l="1"/>
  <c r="O144" i="5" s="1"/>
  <c r="P144" i="5"/>
  <c r="M145" i="5" s="1"/>
  <c r="N145" i="5" l="1"/>
  <c r="O145" i="5" s="1"/>
  <c r="P145" i="5"/>
  <c r="M146" i="5" s="1"/>
  <c r="N146" i="5" l="1"/>
  <c r="O146" i="5" s="1"/>
  <c r="P146" i="5"/>
  <c r="M147" i="5" s="1"/>
  <c r="N147" i="5" l="1"/>
  <c r="O147" i="5" s="1"/>
  <c r="P147" i="5"/>
  <c r="M148" i="5" s="1"/>
  <c r="N148" i="5" l="1"/>
  <c r="O148" i="5" s="1"/>
  <c r="P148" i="5"/>
  <c r="M149" i="5" s="1"/>
  <c r="N149" i="5" l="1"/>
  <c r="O149" i="5" s="1"/>
  <c r="P149" i="5"/>
  <c r="M150" i="5" s="1"/>
  <c r="N150" i="5" l="1"/>
  <c r="O150" i="5" s="1"/>
  <c r="P150" i="5"/>
  <c r="M151" i="5" s="1"/>
  <c r="N151" i="5" l="1"/>
  <c r="O151" i="5" s="1"/>
  <c r="P151" i="5"/>
  <c r="M152" i="5" s="1"/>
  <c r="N152" i="5" l="1"/>
  <c r="O152" i="5" s="1"/>
  <c r="P152" i="5"/>
  <c r="M153" i="5" s="1"/>
  <c r="N153" i="5" l="1"/>
  <c r="O153" i="5" s="1"/>
  <c r="P153" i="5"/>
  <c r="M154" i="5" s="1"/>
  <c r="N154" i="5" l="1"/>
  <c r="O154" i="5" s="1"/>
  <c r="P154" i="5"/>
  <c r="M155" i="5" s="1"/>
  <c r="N155" i="5" l="1"/>
  <c r="O155" i="5" s="1"/>
  <c r="P155" i="5"/>
  <c r="M156" i="5" s="1"/>
  <c r="N156" i="5" l="1"/>
  <c r="O156" i="5" s="1"/>
  <c r="P156" i="5"/>
  <c r="M157" i="5" s="1"/>
  <c r="N157" i="5" l="1"/>
  <c r="O157" i="5" s="1"/>
  <c r="P157" i="5"/>
  <c r="M158" i="5" s="1"/>
  <c r="N158" i="5" l="1"/>
  <c r="O158" i="5" s="1"/>
  <c r="P158" i="5"/>
  <c r="M159" i="5" s="1"/>
  <c r="N159" i="5" l="1"/>
  <c r="O159" i="5" s="1"/>
  <c r="P159" i="5" s="1"/>
  <c r="M160" i="5" s="1"/>
  <c r="N160" i="5" l="1"/>
  <c r="O160" i="5" s="1"/>
  <c r="P160" i="5"/>
  <c r="M161" i="5" s="1"/>
  <c r="N161" i="5" l="1"/>
  <c r="O161" i="5" s="1"/>
  <c r="P161" i="5"/>
  <c r="M162" i="5" s="1"/>
  <c r="N162" i="5" l="1"/>
  <c r="O162" i="5" s="1"/>
  <c r="P162" i="5"/>
  <c r="M163" i="5" s="1"/>
  <c r="N163" i="5" l="1"/>
  <c r="O163" i="5" s="1"/>
  <c r="P163" i="5" s="1"/>
  <c r="M164" i="5" s="1"/>
  <c r="N164" i="5" l="1"/>
  <c r="O164" i="5" s="1"/>
  <c r="P164" i="5" s="1"/>
  <c r="M165" i="5" s="1"/>
  <c r="N165" i="5" l="1"/>
  <c r="O165" i="5" s="1"/>
  <c r="P165" i="5"/>
  <c r="M166" i="5" s="1"/>
  <c r="N166" i="5" l="1"/>
  <c r="O166" i="5" s="1"/>
  <c r="P166" i="5"/>
  <c r="M167" i="5" s="1"/>
  <c r="N167" i="5" l="1"/>
  <c r="O167" i="5" s="1"/>
  <c r="P167" i="5" s="1"/>
  <c r="M168" i="5" s="1"/>
  <c r="N168" i="5" l="1"/>
  <c r="O168" i="5" s="1"/>
  <c r="P168" i="5" s="1"/>
  <c r="M169" i="5" s="1"/>
  <c r="N169" i="5" l="1"/>
  <c r="O169" i="5" s="1"/>
  <c r="P169" i="5"/>
  <c r="M170" i="5" s="1"/>
  <c r="N170" i="5" l="1"/>
  <c r="O170" i="5" s="1"/>
  <c r="P170" i="5" s="1"/>
  <c r="M171" i="5" s="1"/>
  <c r="N171" i="5" l="1"/>
  <c r="O171" i="5" s="1"/>
  <c r="P171" i="5" s="1"/>
  <c r="M172" i="5" s="1"/>
  <c r="N172" i="5" l="1"/>
  <c r="O172" i="5" s="1"/>
  <c r="P172" i="5" s="1"/>
  <c r="M173" i="5" s="1"/>
  <c r="N173" i="5" l="1"/>
  <c r="O173" i="5" s="1"/>
  <c r="P173" i="5"/>
  <c r="M174" i="5" s="1"/>
  <c r="N174" i="5" l="1"/>
  <c r="O174" i="5" s="1"/>
  <c r="P174" i="5"/>
  <c r="M175" i="5" s="1"/>
  <c r="N175" i="5" l="1"/>
  <c r="O175" i="5" s="1"/>
  <c r="P175" i="5"/>
  <c r="M176" i="5" s="1"/>
  <c r="N176" i="5" l="1"/>
  <c r="O176" i="5" s="1"/>
  <c r="P176" i="5"/>
  <c r="M177" i="5" s="1"/>
  <c r="N177" i="5" l="1"/>
  <c r="O177" i="5" s="1"/>
  <c r="P177" i="5"/>
  <c r="M178" i="5" s="1"/>
  <c r="N178" i="5" l="1"/>
  <c r="O178" i="5" s="1"/>
  <c r="P178" i="5"/>
  <c r="M179" i="5" s="1"/>
  <c r="N179" i="5" l="1"/>
  <c r="O179" i="5" s="1"/>
  <c r="P179" i="5"/>
  <c r="M180" i="5" s="1"/>
  <c r="N180" i="5" l="1"/>
  <c r="O180" i="5" s="1"/>
  <c r="P180" i="5"/>
  <c r="M181" i="5" s="1"/>
  <c r="N181" i="5" l="1"/>
  <c r="O181" i="5" s="1"/>
  <c r="P181" i="5" s="1"/>
  <c r="M182" i="5" s="1"/>
  <c r="N182" i="5" l="1"/>
  <c r="O182" i="5" s="1"/>
  <c r="P182" i="5"/>
  <c r="M183" i="5" s="1"/>
  <c r="N183" i="5" l="1"/>
  <c r="O183" i="5" s="1"/>
  <c r="P183" i="5"/>
  <c r="M184" i="5" s="1"/>
  <c r="N184" i="5" l="1"/>
  <c r="O184" i="5" s="1"/>
  <c r="P184" i="5"/>
  <c r="M185" i="5" s="1"/>
  <c r="N185" i="5" l="1"/>
  <c r="O185" i="5" s="1"/>
  <c r="P185" i="5"/>
  <c r="M186" i="5" s="1"/>
  <c r="N186" i="5" l="1"/>
  <c r="O186" i="5" s="1"/>
  <c r="P186" i="5"/>
  <c r="M187" i="5" s="1"/>
  <c r="N187" i="5" l="1"/>
  <c r="O187" i="5" s="1"/>
  <c r="P187" i="5"/>
  <c r="M188" i="5" s="1"/>
  <c r="N188" i="5" l="1"/>
  <c r="O188" i="5" s="1"/>
  <c r="P188" i="5"/>
  <c r="M189" i="5" s="1"/>
  <c r="N189" i="5" l="1"/>
  <c r="O189" i="5" s="1"/>
  <c r="P189" i="5"/>
  <c r="M190" i="5" s="1"/>
  <c r="N190" i="5" l="1"/>
  <c r="O190" i="5" s="1"/>
  <c r="P190" i="5"/>
  <c r="M191" i="5" s="1"/>
  <c r="N191" i="5" l="1"/>
  <c r="O191" i="5" s="1"/>
  <c r="P191" i="5"/>
  <c r="M192" i="5" s="1"/>
  <c r="N192" i="5" l="1"/>
  <c r="O192" i="5" s="1"/>
  <c r="P192" i="5"/>
  <c r="M193" i="5" s="1"/>
  <c r="N193" i="5" l="1"/>
  <c r="O193" i="5" s="1"/>
  <c r="P193" i="5"/>
  <c r="M194" i="5" s="1"/>
  <c r="N194" i="5" l="1"/>
  <c r="O194" i="5" s="1"/>
  <c r="P194" i="5"/>
  <c r="M195" i="5" s="1"/>
  <c r="N195" i="5" l="1"/>
  <c r="O195" i="5" s="1"/>
  <c r="P195" i="5"/>
  <c r="M196" i="5" s="1"/>
  <c r="N196" i="5" l="1"/>
  <c r="O196" i="5" s="1"/>
  <c r="P196" i="5"/>
  <c r="M197" i="5" s="1"/>
  <c r="N197" i="5" l="1"/>
  <c r="O197" i="5" s="1"/>
  <c r="P197" i="5"/>
  <c r="M198" i="5" s="1"/>
  <c r="N198" i="5" l="1"/>
  <c r="O198" i="5" s="1"/>
  <c r="P198" i="5"/>
  <c r="M199" i="5" s="1"/>
  <c r="N199" i="5" l="1"/>
  <c r="O199" i="5" s="1"/>
  <c r="P199" i="5"/>
  <c r="M200" i="5" s="1"/>
  <c r="N200" i="5" l="1"/>
  <c r="O200" i="5" s="1"/>
  <c r="P200" i="5"/>
  <c r="M201" i="5" s="1"/>
  <c r="N201" i="5" l="1"/>
  <c r="O201" i="5" s="1"/>
  <c r="P201" i="5"/>
  <c r="M202" i="5" s="1"/>
  <c r="N202" i="5" l="1"/>
  <c r="O202" i="5" s="1"/>
  <c r="P202" i="5"/>
  <c r="M203" i="5" s="1"/>
  <c r="N203" i="5" l="1"/>
  <c r="O203" i="5" s="1"/>
  <c r="P203" i="5"/>
  <c r="M204" i="5" s="1"/>
  <c r="N204" i="5" l="1"/>
  <c r="O204" i="5" s="1"/>
  <c r="P204" i="5"/>
  <c r="M205" i="5" s="1"/>
  <c r="N205" i="5" l="1"/>
  <c r="O205" i="5" s="1"/>
  <c r="P205" i="5"/>
  <c r="M206" i="5" s="1"/>
  <c r="N206" i="5" l="1"/>
  <c r="O206" i="5" s="1"/>
  <c r="P206" i="5"/>
  <c r="M207" i="5" s="1"/>
  <c r="N207" i="5" l="1"/>
  <c r="O207" i="5" s="1"/>
  <c r="P207" i="5"/>
  <c r="M208" i="5" s="1"/>
  <c r="N208" i="5" l="1"/>
  <c r="O208" i="5" s="1"/>
  <c r="P208" i="5"/>
  <c r="M209" i="5" s="1"/>
  <c r="N209" i="5" l="1"/>
  <c r="O209" i="5" s="1"/>
  <c r="P209" i="5"/>
  <c r="M210" i="5" s="1"/>
  <c r="N210" i="5" l="1"/>
  <c r="O210" i="5" s="1"/>
  <c r="P210" i="5"/>
  <c r="M211" i="5" s="1"/>
  <c r="N211" i="5" l="1"/>
  <c r="O211" i="5" s="1"/>
  <c r="P211" i="5"/>
  <c r="M212" i="5" s="1"/>
  <c r="N212" i="5" l="1"/>
  <c r="O212" i="5" s="1"/>
  <c r="P212" i="5"/>
  <c r="M213" i="5" s="1"/>
  <c r="N213" i="5" l="1"/>
  <c r="O213" i="5" s="1"/>
  <c r="P213" i="5"/>
  <c r="M214" i="5" s="1"/>
  <c r="N214" i="5" l="1"/>
  <c r="O214" i="5" s="1"/>
  <c r="P214" i="5"/>
  <c r="M215" i="5" s="1"/>
  <c r="N215" i="5" l="1"/>
  <c r="O215" i="5" s="1"/>
  <c r="P215" i="5"/>
  <c r="M216" i="5" s="1"/>
  <c r="N216" i="5" l="1"/>
  <c r="O216" i="5" s="1"/>
  <c r="P216" i="5"/>
  <c r="M217" i="5" s="1"/>
  <c r="N217" i="5" l="1"/>
  <c r="O217" i="5" s="1"/>
  <c r="P217" i="5" s="1"/>
  <c r="M218" i="5" s="1"/>
  <c r="N218" i="5" l="1"/>
  <c r="O218" i="5" s="1"/>
  <c r="P218" i="5"/>
  <c r="M219" i="5" s="1"/>
  <c r="N219" i="5" l="1"/>
  <c r="O219" i="5" s="1"/>
  <c r="P219" i="5"/>
  <c r="M220" i="5" s="1"/>
  <c r="N220" i="5" l="1"/>
  <c r="O220" i="5" s="1"/>
  <c r="P220" i="5"/>
  <c r="M221" i="5" s="1"/>
  <c r="N221" i="5" l="1"/>
  <c r="O221" i="5" s="1"/>
  <c r="P221" i="5"/>
  <c r="M222" i="5" s="1"/>
  <c r="N222" i="5" l="1"/>
  <c r="O222" i="5" s="1"/>
  <c r="P222" i="5"/>
  <c r="M223" i="5" s="1"/>
  <c r="N223" i="5" l="1"/>
  <c r="O223" i="5" s="1"/>
  <c r="P223" i="5"/>
  <c r="M224" i="5" s="1"/>
  <c r="N224" i="5" l="1"/>
  <c r="O224" i="5" s="1"/>
  <c r="P224" i="5" s="1"/>
  <c r="M225" i="5" s="1"/>
  <c r="N225" i="5" l="1"/>
  <c r="O225" i="5" s="1"/>
  <c r="P225" i="5"/>
  <c r="M226" i="5" s="1"/>
  <c r="N226" i="5" l="1"/>
  <c r="O226" i="5" s="1"/>
  <c r="P226" i="5"/>
  <c r="M227" i="5" s="1"/>
  <c r="N227" i="5" l="1"/>
  <c r="O227" i="5" s="1"/>
  <c r="P227" i="5"/>
  <c r="M228" i="5" s="1"/>
  <c r="N228" i="5" l="1"/>
  <c r="O228" i="5" s="1"/>
  <c r="P228" i="5"/>
  <c r="M229" i="5" s="1"/>
  <c r="N229" i="5" l="1"/>
  <c r="O229" i="5" s="1"/>
  <c r="P229" i="5"/>
  <c r="M230" i="5" s="1"/>
  <c r="N230" i="5" l="1"/>
  <c r="O230" i="5" s="1"/>
  <c r="P230" i="5"/>
  <c r="M231" i="5" s="1"/>
  <c r="N231" i="5" l="1"/>
  <c r="O231" i="5" s="1"/>
  <c r="P231" i="5"/>
  <c r="M232" i="5" s="1"/>
  <c r="N232" i="5" l="1"/>
  <c r="O232" i="5" s="1"/>
  <c r="P232" i="5"/>
  <c r="M233" i="5" s="1"/>
  <c r="N233" i="5" l="1"/>
  <c r="O233" i="5" s="1"/>
  <c r="P233" i="5" s="1"/>
  <c r="M234" i="5" s="1"/>
  <c r="N234" i="5" l="1"/>
  <c r="O234" i="5" s="1"/>
  <c r="P234" i="5" s="1"/>
  <c r="M235" i="5" s="1"/>
  <c r="N235" i="5" l="1"/>
  <c r="O235" i="5" s="1"/>
  <c r="P235" i="5"/>
  <c r="M236" i="5" s="1"/>
  <c r="N236" i="5" l="1"/>
  <c r="O236" i="5" s="1"/>
  <c r="P236" i="5"/>
  <c r="M237" i="5" s="1"/>
  <c r="N237" i="5" l="1"/>
  <c r="O237" i="5" s="1"/>
  <c r="P237" i="5"/>
  <c r="M238" i="5" s="1"/>
  <c r="N238" i="5" l="1"/>
  <c r="O238" i="5" s="1"/>
  <c r="P238" i="5"/>
  <c r="M239" i="5" s="1"/>
  <c r="N239" i="5" l="1"/>
  <c r="O239" i="5" s="1"/>
  <c r="P239" i="5"/>
  <c r="M240" i="5" s="1"/>
  <c r="N240" i="5" l="1"/>
  <c r="O240" i="5" s="1"/>
  <c r="P240" i="5" s="1"/>
  <c r="M241" i="5" s="1"/>
  <c r="N241" i="5" l="1"/>
  <c r="O241" i="5" l="1"/>
  <c r="U9" i="9"/>
  <c r="U14" i="9" s="1"/>
  <c r="U10" i="9" l="1"/>
  <c r="P24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Flux" description="Connexion à la requête « Flux » dans le classeur." type="5" refreshedVersion="0" background="1">
    <dbPr connection="Provider=Microsoft.Mashup.OleDb.1;Data Source=$Workbook$;Location=Flux;Extended Properties=&quot;&quot;" command="SELECT * FROM [Flux]"/>
  </connection>
  <connection id="2" xr16:uid="{00000000-0015-0000-FFFF-FFFF01000000}" keepAlive="1" name="Requête - Flux (2)" description="Connexion à la requête « Flux (2) » dans le classeur." type="5" refreshedVersion="0" background="1">
    <dbPr connection="Provider=Microsoft.Mashup.OleDb.1;Data Source=$Workbook$;Location=&quot;Flux (2)&quot;;Extended Properties=&quot;&quot;" command="SELECT * FROM [Flux (2)]"/>
  </connection>
  <connection id="3" xr16:uid="{00000000-0015-0000-FFFF-FFFF02000000}" keepAlive="1" name="Requête - Output" description="Connexion à la requête « Output » dans le classeur." type="5" refreshedVersion="6" background="1" saveData="1">
    <dbPr connection="Provider=Microsoft.Mashup.OleDb.1;Data Source=$Workbook$;Location=Output;Extended Properties=&quot;&quot;" command="SELECT * FROM [Output]"/>
  </connection>
</connections>
</file>

<file path=xl/sharedStrings.xml><?xml version="1.0" encoding="utf-8"?>
<sst xmlns="http://schemas.openxmlformats.org/spreadsheetml/2006/main" count="1397" uniqueCount="47">
  <si>
    <t>Date initial</t>
  </si>
  <si>
    <t>Mensualité initial</t>
  </si>
  <si>
    <t>duree_Annee</t>
  </si>
  <si>
    <t>Contrats</t>
  </si>
  <si>
    <t>Contrat_1</t>
  </si>
  <si>
    <t>Contrat_2</t>
  </si>
  <si>
    <t>Contrat_3</t>
  </si>
  <si>
    <t>Contrat_4</t>
  </si>
  <si>
    <t>Contrat_5</t>
  </si>
  <si>
    <t>Contrat_6</t>
  </si>
  <si>
    <t>Contrat_7</t>
  </si>
  <si>
    <t>Contrat_8</t>
  </si>
  <si>
    <t>Contrat_9</t>
  </si>
  <si>
    <t>Contrat_10</t>
  </si>
  <si>
    <t>Contrat_11</t>
  </si>
  <si>
    <t>Contrat_12</t>
  </si>
  <si>
    <t>Contrat_13</t>
  </si>
  <si>
    <t>Contrat_14</t>
  </si>
  <si>
    <t>Contrat_15</t>
  </si>
  <si>
    <t>Contrat_16</t>
  </si>
  <si>
    <t>Contrat_17</t>
  </si>
  <si>
    <t>Contrat_18</t>
  </si>
  <si>
    <t>Contrat_19</t>
  </si>
  <si>
    <t>Duree_Mois</t>
  </si>
  <si>
    <t>Taux Actualisation</t>
  </si>
  <si>
    <t>Contrats - Information</t>
  </si>
  <si>
    <t>Input</t>
  </si>
  <si>
    <t>Periodes</t>
  </si>
  <si>
    <t>IndexGlobal</t>
  </si>
  <si>
    <t>Index</t>
  </si>
  <si>
    <t>Tx_interet_M</t>
  </si>
  <si>
    <t>Flux Actualisés</t>
  </si>
  <si>
    <t>Droit Utilisation</t>
  </si>
  <si>
    <t>Interet</t>
  </si>
  <si>
    <t>Capital Debut Period</t>
  </si>
  <si>
    <t>Capital fin Period</t>
  </si>
  <si>
    <t>Paiement Principal</t>
  </si>
  <si>
    <t>Dotation Amort</t>
  </si>
  <si>
    <t>Principal</t>
  </si>
  <si>
    <t>Selection Periode</t>
  </si>
  <si>
    <t>Interêts</t>
  </si>
  <si>
    <t>Loyer</t>
  </si>
  <si>
    <t>Dotation</t>
  </si>
  <si>
    <t>Impact</t>
  </si>
  <si>
    <t>Impact Comptable</t>
  </si>
  <si>
    <t>Flux + 1 an</t>
  </si>
  <si>
    <t>Flux après 1 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</si>
</sst>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#,##0.0_);\(#,##0.0\);_(&quot;-&quot;_);_)@_)"/>
    <numFmt numFmtId="165" formatCode="_(#,##0_);\(#,##0\);_(&quot;-&quot;_);_)@_)"/>
    <numFmt numFmtId="166" formatCode="_-* #,##0.00\ _€_-;\-* #,##0.00\ _€_-;_-* &quot;-&quot;??\ _€_-;_-@_-"/>
    <numFmt numFmtId="167" formatCode="mmm\-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name val="Calibri Light"/>
      <family val="2"/>
      <scheme val="major"/>
    </font>
    <font>
      <b/>
      <sz val="14"/>
      <color rgb="FF0069B3"/>
      <name val="Tahoma"/>
      <family val="2"/>
    </font>
    <font>
      <sz val="8"/>
      <name val="Tahoma"/>
      <family val="2"/>
    </font>
    <font>
      <b/>
      <sz val="12"/>
      <name val="Calibri Light"/>
      <family val="2"/>
      <scheme val="major"/>
    </font>
    <font>
      <b/>
      <sz val="12"/>
      <name val="Tahoma"/>
      <family val="2"/>
    </font>
    <font>
      <sz val="8"/>
      <name val="Calibri"/>
      <family val="2"/>
      <scheme val="minor"/>
    </font>
    <font>
      <b/>
      <sz val="10"/>
      <name val="Calibri Light"/>
      <family val="2"/>
      <scheme val="major"/>
    </font>
    <font>
      <sz val="11"/>
      <color rgb="FF0069B3"/>
      <name val="Tahoma"/>
      <family val="2"/>
    </font>
    <font>
      <sz val="11"/>
      <name val="Tahoma"/>
      <family val="2"/>
    </font>
    <font>
      <b/>
      <sz val="12"/>
      <color rgb="FF0069B3"/>
      <name val="Tahoma"/>
      <family val="2"/>
    </font>
    <font>
      <sz val="11"/>
      <color theme="1"/>
      <name val="Tahoma"/>
      <family val="2"/>
    </font>
    <font>
      <b/>
      <sz val="10"/>
      <name val="Arial"/>
      <family val="2"/>
    </font>
    <font>
      <b/>
      <sz val="10"/>
      <color theme="2" tint="-0.499984740745262"/>
      <name val="Arial"/>
      <family val="2"/>
    </font>
    <font>
      <sz val="20"/>
      <color theme="3" tint="-0.49998474074526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9"/>
        <bgColor theme="9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 style="hair">
        <color indexed="63"/>
      </top>
      <bottom style="thin">
        <color indexed="8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5" fillId="0" borderId="0" applyFont="0" applyFill="0" applyBorder="0" applyAlignment="0" applyProtection="0"/>
    <xf numFmtId="0" fontId="6" fillId="0" borderId="0" applyFill="0" applyBorder="0">
      <alignment vertical="center"/>
    </xf>
    <xf numFmtId="0" fontId="9" fillId="0" borderId="0" applyFill="0" applyBorder="0">
      <alignment vertical="center"/>
    </xf>
    <xf numFmtId="164" fontId="11" fillId="0" borderId="1">
      <alignment vertical="center"/>
      <protection locked="0"/>
    </xf>
    <xf numFmtId="0" fontId="12" fillId="0" borderId="0" applyFill="0" applyBorder="0">
      <alignment vertical="center"/>
    </xf>
  </cellStyleXfs>
  <cellXfs count="40">
    <xf numFmtId="0" fontId="0" fillId="0" borderId="0" xfId="0"/>
    <xf numFmtId="0" fontId="7" fillId="3" borderId="0" xfId="5" applyFont="1" applyFill="1">
      <alignment vertical="center"/>
    </xf>
    <xf numFmtId="0" fontId="8" fillId="3" borderId="0" xfId="0" applyFont="1" applyFill="1" applyAlignment="1">
      <alignment vertical="center"/>
    </xf>
    <xf numFmtId="0" fontId="10" fillId="3" borderId="0" xfId="6" applyFont="1" applyFill="1">
      <alignment vertical="center"/>
    </xf>
    <xf numFmtId="14" fontId="8" fillId="3" borderId="0" xfId="0" applyNumberFormat="1" applyFont="1" applyFill="1" applyAlignment="1">
      <alignment vertical="center"/>
    </xf>
    <xf numFmtId="164" fontId="13" fillId="4" borderId="2" xfId="7" applyFont="1" applyFill="1" applyBorder="1">
      <alignment vertical="center"/>
      <protection locked="0"/>
    </xf>
    <xf numFmtId="14" fontId="13" fillId="4" borderId="2" xfId="7" applyNumberFormat="1" applyFont="1" applyFill="1" applyBorder="1">
      <alignment vertical="center"/>
      <protection locked="0"/>
    </xf>
    <xf numFmtId="0" fontId="14" fillId="3" borderId="0" xfId="0" applyFont="1" applyFill="1" applyAlignment="1">
      <alignment vertical="center"/>
    </xf>
    <xf numFmtId="0" fontId="15" fillId="3" borderId="0" xfId="8" applyFont="1" applyFill="1">
      <alignment vertical="center"/>
    </xf>
    <xf numFmtId="165" fontId="13" fillId="4" borderId="2" xfId="7" applyNumberFormat="1" applyFont="1" applyFill="1" applyBorder="1">
      <alignment vertical="center"/>
      <protection locked="0"/>
    </xf>
    <xf numFmtId="9" fontId="13" fillId="4" borderId="2" xfId="2" applyFont="1" applyFill="1" applyBorder="1" applyAlignment="1" applyProtection="1">
      <alignment vertical="center"/>
      <protection locked="0"/>
    </xf>
    <xf numFmtId="0" fontId="0" fillId="0" borderId="0" xfId="0" applyNumberFormat="1"/>
    <xf numFmtId="22" fontId="0" fillId="0" borderId="0" xfId="0" applyNumberFormat="1"/>
    <xf numFmtId="14" fontId="0" fillId="0" borderId="0" xfId="0" applyNumberFormat="1"/>
    <xf numFmtId="43" fontId="0" fillId="0" borderId="0" xfId="1" applyFont="1"/>
    <xf numFmtId="43" fontId="0" fillId="0" borderId="0" xfId="0" applyNumberFormat="1"/>
    <xf numFmtId="43" fontId="2" fillId="5" borderId="3" xfId="1" applyNumberFormat="1" applyFont="1" applyFill="1" applyBorder="1"/>
    <xf numFmtId="0" fontId="4" fillId="0" borderId="0" xfId="0" applyFont="1" applyFill="1"/>
    <xf numFmtId="166" fontId="0" fillId="0" borderId="0" xfId="0" applyNumberFormat="1"/>
    <xf numFmtId="0" fontId="16" fillId="0" borderId="0" xfId="0" applyFont="1"/>
    <xf numFmtId="0" fontId="17" fillId="0" borderId="4" xfId="0" applyFont="1" applyBorder="1" applyAlignment="1">
      <alignment horizontal="right"/>
    </xf>
    <xf numFmtId="167" fontId="3" fillId="2" borderId="0" xfId="0" applyNumberFormat="1" applyFont="1" applyFill="1" applyAlignment="1">
      <alignment horizontal="center"/>
    </xf>
    <xf numFmtId="3" fontId="18" fillId="2" borderId="5" xfId="0" applyNumberFormat="1" applyFont="1" applyFill="1" applyBorder="1"/>
    <xf numFmtId="3" fontId="18" fillId="2" borderId="5" xfId="0" applyNumberFormat="1" applyFont="1" applyFill="1" applyBorder="1" applyAlignment="1">
      <alignment vertical="center"/>
    </xf>
    <xf numFmtId="0" fontId="0" fillId="0" borderId="6" xfId="0" applyBorder="1" applyAlignment="1">
      <alignment horizontal="left" indent="1"/>
    </xf>
    <xf numFmtId="0" fontId="18" fillId="0" borderId="5" xfId="0" applyFont="1" applyBorder="1" applyAlignment="1">
      <alignment vertical="center"/>
    </xf>
    <xf numFmtId="0" fontId="0" fillId="6" borderId="0" xfId="0" applyFill="1"/>
    <xf numFmtId="0" fontId="17" fillId="7" borderId="0" xfId="0" applyFont="1" applyFill="1" applyAlignment="1">
      <alignment horizontal="right"/>
    </xf>
    <xf numFmtId="3" fontId="18" fillId="8" borderId="0" xfId="0" applyNumberFormat="1" applyFont="1" applyFill="1" applyBorder="1"/>
    <xf numFmtId="167" fontId="3" fillId="2" borderId="0" xfId="0" quotePrefix="1" applyNumberFormat="1" applyFont="1" applyFill="1" applyAlignment="1">
      <alignment horizontal="center"/>
    </xf>
    <xf numFmtId="0" fontId="4" fillId="8" borderId="0" xfId="0" applyFont="1" applyFill="1" applyBorder="1"/>
    <xf numFmtId="14" fontId="4" fillId="9" borderId="0" xfId="0" applyNumberFormat="1" applyFont="1" applyFill="1" applyBorder="1"/>
    <xf numFmtId="14" fontId="4" fillId="8" borderId="0" xfId="0" applyNumberFormat="1" applyFont="1" applyFill="1" applyBorder="1"/>
    <xf numFmtId="0" fontId="0" fillId="8" borderId="0" xfId="0" applyFont="1" applyFill="1" applyBorder="1"/>
    <xf numFmtId="14" fontId="0" fillId="8" borderId="0" xfId="0" applyNumberFormat="1" applyFont="1" applyFill="1" applyBorder="1"/>
    <xf numFmtId="14" fontId="0" fillId="9" borderId="0" xfId="0" applyNumberFormat="1" applyFont="1" applyFill="1" applyBorder="1"/>
    <xf numFmtId="43" fontId="0" fillId="0" borderId="0" xfId="1" applyNumberFormat="1" applyFont="1"/>
    <xf numFmtId="0" fontId="0" fillId="10" borderId="0" xfId="0" applyFill="1"/>
    <xf numFmtId="0" fontId="0" fillId="11" borderId="0" xfId="0" applyFill="1"/>
    <xf numFmtId="0" fontId="19" fillId="0" borderId="7" xfId="0" applyFont="1" applyBorder="1" applyAlignment="1">
      <alignment horizontal="left"/>
    </xf>
  </cellXfs>
  <cellStyles count="9">
    <cellStyle name="Assumption Number." xfId="7" xr:uid="{00000000-0005-0000-0000-000000000000}"/>
    <cellStyle name="Heading 1." xfId="8" xr:uid="{00000000-0005-0000-0000-000001000000}"/>
    <cellStyle name="Milliers" xfId="1" builtinId="3"/>
    <cellStyle name="Model Name." xfId="6" xr:uid="{00000000-0005-0000-0000-000003000000}"/>
    <cellStyle name="Normal" xfId="0" builtinId="0"/>
    <cellStyle name="Normal 158" xfId="3" xr:uid="{00000000-0005-0000-0000-000005000000}"/>
    <cellStyle name="Pourcentage" xfId="2" builtinId="5"/>
    <cellStyle name="Pourcentage 2" xfId="4" xr:uid="{00000000-0005-0000-0000-000007000000}"/>
    <cellStyle name="Sheet Title." xfId="5" xr:uid="{00000000-0005-0000-0000-000008000000}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27" formatCode="dd/mm/yyyy\ h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ahoma"/>
        <family val="2"/>
        <scheme val="none"/>
      </font>
      <fill>
        <patternFill patternType="solid">
          <fgColor rgb="FF000000"/>
          <bgColor rgb="FFC0C0C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9B3"/>
        <name val="Tahoma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9B3"/>
        <name val="Tahoma"/>
        <family val="2"/>
        <scheme val="none"/>
      </font>
      <numFmt numFmtId="165" formatCode="_(#,##0_);\(#,##0\);_(&quot;-&quot;_);_)@_)"/>
      <fill>
        <patternFill patternType="solid">
          <fgColor rgb="FF000000"/>
          <bgColor rgb="FFFFFFFF"/>
        </patternFill>
      </fill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9B3"/>
        <name val="Tahoma"/>
        <family val="2"/>
        <scheme val="none"/>
      </font>
      <fill>
        <patternFill patternType="solid">
          <fgColor rgb="FF000000"/>
          <bgColor rgb="FFFFFFFF"/>
        </patternFill>
      </fill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9B3"/>
        <name val="Tahoma"/>
        <family val="2"/>
        <scheme val="none"/>
      </font>
      <numFmt numFmtId="19" formatCode="dd/mm/yyyy"/>
      <fill>
        <patternFill patternType="solid">
          <fgColor rgb="FF000000"/>
          <bgColor rgb="FFFFFFFF"/>
        </patternFill>
      </fill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9B3"/>
        <name val="Tahoma"/>
        <family val="2"/>
        <scheme val="none"/>
      </font>
      <fill>
        <patternFill patternType="solid">
          <fgColor rgb="FF000000"/>
          <bgColor rgb="FFFFFFFF"/>
        </patternFill>
      </fill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69B3"/>
        <name val="Tahoma"/>
        <family val="2"/>
        <scheme val="none"/>
      </font>
      <fill>
        <patternFill patternType="solid">
          <fgColor rgb="FF000000"/>
          <bgColor rgb="FFC0C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M$3" fmlaRange="'Impact Comptable'!$AD$3:$AD$2322" noThreeD="1" sel="54" val="48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123825</xdr:rowOff>
    </xdr:from>
    <xdr:to>
      <xdr:col>13</xdr:col>
      <xdr:colOff>304800</xdr:colOff>
      <xdr:row>13</xdr:row>
      <xdr:rowOff>171450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AE5C8AD7-524E-4079-A3B8-4368E93FC028}"/>
            </a:ext>
          </a:extLst>
        </xdr:cNvPr>
        <xdr:cNvSpPr txBox="1">
          <a:spLocks noChangeArrowheads="1"/>
        </xdr:cNvSpPr>
      </xdr:nvSpPr>
      <xdr:spPr bwMode="auto">
        <a:xfrm>
          <a:off x="0" y="123825"/>
          <a:ext cx="10210800" cy="2524125"/>
        </a:xfrm>
        <a:prstGeom prst="roundRect">
          <a:avLst>
            <a:gd name="adj" fmla="val 11495"/>
          </a:avLst>
        </a:prstGeom>
        <a:ln>
          <a:noFill/>
          <a:headEnd/>
          <a:tailEnd/>
        </a:ln>
        <a:effectLst>
          <a:outerShdw blurRad="177800" dist="63500" dir="2700000" algn="tl" rotWithShape="0">
            <a:prstClr val="black">
              <a:alpha val="35000"/>
            </a:prst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0" tIns="182880" rIns="182880" bIns="182880" anchor="t" upright="1"/>
        <a:lstStyle/>
        <a:p>
          <a:pPr rtl="0"/>
          <a:endParaRPr lang="en-US" sz="1400" b="1" i="0" baseline="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rtl="0"/>
          <a:endParaRPr lang="en-US" sz="1400" b="1" i="0" baseline="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rtl="0"/>
          <a:r>
            <a:rPr lang="en-US" sz="1400" b="1" i="0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Mise en Place de IFRS à l'aide de Power Query Excel</a:t>
          </a:r>
          <a:endParaRPr lang="en-US" sz="1100">
            <a:effectLst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 d'utilisation</a:t>
          </a: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Saisir les données de vos contrats, Nom du contrat / date de début / mensulaité/ durée de contrat et taux d'actualisation spécifique pour chaque contrat.</a:t>
          </a: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Cliquer sur le boton "calculer". le résultat en détail par contrat dans la feuille "Flux" . L'impact comptable pour une période selectionnée ainsi les flux futurs pour chaque éléments : les intérets, paiement principal, les loyers ainsi les dotations d'amortissements</a:t>
          </a: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 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faut avoir Power Excel installer .</a:t>
          </a:r>
          <a:endParaRPr lang="en-US">
            <a:effectLst/>
          </a:endParaRPr>
        </a:p>
      </xdr:txBody>
    </xdr:sp>
    <xdr:clientData/>
  </xdr:twoCellAnchor>
  <xdr:twoCellAnchor editAs="oneCell">
    <xdr:from>
      <xdr:col>0</xdr:col>
      <xdr:colOff>171450</xdr:colOff>
      <xdr:row>0</xdr:row>
      <xdr:rowOff>161926</xdr:rowOff>
    </xdr:from>
    <xdr:to>
      <xdr:col>3</xdr:col>
      <xdr:colOff>93724</xdr:colOff>
      <xdr:row>3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BC129BCC-051A-4905-A34B-36980D1CC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61926"/>
          <a:ext cx="2208274" cy="4476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2</xdr:row>
          <xdr:rowOff>85725</xdr:rowOff>
        </xdr:from>
        <xdr:to>
          <xdr:col>8</xdr:col>
          <xdr:colOff>657225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</xdr:row>
          <xdr:rowOff>133350</xdr:rowOff>
        </xdr:from>
        <xdr:to>
          <xdr:col>20</xdr:col>
          <xdr:colOff>323850</xdr:colOff>
          <xdr:row>3</xdr:row>
          <xdr:rowOff>57150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isk%20dur%20Extern\Toshiba\SSD\New\DAX\BPM-Consolidation%20Exampl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Ass_SC"/>
      <sheetName val="TS_BA"/>
      <sheetName val="OBS_BA"/>
      <sheetName val="Op_Ann_TA"/>
      <sheetName val="WC_Ann_TA"/>
      <sheetName val="Assets_BA"/>
      <sheetName val="Assets_Ann_TA"/>
      <sheetName val="CS_Ann_TA"/>
      <sheetName val="Corp_Tax_Ann_TA"/>
      <sheetName val="OFSI_Ann_TA"/>
      <sheetName val="Out_SC"/>
      <sheetName val="IS_Ann_TO"/>
      <sheetName val="FS_Ann_TO"/>
      <sheetName val="BS_Ann_TO"/>
      <sheetName val="CFS_Ann_TO"/>
      <sheetName val="Op_Ann_TO"/>
      <sheetName val="WC_Ann_TO"/>
      <sheetName val="Assets_Ann_TO"/>
      <sheetName val="CS_Ann_TO"/>
      <sheetName val="Corp_Tax_Ann_TO"/>
      <sheetName val="OFSI_Ann_TO"/>
      <sheetName val="Pres_Out_SC"/>
      <sheetName val="FS_Sum_P_MS"/>
      <sheetName val="App_SC"/>
      <sheetName val="LU_SSC"/>
      <sheetName val="TS_LU"/>
      <sheetName val="WC_LU"/>
      <sheetName val="Assets_LU"/>
      <sheetName val="Eq_Ord_LU"/>
      <sheetName val="OFSI_LU"/>
      <sheetName val="FS_Sum_LU"/>
      <sheetName val="Chks_SSC"/>
      <sheetName val="Chks_BO"/>
    </sheetNames>
    <sheetDataSet>
      <sheetData sheetId="0">
        <row r="10">
          <cell r="C10" t="str">
            <v>Consolidation Example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3" xr16:uid="{00000000-0016-0000-0200-000000000000}" autoFormatId="16" applyNumberFormats="0" applyBorderFormats="0" applyFontFormats="0" applyPatternFormats="0" applyAlignmentFormats="0" applyWidthHeightFormats="0">
  <queryTableRefresh nextId="18" unboundColumnsRight="5">
    <queryTableFields count="17">
      <queryTableField id="1" name="Contrats" tableColumnId="13"/>
      <queryTableField id="2" name="Date initial" tableColumnId="2"/>
      <queryTableField id="3" name="Mensualité initial" tableColumnId="3"/>
      <queryTableField id="4" name="duree_Annee" tableColumnId="4"/>
      <queryTableField id="5" name="Taux Actualisation" tableColumnId="5"/>
      <queryTableField id="6" name="Duree_Mois" tableColumnId="6"/>
      <queryTableField id="7" name="Periodes" tableColumnId="7"/>
      <queryTableField id="8" name="IndexGlobal" tableColumnId="8"/>
      <queryTableField id="9" name="Index" tableColumnId="9"/>
      <queryTableField id="10" name="Tx_interet_M" tableColumnId="10"/>
      <queryTableField id="11" name="Flux Actualisés" tableColumnId="11"/>
      <queryTableField id="12" name="Droit Utilisation" tableColumnId="12"/>
      <queryTableField id="14" dataBound="0" tableColumnId="15"/>
      <queryTableField id="13" dataBound="0" tableColumnId="14"/>
      <queryTableField id="15" dataBound="0" tableColumnId="16"/>
      <queryTableField id="16" dataBound="0" tableColumnId="17"/>
      <queryTableField id="17" dataBound="0" tableColumnId="1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1:F30" totalsRowShown="0" headerRowDxfId="24" headerRowCellStyle="Heading 1.">
  <autoFilter ref="A11:F30" xr:uid="{00000000-0009-0000-0100-000001000000}"/>
  <tableColumns count="6">
    <tableColumn id="1" xr3:uid="{00000000-0010-0000-0000-000001000000}" name="Contrats" dataDxfId="23" dataCellStyle="Assumption Number."/>
    <tableColumn id="2" xr3:uid="{00000000-0010-0000-0000-000002000000}" name="Date initial" dataDxfId="22" dataCellStyle="Assumption Number."/>
    <tableColumn id="3" xr3:uid="{00000000-0010-0000-0000-000003000000}" name="Mensualité initial" dataDxfId="21" dataCellStyle="Assumption Number."/>
    <tableColumn id="4" xr3:uid="{00000000-0010-0000-0000-000004000000}" name="duree_Annee" dataDxfId="20" dataCellStyle="Assumption Number."/>
    <tableColumn id="5" xr3:uid="{00000000-0010-0000-0000-000005000000}" name="Taux Actualisation" dataDxfId="19" dataCellStyle="Pourcentage"/>
    <tableColumn id="6" xr3:uid="{00000000-0010-0000-0000-000006000000}" name="Duree_Mois" dataDxfId="18">
      <calculatedColumnFormula>D12*12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Output" displayName="Output" ref="A1:Q1345" tableType="queryTable" totalsRowShown="0">
  <autoFilter ref="A1:Q1345" xr:uid="{00000000-0009-0000-0100-000003000000}"/>
  <tableColumns count="17">
    <tableColumn id="13" xr3:uid="{00000000-0010-0000-0100-00000D000000}" uniqueName="13" name="Contrats" queryTableFieldId="1" dataDxfId="17"/>
    <tableColumn id="2" xr3:uid="{00000000-0010-0000-0100-000002000000}" uniqueName="2" name="Date initial" queryTableFieldId="2" dataDxfId="16"/>
    <tableColumn id="3" xr3:uid="{00000000-0010-0000-0100-000003000000}" uniqueName="3" name="Mensualité initial" queryTableFieldId="3"/>
    <tableColumn id="4" xr3:uid="{00000000-0010-0000-0100-000004000000}" uniqueName="4" name="duree_Annee" queryTableFieldId="4"/>
    <tableColumn id="5" xr3:uid="{00000000-0010-0000-0100-000005000000}" uniqueName="5" name="Taux Actualisation" queryTableFieldId="5"/>
    <tableColumn id="6" xr3:uid="{00000000-0010-0000-0100-000006000000}" uniqueName="6" name="Duree_Mois" queryTableFieldId="6"/>
    <tableColumn id="7" xr3:uid="{00000000-0010-0000-0100-000007000000}" uniqueName="7" name="Periodes" queryTableFieldId="7" dataDxfId="15"/>
    <tableColumn id="8" xr3:uid="{00000000-0010-0000-0100-000008000000}" uniqueName="8" name="IndexGlobal" queryTableFieldId="8"/>
    <tableColumn id="9" xr3:uid="{00000000-0010-0000-0100-000009000000}" uniqueName="9" name="Index" queryTableFieldId="9"/>
    <tableColumn id="10" xr3:uid="{00000000-0010-0000-0100-00000A000000}" uniqueName="10" name="Tx_interet_M" queryTableFieldId="10"/>
    <tableColumn id="11" xr3:uid="{00000000-0010-0000-0100-00000B000000}" uniqueName="11" name="Flux Actualisés" queryTableFieldId="11" dataDxfId="14" dataCellStyle="Milliers"/>
    <tableColumn id="12" xr3:uid="{00000000-0010-0000-0100-00000C000000}" uniqueName="12" name="Droit Utilisation" queryTableFieldId="12" dataDxfId="13" dataCellStyle="Milliers"/>
    <tableColumn id="15" xr3:uid="{00000000-0010-0000-0100-00000F000000}" uniqueName="15" name="Capital Debut Period" queryTableFieldId="14" dataDxfId="12" dataCellStyle="Milliers">
      <calculatedColumnFormula>IF(Output[[#This Row],[Index]]=1,Output[[#This Row],[Droit Utilisation]],P1)</calculatedColumnFormula>
    </tableColumn>
    <tableColumn id="14" xr3:uid="{00000000-0010-0000-0100-00000E000000}" uniqueName="14" name="Interet" queryTableFieldId="13" dataDxfId="11">
      <calculatedColumnFormula>Output[[#This Row],[Capital Debut Period]]*Output[[#This Row],[Tx_interet_M]]</calculatedColumnFormula>
    </tableColumn>
    <tableColumn id="16" xr3:uid="{00000000-0010-0000-0100-000010000000}" uniqueName="16" name="Paiement Principal" queryTableFieldId="15" dataDxfId="10">
      <calculatedColumnFormula>Output[[#This Row],[Mensualité initial]]-Output[[#This Row],[Interet]]</calculatedColumnFormula>
    </tableColumn>
    <tableColumn id="17" xr3:uid="{00000000-0010-0000-0100-000011000000}" uniqueName="17" name="Capital fin Period" queryTableFieldId="16" dataDxfId="9">
      <calculatedColumnFormula>Output[[#This Row],[Capital Debut Period]]-Output[[#This Row],[Paiement Principal]]</calculatedColumnFormula>
    </tableColumn>
    <tableColumn id="18" xr3:uid="{00000000-0010-0000-0100-000012000000}" uniqueName="18" name="Dotation Amort" queryTableFieldId="17" dataDxfId="8">
      <calculatedColumnFormula>Output[[#This Row],[Droit Utilisation]]/Output[[#This Row],[Duree_Mois]]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showGridLines="0" workbookViewId="0">
      <selection activeCell="G20" sqref="G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F30"/>
  <sheetViews>
    <sheetView zoomScale="86" zoomScaleNormal="86" workbookViewId="0">
      <selection activeCell="C19" sqref="C19"/>
    </sheetView>
  </sheetViews>
  <sheetFormatPr baseColWidth="10" defaultRowHeight="10.5" x14ac:dyDescent="0.25"/>
  <cols>
    <col min="1" max="1" width="17.28515625" style="2" customWidth="1"/>
    <col min="2" max="2" width="15.5703125" style="2" bestFit="1" customWidth="1"/>
    <col min="3" max="3" width="21.7109375" style="4" customWidth="1"/>
    <col min="4" max="4" width="18.5703125" style="2" customWidth="1"/>
    <col min="5" max="5" width="24.140625" style="2" customWidth="1"/>
    <col min="6" max="6" width="16.5703125" style="2" customWidth="1"/>
    <col min="7" max="16384" width="11.42578125" style="2"/>
  </cols>
  <sheetData>
    <row r="2" spans="1:6" ht="18" x14ac:dyDescent="0.25">
      <c r="A2" s="1" t="s">
        <v>25</v>
      </c>
    </row>
    <row r="3" spans="1:6" ht="15" x14ac:dyDescent="0.25">
      <c r="A3" s="3" t="s">
        <v>26</v>
      </c>
    </row>
    <row r="10" spans="1:6" ht="7.5" customHeight="1" x14ac:dyDescent="0.25"/>
    <row r="11" spans="1:6" ht="15" x14ac:dyDescent="0.25">
      <c r="A11" s="8" t="s">
        <v>3</v>
      </c>
      <c r="B11" s="8" t="s">
        <v>0</v>
      </c>
      <c r="C11" s="8" t="s">
        <v>1</v>
      </c>
      <c r="D11" s="8" t="s">
        <v>2</v>
      </c>
      <c r="E11" s="8" t="s">
        <v>24</v>
      </c>
      <c r="F11" s="8" t="s">
        <v>23</v>
      </c>
    </row>
    <row r="12" spans="1:6" ht="14.25" x14ac:dyDescent="0.25">
      <c r="A12" s="5" t="s">
        <v>4</v>
      </c>
      <c r="B12" s="6">
        <v>43282</v>
      </c>
      <c r="C12" s="5">
        <v>2500</v>
      </c>
      <c r="D12" s="9">
        <v>20</v>
      </c>
      <c r="E12" s="10">
        <v>0.05</v>
      </c>
      <c r="F12" s="7">
        <f t="shared" ref="F12:F30" si="0">D12*12</f>
        <v>240</v>
      </c>
    </row>
    <row r="13" spans="1:6" ht="14.25" x14ac:dyDescent="0.25">
      <c r="A13" s="5" t="s">
        <v>5</v>
      </c>
      <c r="B13" s="6">
        <v>44743</v>
      </c>
      <c r="C13" s="5">
        <v>3700</v>
      </c>
      <c r="D13" s="9">
        <v>7</v>
      </c>
      <c r="E13" s="10">
        <v>0.1</v>
      </c>
      <c r="F13" s="7">
        <f t="shared" si="0"/>
        <v>84</v>
      </c>
    </row>
    <row r="14" spans="1:6" ht="14.25" x14ac:dyDescent="0.25">
      <c r="A14" s="5" t="s">
        <v>6</v>
      </c>
      <c r="B14" s="6">
        <v>42552</v>
      </c>
      <c r="C14" s="5">
        <v>3900</v>
      </c>
      <c r="D14" s="9">
        <v>7</v>
      </c>
      <c r="E14" s="10">
        <v>0.06</v>
      </c>
      <c r="F14" s="7">
        <f t="shared" si="0"/>
        <v>84</v>
      </c>
    </row>
    <row r="15" spans="1:6" ht="14.25" x14ac:dyDescent="0.25">
      <c r="A15" s="5" t="s">
        <v>7</v>
      </c>
      <c r="B15" s="6">
        <v>43800</v>
      </c>
      <c r="C15" s="5">
        <v>2000</v>
      </c>
      <c r="D15" s="9">
        <v>3</v>
      </c>
      <c r="E15" s="10">
        <v>0.03</v>
      </c>
      <c r="F15" s="7">
        <f t="shared" si="0"/>
        <v>36</v>
      </c>
    </row>
    <row r="16" spans="1:6" ht="14.25" x14ac:dyDescent="0.25">
      <c r="A16" s="5" t="s">
        <v>8</v>
      </c>
      <c r="B16" s="6">
        <v>43831</v>
      </c>
      <c r="C16" s="5">
        <v>2500</v>
      </c>
      <c r="D16" s="9">
        <v>5</v>
      </c>
      <c r="E16" s="10">
        <v>0.03</v>
      </c>
      <c r="F16" s="7">
        <f t="shared" si="0"/>
        <v>60</v>
      </c>
    </row>
    <row r="17" spans="1:6" ht="14.25" x14ac:dyDescent="0.25">
      <c r="A17" s="5" t="s">
        <v>9</v>
      </c>
      <c r="B17" s="6">
        <v>43831</v>
      </c>
      <c r="C17" s="5">
        <v>6000</v>
      </c>
      <c r="D17" s="9">
        <v>5</v>
      </c>
      <c r="E17" s="10">
        <v>0.03</v>
      </c>
      <c r="F17" s="7">
        <f t="shared" si="0"/>
        <v>60</v>
      </c>
    </row>
    <row r="18" spans="1:6" ht="14.25" x14ac:dyDescent="0.25">
      <c r="A18" s="5" t="s">
        <v>10</v>
      </c>
      <c r="B18" s="6">
        <v>43871</v>
      </c>
      <c r="C18" s="5">
        <v>1000</v>
      </c>
      <c r="D18" s="9">
        <v>5</v>
      </c>
      <c r="E18" s="10">
        <v>0.03</v>
      </c>
      <c r="F18" s="7">
        <f t="shared" si="0"/>
        <v>60</v>
      </c>
    </row>
    <row r="19" spans="1:6" ht="14.25" x14ac:dyDescent="0.25">
      <c r="A19" s="5" t="s">
        <v>11</v>
      </c>
      <c r="B19" s="6">
        <v>43872</v>
      </c>
      <c r="C19" s="5">
        <v>6000</v>
      </c>
      <c r="D19" s="9">
        <v>5</v>
      </c>
      <c r="E19" s="10">
        <v>0.03</v>
      </c>
      <c r="F19" s="7">
        <f t="shared" si="0"/>
        <v>60</v>
      </c>
    </row>
    <row r="20" spans="1:6" ht="14.25" x14ac:dyDescent="0.25">
      <c r="A20" s="5" t="s">
        <v>12</v>
      </c>
      <c r="B20" s="6">
        <v>43831</v>
      </c>
      <c r="C20" s="5">
        <v>6000</v>
      </c>
      <c r="D20" s="9">
        <v>5</v>
      </c>
      <c r="E20" s="10">
        <v>0.03</v>
      </c>
      <c r="F20" s="7">
        <f t="shared" si="0"/>
        <v>60</v>
      </c>
    </row>
    <row r="21" spans="1:6" ht="14.25" x14ac:dyDescent="0.25">
      <c r="A21" s="5" t="s">
        <v>13</v>
      </c>
      <c r="B21" s="6">
        <v>43891</v>
      </c>
      <c r="C21" s="5">
        <v>6000</v>
      </c>
      <c r="D21" s="9">
        <v>5</v>
      </c>
      <c r="E21" s="10">
        <v>0.03</v>
      </c>
      <c r="F21" s="7">
        <f t="shared" si="0"/>
        <v>60</v>
      </c>
    </row>
    <row r="22" spans="1:6" ht="14.25" x14ac:dyDescent="0.25">
      <c r="A22" s="5" t="s">
        <v>14</v>
      </c>
      <c r="B22" s="6">
        <v>43922</v>
      </c>
      <c r="C22" s="5">
        <v>6000</v>
      </c>
      <c r="D22" s="9">
        <v>5</v>
      </c>
      <c r="E22" s="10">
        <v>0.03</v>
      </c>
      <c r="F22" s="7">
        <f t="shared" si="0"/>
        <v>60</v>
      </c>
    </row>
    <row r="23" spans="1:6" ht="14.25" x14ac:dyDescent="0.25">
      <c r="A23" s="5" t="s">
        <v>15</v>
      </c>
      <c r="B23" s="6">
        <v>43952</v>
      </c>
      <c r="C23" s="5">
        <v>6000</v>
      </c>
      <c r="D23" s="9">
        <v>5</v>
      </c>
      <c r="E23" s="10">
        <v>0.03</v>
      </c>
      <c r="F23" s="7">
        <f t="shared" si="0"/>
        <v>60</v>
      </c>
    </row>
    <row r="24" spans="1:6" ht="14.25" x14ac:dyDescent="0.25">
      <c r="A24" s="5" t="s">
        <v>16</v>
      </c>
      <c r="B24" s="6">
        <v>43831</v>
      </c>
      <c r="C24" s="5">
        <v>6000</v>
      </c>
      <c r="D24" s="9">
        <v>5</v>
      </c>
      <c r="E24" s="10">
        <v>0.03</v>
      </c>
      <c r="F24" s="7">
        <f t="shared" si="0"/>
        <v>60</v>
      </c>
    </row>
    <row r="25" spans="1:6" ht="14.25" x14ac:dyDescent="0.25">
      <c r="A25" s="5" t="s">
        <v>17</v>
      </c>
      <c r="B25" s="6">
        <v>43831</v>
      </c>
      <c r="C25" s="5">
        <v>6000</v>
      </c>
      <c r="D25" s="9">
        <v>5</v>
      </c>
      <c r="E25" s="10">
        <v>0.03</v>
      </c>
      <c r="F25" s="7">
        <f t="shared" si="0"/>
        <v>60</v>
      </c>
    </row>
    <row r="26" spans="1:6" ht="14.25" x14ac:dyDescent="0.25">
      <c r="A26" s="5" t="s">
        <v>18</v>
      </c>
      <c r="B26" s="6">
        <v>43831</v>
      </c>
      <c r="C26" s="5">
        <v>6000</v>
      </c>
      <c r="D26" s="9">
        <v>5</v>
      </c>
      <c r="E26" s="10">
        <v>0.03</v>
      </c>
      <c r="F26" s="7">
        <f t="shared" si="0"/>
        <v>60</v>
      </c>
    </row>
    <row r="27" spans="1:6" ht="14.25" x14ac:dyDescent="0.25">
      <c r="A27" s="5" t="s">
        <v>19</v>
      </c>
      <c r="B27" s="6">
        <v>43831</v>
      </c>
      <c r="C27" s="5">
        <v>6000</v>
      </c>
      <c r="D27" s="9">
        <v>5</v>
      </c>
      <c r="E27" s="10">
        <v>0.03</v>
      </c>
      <c r="F27" s="7">
        <f t="shared" si="0"/>
        <v>60</v>
      </c>
    </row>
    <row r="28" spans="1:6" ht="14.25" x14ac:dyDescent="0.25">
      <c r="A28" s="5" t="s">
        <v>20</v>
      </c>
      <c r="B28" s="6">
        <v>43831</v>
      </c>
      <c r="C28" s="5">
        <v>6000</v>
      </c>
      <c r="D28" s="9">
        <v>5</v>
      </c>
      <c r="E28" s="10">
        <v>0.03</v>
      </c>
      <c r="F28" s="7">
        <f t="shared" si="0"/>
        <v>60</v>
      </c>
    </row>
    <row r="29" spans="1:6" ht="14.25" x14ac:dyDescent="0.25">
      <c r="A29" s="5" t="s">
        <v>21</v>
      </c>
      <c r="B29" s="6">
        <v>43831</v>
      </c>
      <c r="C29" s="5">
        <v>6000</v>
      </c>
      <c r="D29" s="9">
        <v>5</v>
      </c>
      <c r="E29" s="10">
        <v>0.03</v>
      </c>
      <c r="F29" s="7">
        <f t="shared" si="0"/>
        <v>60</v>
      </c>
    </row>
    <row r="30" spans="1:6" ht="14.25" x14ac:dyDescent="0.25">
      <c r="A30" s="5" t="s">
        <v>22</v>
      </c>
      <c r="B30" s="6">
        <v>43831</v>
      </c>
      <c r="C30" s="5">
        <v>6000</v>
      </c>
      <c r="D30" s="9">
        <v>5</v>
      </c>
      <c r="E30" s="10">
        <v>0.03</v>
      </c>
      <c r="F30" s="7">
        <f t="shared" si="0"/>
        <v>60</v>
      </c>
    </row>
  </sheetData>
  <phoneticPr fontId="11" type="noConversion"/>
  <conditionalFormatting sqref="A11">
    <cfRule type="duplicateValues" dxfId="7" priority="15"/>
  </conditionalFormatting>
  <conditionalFormatting sqref="A11">
    <cfRule type="duplicateValues" dxfId="6" priority="14"/>
  </conditionalFormatting>
  <conditionalFormatting sqref="A11">
    <cfRule type="duplicateValues" dxfId="5" priority="12"/>
    <cfRule type="duplicateValues" dxfId="4" priority="13"/>
  </conditionalFormatting>
  <conditionalFormatting sqref="A11">
    <cfRule type="duplicateValues" dxfId="3" priority="11"/>
  </conditionalFormatting>
  <conditionalFormatting sqref="B11:F11">
    <cfRule type="duplicateValues" dxfId="2" priority="29"/>
  </conditionalFormatting>
  <conditionalFormatting sqref="B11:F11">
    <cfRule type="duplicateValues" dxfId="1" priority="31"/>
    <cfRule type="duplicateValues" dxfId="0" priority="32"/>
  </conditionalFormatting>
  <dataValidations count="1">
    <dataValidation type="custom" showErrorMessage="1" errorTitle="Invalid Assumption" error="Assumption must be a number." sqref="C12" xr:uid="{00000000-0002-0000-0100-000000000000}">
      <formula1>NOT(ISERROR(C12/1))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2">
                <anchor moveWithCells="1" sizeWithCells="1">
                  <from>
                    <xdr:col>6</xdr:col>
                    <xdr:colOff>628650</xdr:colOff>
                    <xdr:row>2</xdr:row>
                    <xdr:rowOff>85725</xdr:rowOff>
                  </from>
                  <to>
                    <xdr:col>8</xdr:col>
                    <xdr:colOff>657225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Q1345"/>
  <sheetViews>
    <sheetView zoomScale="85" zoomScaleNormal="85" workbookViewId="0">
      <selection activeCell="G1" sqref="G1"/>
    </sheetView>
  </sheetViews>
  <sheetFormatPr baseColWidth="10" defaultRowHeight="15" x14ac:dyDescent="0.25"/>
  <cols>
    <col min="1" max="1" width="10.7109375" bestFit="1" customWidth="1"/>
    <col min="2" max="2" width="16" bestFit="1" customWidth="1"/>
    <col min="3" max="3" width="19.140625" bestFit="1" customWidth="1"/>
    <col min="4" max="4" width="15.42578125" bestFit="1" customWidth="1"/>
    <col min="5" max="5" width="19.5703125" bestFit="1" customWidth="1"/>
    <col min="6" max="6" width="14.140625" bestFit="1" customWidth="1"/>
    <col min="7" max="7" width="11.140625" bestFit="1" customWidth="1"/>
    <col min="8" max="8" width="14.140625" bestFit="1" customWidth="1"/>
    <col min="9" max="9" width="8.42578125" bestFit="1" customWidth="1"/>
    <col min="10" max="10" width="15.28515625" bestFit="1" customWidth="1"/>
    <col min="11" max="11" width="17.85546875" style="14" bestFit="1" customWidth="1"/>
    <col min="12" max="12" width="19" style="14" bestFit="1" customWidth="1"/>
    <col min="13" max="13" width="23.140625" style="14" bestFit="1" customWidth="1"/>
    <col min="14" max="14" width="9.5703125" bestFit="1" customWidth="1"/>
    <col min="15" max="16" width="20.140625" bestFit="1" customWidth="1"/>
    <col min="17" max="17" width="17" bestFit="1" customWidth="1"/>
  </cols>
  <sheetData>
    <row r="1" spans="1:17" x14ac:dyDescent="0.25">
      <c r="A1" s="11" t="s">
        <v>3</v>
      </c>
      <c r="B1" s="11" t="s">
        <v>0</v>
      </c>
      <c r="C1" s="11" t="s">
        <v>1</v>
      </c>
      <c r="D1" s="11" t="s">
        <v>2</v>
      </c>
      <c r="E1" s="11" t="s">
        <v>24</v>
      </c>
      <c r="F1" s="11" t="s">
        <v>23</v>
      </c>
      <c r="G1" s="11" t="s">
        <v>27</v>
      </c>
      <c r="H1" s="11" t="s">
        <v>28</v>
      </c>
      <c r="I1" s="11" t="s">
        <v>29</v>
      </c>
      <c r="J1" s="11" t="s">
        <v>30</v>
      </c>
      <c r="K1" s="14" t="s">
        <v>31</v>
      </c>
      <c r="L1" s="14" t="s">
        <v>32</v>
      </c>
      <c r="M1" s="14" t="s">
        <v>34</v>
      </c>
      <c r="N1" t="s">
        <v>33</v>
      </c>
      <c r="O1" t="s">
        <v>36</v>
      </c>
      <c r="P1" s="16" t="s">
        <v>35</v>
      </c>
      <c r="Q1" t="s">
        <v>37</v>
      </c>
    </row>
    <row r="2" spans="1:17" x14ac:dyDescent="0.25">
      <c r="A2" s="11" t="s">
        <v>4</v>
      </c>
      <c r="B2" s="12">
        <v>43282</v>
      </c>
      <c r="C2" s="11">
        <v>2500</v>
      </c>
      <c r="D2" s="11">
        <v>20</v>
      </c>
      <c r="E2" s="11">
        <v>0.05</v>
      </c>
      <c r="F2" s="11">
        <v>240</v>
      </c>
      <c r="G2" s="13">
        <v>43312</v>
      </c>
      <c r="H2" s="11">
        <v>1</v>
      </c>
      <c r="I2" s="11">
        <v>1</v>
      </c>
      <c r="J2" s="11">
        <v>4.1666666666666666E-3</v>
      </c>
      <c r="K2" s="14">
        <v>2489.6265560165975</v>
      </c>
      <c r="L2" s="14">
        <v>378813.28268580697</v>
      </c>
      <c r="M2" s="36">
        <f>IF(Output[[#This Row],[Index]]=1,Output[[#This Row],[Droit Utilisation]],P1)</f>
        <v>378813.28268580697</v>
      </c>
      <c r="N2" s="15">
        <f>Output[[#This Row],[Capital Debut Period]]*Output[[#This Row],[Tx_interet_M]]</f>
        <v>1578.388677857529</v>
      </c>
      <c r="O2" s="15">
        <f>Output[[#This Row],[Mensualité initial]]-Output[[#This Row],[Interet]]</f>
        <v>921.61132214247095</v>
      </c>
      <c r="P2" s="15">
        <f>Output[[#This Row],[Capital Debut Period]]-Output[[#This Row],[Paiement Principal]]</f>
        <v>377891.6713636645</v>
      </c>
      <c r="Q2" s="15">
        <f>Output[[#This Row],[Droit Utilisation]]/Output[[#This Row],[Duree_Mois]]</f>
        <v>1578.388677857529</v>
      </c>
    </row>
    <row r="3" spans="1:17" x14ac:dyDescent="0.25">
      <c r="A3" s="11" t="s">
        <v>4</v>
      </c>
      <c r="B3" s="12">
        <v>43282</v>
      </c>
      <c r="C3" s="11">
        <v>2500</v>
      </c>
      <c r="D3" s="11">
        <v>20</v>
      </c>
      <c r="E3" s="11">
        <v>0.05</v>
      </c>
      <c r="F3" s="11">
        <v>240</v>
      </c>
      <c r="G3" s="13">
        <v>43343</v>
      </c>
      <c r="H3" s="11">
        <v>2</v>
      </c>
      <c r="I3" s="11">
        <v>2</v>
      </c>
      <c r="J3" s="11">
        <v>4.1666666666666666E-3</v>
      </c>
      <c r="K3" s="14">
        <v>2479.2961553692257</v>
      </c>
      <c r="L3" s="14">
        <v>378813.28268580697</v>
      </c>
      <c r="M3" s="36">
        <f>IF(Output[[#This Row],[Index]]=1,Output[[#This Row],[Droit Utilisation]],P2)</f>
        <v>377891.6713636645</v>
      </c>
      <c r="N3" s="15">
        <f>Output[[#This Row],[Capital Debut Period]]*Output[[#This Row],[Tx_interet_M]]</f>
        <v>1574.5486306819355</v>
      </c>
      <c r="O3" s="15">
        <f>Output[[#This Row],[Mensualité initial]]-Output[[#This Row],[Interet]]</f>
        <v>925.45136931806451</v>
      </c>
      <c r="P3" s="15">
        <f>Output[[#This Row],[Capital Debut Period]]-Output[[#This Row],[Paiement Principal]]</f>
        <v>376966.21999434644</v>
      </c>
      <c r="Q3" s="15">
        <f>Output[[#This Row],[Droit Utilisation]]/Output[[#This Row],[Duree_Mois]]</f>
        <v>1578.388677857529</v>
      </c>
    </row>
    <row r="4" spans="1:17" x14ac:dyDescent="0.25">
      <c r="A4" s="11" t="s">
        <v>4</v>
      </c>
      <c r="B4" s="12">
        <v>43282</v>
      </c>
      <c r="C4" s="11">
        <v>2500</v>
      </c>
      <c r="D4" s="11">
        <v>20</v>
      </c>
      <c r="E4" s="11">
        <v>0.05</v>
      </c>
      <c r="F4" s="11">
        <v>240</v>
      </c>
      <c r="G4" s="13">
        <v>43373</v>
      </c>
      <c r="H4" s="11">
        <v>3</v>
      </c>
      <c r="I4" s="11">
        <v>3</v>
      </c>
      <c r="J4" s="11">
        <v>4.1666666666666666E-3</v>
      </c>
      <c r="K4" s="14">
        <v>2469.0086194548308</v>
      </c>
      <c r="L4" s="14">
        <v>378813.28268580697</v>
      </c>
      <c r="M4" s="36">
        <f>IF(Output[[#This Row],[Index]]=1,Output[[#This Row],[Droit Utilisation]],P3)</f>
        <v>376966.21999434644</v>
      </c>
      <c r="N4" s="15">
        <f>Output[[#This Row],[Capital Debut Period]]*Output[[#This Row],[Tx_interet_M]]</f>
        <v>1570.6925833097769</v>
      </c>
      <c r="O4" s="15">
        <f>Output[[#This Row],[Mensualité initial]]-Output[[#This Row],[Interet]]</f>
        <v>929.30741669022314</v>
      </c>
      <c r="P4" s="15">
        <f>Output[[#This Row],[Capital Debut Period]]-Output[[#This Row],[Paiement Principal]]</f>
        <v>376036.91257765621</v>
      </c>
      <c r="Q4" s="15">
        <f>Output[[#This Row],[Droit Utilisation]]/Output[[#This Row],[Duree_Mois]]</f>
        <v>1578.388677857529</v>
      </c>
    </row>
    <row r="5" spans="1:17" x14ac:dyDescent="0.25">
      <c r="A5" s="11" t="s">
        <v>4</v>
      </c>
      <c r="B5" s="12">
        <v>43282</v>
      </c>
      <c r="C5" s="11">
        <v>2500</v>
      </c>
      <c r="D5" s="11">
        <v>20</v>
      </c>
      <c r="E5" s="11">
        <v>0.05</v>
      </c>
      <c r="F5" s="11">
        <v>240</v>
      </c>
      <c r="G5" s="13">
        <v>43404</v>
      </c>
      <c r="H5" s="11">
        <v>4</v>
      </c>
      <c r="I5" s="11">
        <v>4</v>
      </c>
      <c r="J5" s="11">
        <v>4.1666666666666666E-3</v>
      </c>
      <c r="K5" s="14">
        <v>2458.76377041145</v>
      </c>
      <c r="L5" s="14">
        <v>378813.28268580697</v>
      </c>
      <c r="M5" s="36">
        <f>IF(Output[[#This Row],[Index]]=1,Output[[#This Row],[Droit Utilisation]],P4)</f>
        <v>376036.91257765621</v>
      </c>
      <c r="N5" s="15">
        <f>Output[[#This Row],[Capital Debut Period]]*Output[[#This Row],[Tx_interet_M]]</f>
        <v>1566.8204690735674</v>
      </c>
      <c r="O5" s="15">
        <f>Output[[#This Row],[Mensualité initial]]-Output[[#This Row],[Interet]]</f>
        <v>933.17953092643256</v>
      </c>
      <c r="P5" s="15">
        <f>Output[[#This Row],[Capital Debut Period]]-Output[[#This Row],[Paiement Principal]]</f>
        <v>375103.73304672976</v>
      </c>
      <c r="Q5" s="15">
        <f>Output[[#This Row],[Droit Utilisation]]/Output[[#This Row],[Duree_Mois]]</f>
        <v>1578.388677857529</v>
      </c>
    </row>
    <row r="6" spans="1:17" x14ac:dyDescent="0.25">
      <c r="A6" s="11" t="s">
        <v>4</v>
      </c>
      <c r="B6" s="12">
        <v>43282</v>
      </c>
      <c r="C6" s="11">
        <v>2500</v>
      </c>
      <c r="D6" s="11">
        <v>20</v>
      </c>
      <c r="E6" s="11">
        <v>0.05</v>
      </c>
      <c r="F6" s="11">
        <v>240</v>
      </c>
      <c r="G6" s="13">
        <v>43434</v>
      </c>
      <c r="H6" s="11">
        <v>5</v>
      </c>
      <c r="I6" s="11">
        <v>5</v>
      </c>
      <c r="J6" s="11">
        <v>4.1666666666666666E-3</v>
      </c>
      <c r="K6" s="14">
        <v>2448.5614311151367</v>
      </c>
      <c r="L6" s="14">
        <v>378813.28268580697</v>
      </c>
      <c r="M6" s="36">
        <f>IF(Output[[#This Row],[Index]]=1,Output[[#This Row],[Droit Utilisation]],P5)</f>
        <v>375103.73304672976</v>
      </c>
      <c r="N6" s="15">
        <f>Output[[#This Row],[Capital Debut Period]]*Output[[#This Row],[Tx_interet_M]]</f>
        <v>1562.9322210280407</v>
      </c>
      <c r="O6" s="15">
        <f>Output[[#This Row],[Mensualité initial]]-Output[[#This Row],[Interet]]</f>
        <v>937.06777897195934</v>
      </c>
      <c r="P6" s="15">
        <f>Output[[#This Row],[Capital Debut Period]]-Output[[#This Row],[Paiement Principal]]</f>
        <v>374166.66526775778</v>
      </c>
      <c r="Q6" s="15">
        <f>Output[[#This Row],[Droit Utilisation]]/Output[[#This Row],[Duree_Mois]]</f>
        <v>1578.388677857529</v>
      </c>
    </row>
    <row r="7" spans="1:17" x14ac:dyDescent="0.25">
      <c r="A7" s="11" t="s">
        <v>4</v>
      </c>
      <c r="B7" s="12">
        <v>43282</v>
      </c>
      <c r="C7" s="11">
        <v>2500</v>
      </c>
      <c r="D7" s="11">
        <v>20</v>
      </c>
      <c r="E7" s="11">
        <v>0.05</v>
      </c>
      <c r="F7" s="11">
        <v>240</v>
      </c>
      <c r="G7" s="13">
        <v>43465</v>
      </c>
      <c r="H7" s="11">
        <v>6</v>
      </c>
      <c r="I7" s="11">
        <v>6</v>
      </c>
      <c r="J7" s="11">
        <v>4.1666666666666666E-3</v>
      </c>
      <c r="K7" s="14">
        <v>2438.4014251768995</v>
      </c>
      <c r="L7" s="14">
        <v>378813.28268580697</v>
      </c>
      <c r="M7" s="36">
        <f>IF(Output[[#This Row],[Index]]=1,Output[[#This Row],[Droit Utilisation]],P6)</f>
        <v>374166.66526775778</v>
      </c>
      <c r="N7" s="15">
        <f>Output[[#This Row],[Capital Debut Period]]*Output[[#This Row],[Tx_interet_M]]</f>
        <v>1559.0277719489907</v>
      </c>
      <c r="O7" s="15">
        <f>Output[[#This Row],[Mensualité initial]]-Output[[#This Row],[Interet]]</f>
        <v>940.97222805100932</v>
      </c>
      <c r="P7" s="15">
        <f>Output[[#This Row],[Capital Debut Period]]-Output[[#This Row],[Paiement Principal]]</f>
        <v>373225.69303970679</v>
      </c>
      <c r="Q7" s="15">
        <f>Output[[#This Row],[Droit Utilisation]]/Output[[#This Row],[Duree_Mois]]</f>
        <v>1578.388677857529</v>
      </c>
    </row>
    <row r="8" spans="1:17" x14ac:dyDescent="0.25">
      <c r="A8" s="11" t="s">
        <v>4</v>
      </c>
      <c r="B8" s="12">
        <v>43282</v>
      </c>
      <c r="C8" s="11">
        <v>2500</v>
      </c>
      <c r="D8" s="11">
        <v>20</v>
      </c>
      <c r="E8" s="11">
        <v>0.05</v>
      </c>
      <c r="F8" s="11">
        <v>240</v>
      </c>
      <c r="G8" s="13">
        <v>43496</v>
      </c>
      <c r="H8" s="11">
        <v>7</v>
      </c>
      <c r="I8" s="11">
        <v>7</v>
      </c>
      <c r="J8" s="11">
        <v>4.1666666666666666E-3</v>
      </c>
      <c r="K8" s="14">
        <v>2428.2835769396511</v>
      </c>
      <c r="L8" s="14">
        <v>378813.28268580697</v>
      </c>
      <c r="M8" s="36">
        <f>IF(Output[[#This Row],[Index]]=1,Output[[#This Row],[Droit Utilisation]],P7)</f>
        <v>373225.69303970679</v>
      </c>
      <c r="N8" s="15">
        <f>Output[[#This Row],[Capital Debut Period]]*Output[[#This Row],[Tx_interet_M]]</f>
        <v>1555.1070543321116</v>
      </c>
      <c r="O8" s="15">
        <f>Output[[#This Row],[Mensualité initial]]-Output[[#This Row],[Interet]]</f>
        <v>944.8929456678884</v>
      </c>
      <c r="P8" s="15">
        <f>Output[[#This Row],[Capital Debut Period]]-Output[[#This Row],[Paiement Principal]]</f>
        <v>372280.80009403889</v>
      </c>
      <c r="Q8" s="15">
        <f>Output[[#This Row],[Droit Utilisation]]/Output[[#This Row],[Duree_Mois]]</f>
        <v>1578.388677857529</v>
      </c>
    </row>
    <row r="9" spans="1:17" x14ac:dyDescent="0.25">
      <c r="A9" s="11" t="s">
        <v>4</v>
      </c>
      <c r="B9" s="12">
        <v>43282</v>
      </c>
      <c r="C9" s="11">
        <v>2500</v>
      </c>
      <c r="D9" s="11">
        <v>20</v>
      </c>
      <c r="E9" s="11">
        <v>0.05</v>
      </c>
      <c r="F9" s="11">
        <v>240</v>
      </c>
      <c r="G9" s="13">
        <v>43524</v>
      </c>
      <c r="H9" s="11">
        <v>8</v>
      </c>
      <c r="I9" s="11">
        <v>8</v>
      </c>
      <c r="J9" s="11">
        <v>4.1666666666666666E-3</v>
      </c>
      <c r="K9" s="14">
        <v>2418.2077114751714</v>
      </c>
      <c r="L9" s="14">
        <v>378813.28268580697</v>
      </c>
      <c r="M9" s="36">
        <f>IF(Output[[#This Row],[Index]]=1,Output[[#This Row],[Droit Utilisation]],P8)</f>
        <v>372280.80009403889</v>
      </c>
      <c r="N9" s="15">
        <f>Output[[#This Row],[Capital Debut Period]]*Output[[#This Row],[Tx_interet_M]]</f>
        <v>1551.1700003918286</v>
      </c>
      <c r="O9" s="15">
        <f>Output[[#This Row],[Mensualité initial]]-Output[[#This Row],[Interet]]</f>
        <v>948.82999960817142</v>
      </c>
      <c r="P9" s="15">
        <f>Output[[#This Row],[Capital Debut Period]]-Output[[#This Row],[Paiement Principal]]</f>
        <v>371331.97009443073</v>
      </c>
      <c r="Q9" s="15">
        <f>Output[[#This Row],[Droit Utilisation]]/Output[[#This Row],[Duree_Mois]]</f>
        <v>1578.388677857529</v>
      </c>
    </row>
    <row r="10" spans="1:17" x14ac:dyDescent="0.25">
      <c r="A10" s="11" t="s">
        <v>4</v>
      </c>
      <c r="B10" s="12">
        <v>43282</v>
      </c>
      <c r="C10" s="11">
        <v>2500</v>
      </c>
      <c r="D10" s="11">
        <v>20</v>
      </c>
      <c r="E10" s="11">
        <v>0.05</v>
      </c>
      <c r="F10" s="11">
        <v>240</v>
      </c>
      <c r="G10" s="13">
        <v>43555</v>
      </c>
      <c r="H10" s="11">
        <v>9</v>
      </c>
      <c r="I10" s="11">
        <v>9</v>
      </c>
      <c r="J10" s="11">
        <v>4.1666666666666666E-3</v>
      </c>
      <c r="K10" s="14">
        <v>2408.1736545810832</v>
      </c>
      <c r="L10" s="14">
        <v>378813.28268580697</v>
      </c>
      <c r="M10" s="36">
        <f>IF(Output[[#This Row],[Index]]=1,Output[[#This Row],[Droit Utilisation]],P9)</f>
        <v>371331.97009443073</v>
      </c>
      <c r="N10" s="15">
        <f>Output[[#This Row],[Capital Debut Period]]*Output[[#This Row],[Tx_interet_M]]</f>
        <v>1547.2165420601279</v>
      </c>
      <c r="O10" s="15">
        <f>Output[[#This Row],[Mensualité initial]]-Output[[#This Row],[Interet]]</f>
        <v>952.78345793987205</v>
      </c>
      <c r="P10" s="15">
        <f>Output[[#This Row],[Capital Debut Period]]-Output[[#This Row],[Paiement Principal]]</f>
        <v>370379.18663649086</v>
      </c>
      <c r="Q10" s="15">
        <f>Output[[#This Row],[Droit Utilisation]]/Output[[#This Row],[Duree_Mois]]</f>
        <v>1578.388677857529</v>
      </c>
    </row>
    <row r="11" spans="1:17" x14ac:dyDescent="0.25">
      <c r="A11" s="11" t="s">
        <v>4</v>
      </c>
      <c r="B11" s="12">
        <v>43282</v>
      </c>
      <c r="C11" s="11">
        <v>2500</v>
      </c>
      <c r="D11" s="11">
        <v>20</v>
      </c>
      <c r="E11" s="11">
        <v>0.05</v>
      </c>
      <c r="F11" s="11">
        <v>240</v>
      </c>
      <c r="G11" s="13">
        <v>43585</v>
      </c>
      <c r="H11" s="11">
        <v>10</v>
      </c>
      <c r="I11" s="11">
        <v>10</v>
      </c>
      <c r="J11" s="11">
        <v>4.1666666666666666E-3</v>
      </c>
      <c r="K11" s="14">
        <v>2398.1812327778425</v>
      </c>
      <c r="L11" s="14">
        <v>378813.28268580697</v>
      </c>
      <c r="M11" s="36">
        <f>IF(Output[[#This Row],[Index]]=1,Output[[#This Row],[Droit Utilisation]],P10)</f>
        <v>370379.18663649086</v>
      </c>
      <c r="N11" s="15">
        <f>Output[[#This Row],[Capital Debut Period]]*Output[[#This Row],[Tx_interet_M]]</f>
        <v>1543.2466109853785</v>
      </c>
      <c r="O11" s="15">
        <f>Output[[#This Row],[Mensualité initial]]-Output[[#This Row],[Interet]]</f>
        <v>956.75338901462146</v>
      </c>
      <c r="P11" s="15">
        <f>Output[[#This Row],[Capital Debut Period]]-Output[[#This Row],[Paiement Principal]]</f>
        <v>369422.43324747623</v>
      </c>
      <c r="Q11" s="15">
        <f>Output[[#This Row],[Droit Utilisation]]/Output[[#This Row],[Duree_Mois]]</f>
        <v>1578.388677857529</v>
      </c>
    </row>
    <row r="12" spans="1:17" x14ac:dyDescent="0.25">
      <c r="A12" s="11" t="s">
        <v>4</v>
      </c>
      <c r="B12" s="12">
        <v>43282</v>
      </c>
      <c r="C12" s="11">
        <v>2500</v>
      </c>
      <c r="D12" s="11">
        <v>20</v>
      </c>
      <c r="E12" s="11">
        <v>0.05</v>
      </c>
      <c r="F12" s="11">
        <v>240</v>
      </c>
      <c r="G12" s="13">
        <v>43616</v>
      </c>
      <c r="H12" s="11">
        <v>11</v>
      </c>
      <c r="I12" s="11">
        <v>11</v>
      </c>
      <c r="J12" s="11">
        <v>4.1666666666666666E-3</v>
      </c>
      <c r="K12" s="14">
        <v>2388.2302733057354</v>
      </c>
      <c r="L12" s="14">
        <v>378813.28268580697</v>
      </c>
      <c r="M12" s="36">
        <f>IF(Output[[#This Row],[Index]]=1,Output[[#This Row],[Droit Utilisation]],P11)</f>
        <v>369422.43324747623</v>
      </c>
      <c r="N12" s="15">
        <f>Output[[#This Row],[Capital Debut Period]]*Output[[#This Row],[Tx_interet_M]]</f>
        <v>1539.2601385311509</v>
      </c>
      <c r="O12" s="15">
        <f>Output[[#This Row],[Mensualité initial]]-Output[[#This Row],[Interet]]</f>
        <v>960.73986146884909</v>
      </c>
      <c r="P12" s="15">
        <f>Output[[#This Row],[Capital Debut Period]]-Output[[#This Row],[Paiement Principal]]</f>
        <v>368461.69338600739</v>
      </c>
      <c r="Q12" s="15">
        <f>Output[[#This Row],[Droit Utilisation]]/Output[[#This Row],[Duree_Mois]]</f>
        <v>1578.388677857529</v>
      </c>
    </row>
    <row r="13" spans="1:17" x14ac:dyDescent="0.25">
      <c r="A13" s="11" t="s">
        <v>4</v>
      </c>
      <c r="B13" s="12">
        <v>43282</v>
      </c>
      <c r="C13" s="11">
        <v>2500</v>
      </c>
      <c r="D13" s="11">
        <v>20</v>
      </c>
      <c r="E13" s="11">
        <v>0.05</v>
      </c>
      <c r="F13" s="11">
        <v>240</v>
      </c>
      <c r="G13" s="13">
        <v>43646</v>
      </c>
      <c r="H13" s="11">
        <v>12</v>
      </c>
      <c r="I13" s="11">
        <v>12</v>
      </c>
      <c r="J13" s="11">
        <v>4.1666666666666666E-3</v>
      </c>
      <c r="K13" s="14">
        <v>2378.3206041218941</v>
      </c>
      <c r="L13" s="14">
        <v>378813.28268580697</v>
      </c>
      <c r="M13" s="36">
        <f>IF(Output[[#This Row],[Index]]=1,Output[[#This Row],[Droit Utilisation]],P12)</f>
        <v>368461.69338600739</v>
      </c>
      <c r="N13" s="15">
        <f>Output[[#This Row],[Capital Debut Period]]*Output[[#This Row],[Tx_interet_M]]</f>
        <v>1535.2570557750307</v>
      </c>
      <c r="O13" s="15">
        <f>Output[[#This Row],[Mensualité initial]]-Output[[#This Row],[Interet]]</f>
        <v>964.74294422496928</v>
      </c>
      <c r="P13" s="15">
        <f>Output[[#This Row],[Capital Debut Period]]-Output[[#This Row],[Paiement Principal]]</f>
        <v>367496.95044178242</v>
      </c>
      <c r="Q13" s="15">
        <f>Output[[#This Row],[Droit Utilisation]]/Output[[#This Row],[Duree_Mois]]</f>
        <v>1578.388677857529</v>
      </c>
    </row>
    <row r="14" spans="1:17" x14ac:dyDescent="0.25">
      <c r="A14" s="11" t="s">
        <v>4</v>
      </c>
      <c r="B14" s="12">
        <v>43282</v>
      </c>
      <c r="C14" s="11">
        <v>2500</v>
      </c>
      <c r="D14" s="11">
        <v>20</v>
      </c>
      <c r="E14" s="11">
        <v>0.05</v>
      </c>
      <c r="F14" s="11">
        <v>240</v>
      </c>
      <c r="G14" s="13">
        <v>43677</v>
      </c>
      <c r="H14" s="11">
        <v>13</v>
      </c>
      <c r="I14" s="11">
        <v>13</v>
      </c>
      <c r="J14" s="11">
        <v>4.1666666666666666E-3</v>
      </c>
      <c r="K14" s="14">
        <v>2368.452053897322</v>
      </c>
      <c r="L14" s="14">
        <v>378813.28268580697</v>
      </c>
      <c r="M14" s="36">
        <f>IF(Output[[#This Row],[Index]]=1,Output[[#This Row],[Droit Utilisation]],P13)</f>
        <v>367496.95044178242</v>
      </c>
      <c r="N14" s="15">
        <f>Output[[#This Row],[Capital Debut Period]]*Output[[#This Row],[Tx_interet_M]]</f>
        <v>1531.2372935074268</v>
      </c>
      <c r="O14" s="15">
        <f>Output[[#This Row],[Mensualité initial]]-Output[[#This Row],[Interet]]</f>
        <v>968.76270649257322</v>
      </c>
      <c r="P14" s="15">
        <f>Output[[#This Row],[Capital Debut Period]]-Output[[#This Row],[Paiement Principal]]</f>
        <v>366528.18773528986</v>
      </c>
      <c r="Q14" s="15">
        <f>Output[[#This Row],[Droit Utilisation]]/Output[[#This Row],[Duree_Mois]]</f>
        <v>1578.388677857529</v>
      </c>
    </row>
    <row r="15" spans="1:17" x14ac:dyDescent="0.25">
      <c r="A15" s="11" t="s">
        <v>4</v>
      </c>
      <c r="B15" s="12">
        <v>43282</v>
      </c>
      <c r="C15" s="11">
        <v>2500</v>
      </c>
      <c r="D15" s="11">
        <v>20</v>
      </c>
      <c r="E15" s="11">
        <v>0.05</v>
      </c>
      <c r="F15" s="11">
        <v>240</v>
      </c>
      <c r="G15" s="13">
        <v>43708</v>
      </c>
      <c r="H15" s="11">
        <v>14</v>
      </c>
      <c r="I15" s="11">
        <v>14</v>
      </c>
      <c r="J15" s="11">
        <v>4.1666666666666666E-3</v>
      </c>
      <c r="K15" s="14">
        <v>2358.6244520139307</v>
      </c>
      <c r="L15" s="14">
        <v>378813.28268580697</v>
      </c>
      <c r="M15" s="36">
        <f>IF(Output[[#This Row],[Index]]=1,Output[[#This Row],[Droit Utilisation]],P14)</f>
        <v>366528.18773528986</v>
      </c>
      <c r="N15" s="15">
        <f>Output[[#This Row],[Capital Debut Period]]*Output[[#This Row],[Tx_interet_M]]</f>
        <v>1527.2007822303744</v>
      </c>
      <c r="O15" s="15">
        <f>Output[[#This Row],[Mensualité initial]]-Output[[#This Row],[Interet]]</f>
        <v>972.79921776962556</v>
      </c>
      <c r="P15" s="15">
        <f>Output[[#This Row],[Capital Debut Period]]-Output[[#This Row],[Paiement Principal]]</f>
        <v>365555.38851752022</v>
      </c>
      <c r="Q15" s="15">
        <f>Output[[#This Row],[Droit Utilisation]]/Output[[#This Row],[Duree_Mois]]</f>
        <v>1578.388677857529</v>
      </c>
    </row>
    <row r="16" spans="1:17" x14ac:dyDescent="0.25">
      <c r="A16" s="11" t="s">
        <v>4</v>
      </c>
      <c r="B16" s="12">
        <v>43282</v>
      </c>
      <c r="C16" s="11">
        <v>2500</v>
      </c>
      <c r="D16" s="11">
        <v>20</v>
      </c>
      <c r="E16" s="11">
        <v>0.05</v>
      </c>
      <c r="F16" s="11">
        <v>240</v>
      </c>
      <c r="G16" s="13">
        <v>43738</v>
      </c>
      <c r="H16" s="11">
        <v>15</v>
      </c>
      <c r="I16" s="11">
        <v>15</v>
      </c>
      <c r="J16" s="11">
        <v>4.1666666666666666E-3</v>
      </c>
      <c r="K16" s="14">
        <v>2348.8376285615905</v>
      </c>
      <c r="L16" s="14">
        <v>378813.28268580697</v>
      </c>
      <c r="M16" s="36">
        <f>IF(Output[[#This Row],[Index]]=1,Output[[#This Row],[Droit Utilisation]],P15)</f>
        <v>365555.38851752022</v>
      </c>
      <c r="N16" s="15">
        <f>Output[[#This Row],[Capital Debut Period]]*Output[[#This Row],[Tx_interet_M]]</f>
        <v>1523.1474521563341</v>
      </c>
      <c r="O16" s="15">
        <f>Output[[#This Row],[Mensualité initial]]-Output[[#This Row],[Interet]]</f>
        <v>976.85254784366589</v>
      </c>
      <c r="P16" s="15">
        <f>Output[[#This Row],[Capital Debut Period]]-Output[[#This Row],[Paiement Principal]]</f>
        <v>364578.53596967657</v>
      </c>
      <c r="Q16" s="15">
        <f>Output[[#This Row],[Droit Utilisation]]/Output[[#This Row],[Duree_Mois]]</f>
        <v>1578.388677857529</v>
      </c>
    </row>
    <row r="17" spans="1:17" x14ac:dyDescent="0.25">
      <c r="A17" s="11" t="s">
        <v>4</v>
      </c>
      <c r="B17" s="12">
        <v>43282</v>
      </c>
      <c r="C17">
        <v>2500</v>
      </c>
      <c r="D17">
        <v>20</v>
      </c>
      <c r="E17">
        <v>0.05</v>
      </c>
      <c r="F17">
        <v>240</v>
      </c>
      <c r="G17" s="13">
        <v>43769</v>
      </c>
      <c r="H17">
        <v>16</v>
      </c>
      <c r="I17">
        <v>16</v>
      </c>
      <c r="J17">
        <v>4.1666666666666666E-3</v>
      </c>
      <c r="K17" s="14">
        <v>2339.0914143351938</v>
      </c>
      <c r="L17" s="14">
        <v>378813.28268580697</v>
      </c>
      <c r="M17" s="36">
        <f>IF(Output[[#This Row],[Index]]=1,Output[[#This Row],[Droit Utilisation]],P16)</f>
        <v>364578.53596967657</v>
      </c>
      <c r="N17" s="15">
        <f>Output[[#This Row],[Capital Debut Period]]*Output[[#This Row],[Tx_interet_M]]</f>
        <v>1519.0772332069857</v>
      </c>
      <c r="O17" s="15">
        <f>Output[[#This Row],[Mensualité initial]]-Output[[#This Row],[Interet]]</f>
        <v>980.92276679301426</v>
      </c>
      <c r="P17" s="15">
        <f>Output[[#This Row],[Capital Debut Period]]-Output[[#This Row],[Paiement Principal]]</f>
        <v>363597.61320288357</v>
      </c>
      <c r="Q17" s="15">
        <f>Output[[#This Row],[Droit Utilisation]]/Output[[#This Row],[Duree_Mois]]</f>
        <v>1578.388677857529</v>
      </c>
    </row>
    <row r="18" spans="1:17" x14ac:dyDescent="0.25">
      <c r="A18" s="11" t="s">
        <v>4</v>
      </c>
      <c r="B18" s="12">
        <v>43282</v>
      </c>
      <c r="C18">
        <v>2500</v>
      </c>
      <c r="D18">
        <v>20</v>
      </c>
      <c r="E18">
        <v>0.05</v>
      </c>
      <c r="F18">
        <v>240</v>
      </c>
      <c r="G18" s="13">
        <v>43799</v>
      </c>
      <c r="H18">
        <v>17</v>
      </c>
      <c r="I18">
        <v>17</v>
      </c>
      <c r="J18">
        <v>4.1666666666666666E-3</v>
      </c>
      <c r="K18" s="14">
        <v>2329.3856408317288</v>
      </c>
      <c r="L18" s="14">
        <v>378813.28268580697</v>
      </c>
      <c r="M18" s="36">
        <f>IF(Output[[#This Row],[Index]]=1,Output[[#This Row],[Droit Utilisation]],P17)</f>
        <v>363597.61320288357</v>
      </c>
      <c r="N18" s="15">
        <f>Output[[#This Row],[Capital Debut Period]]*Output[[#This Row],[Tx_interet_M]]</f>
        <v>1514.9900550120149</v>
      </c>
      <c r="O18" s="15">
        <f>Output[[#This Row],[Mensualité initial]]-Output[[#This Row],[Interet]]</f>
        <v>985.00994498798514</v>
      </c>
      <c r="P18" s="15">
        <f>Output[[#This Row],[Capital Debut Period]]-Output[[#This Row],[Paiement Principal]]</f>
        <v>362612.60325789556</v>
      </c>
      <c r="Q18" s="15">
        <f>Output[[#This Row],[Droit Utilisation]]/Output[[#This Row],[Duree_Mois]]</f>
        <v>1578.388677857529</v>
      </c>
    </row>
    <row r="19" spans="1:17" x14ac:dyDescent="0.25">
      <c r="A19" s="11" t="s">
        <v>4</v>
      </c>
      <c r="B19" s="12">
        <v>43282</v>
      </c>
      <c r="C19">
        <v>2500</v>
      </c>
      <c r="D19">
        <v>20</v>
      </c>
      <c r="E19">
        <v>0.05</v>
      </c>
      <c r="F19">
        <v>240</v>
      </c>
      <c r="G19" s="13">
        <v>43830</v>
      </c>
      <c r="H19">
        <v>18</v>
      </c>
      <c r="I19">
        <v>18</v>
      </c>
      <c r="J19">
        <v>4.1666666666666666E-3</v>
      </c>
      <c r="K19" s="14">
        <v>2319.7201402473647</v>
      </c>
      <c r="L19" s="14">
        <v>378813.28268580697</v>
      </c>
      <c r="M19" s="36">
        <f>IF(Output[[#This Row],[Index]]=1,Output[[#This Row],[Droit Utilisation]],P18)</f>
        <v>362612.60325789556</v>
      </c>
      <c r="N19" s="15">
        <f>Output[[#This Row],[Capital Debut Period]]*Output[[#This Row],[Tx_interet_M]]</f>
        <v>1510.8858469078982</v>
      </c>
      <c r="O19" s="15">
        <f>Output[[#This Row],[Mensualité initial]]-Output[[#This Row],[Interet]]</f>
        <v>989.11415309210179</v>
      </c>
      <c r="P19" s="15">
        <f>Output[[#This Row],[Capital Debut Period]]-Output[[#This Row],[Paiement Principal]]</f>
        <v>361623.48910480348</v>
      </c>
      <c r="Q19" s="15">
        <f>Output[[#This Row],[Droit Utilisation]]/Output[[#This Row],[Duree_Mois]]</f>
        <v>1578.388677857529</v>
      </c>
    </row>
    <row r="20" spans="1:17" x14ac:dyDescent="0.25">
      <c r="A20" s="11" t="s">
        <v>4</v>
      </c>
      <c r="B20" s="12">
        <v>43282</v>
      </c>
      <c r="C20">
        <v>2500</v>
      </c>
      <c r="D20">
        <v>20</v>
      </c>
      <c r="E20">
        <v>0.05</v>
      </c>
      <c r="F20">
        <v>240</v>
      </c>
      <c r="G20" s="13">
        <v>43861</v>
      </c>
      <c r="H20">
        <v>19</v>
      </c>
      <c r="I20">
        <v>19</v>
      </c>
      <c r="J20">
        <v>4.1666666666666666E-3</v>
      </c>
      <c r="K20" s="14">
        <v>2310.0947454745542</v>
      </c>
      <c r="L20" s="14">
        <v>378813.28268580697</v>
      </c>
      <c r="M20" s="36">
        <f>IF(Output[[#This Row],[Index]]=1,Output[[#This Row],[Droit Utilisation]],P19)</f>
        <v>361623.48910480348</v>
      </c>
      <c r="N20" s="15">
        <f>Output[[#This Row],[Capital Debut Period]]*Output[[#This Row],[Tx_interet_M]]</f>
        <v>1506.7645379366811</v>
      </c>
      <c r="O20" s="15">
        <f>Output[[#This Row],[Mensualité initial]]-Output[[#This Row],[Interet]]</f>
        <v>993.23546206331889</v>
      </c>
      <c r="P20" s="15">
        <f>Output[[#This Row],[Capital Debut Period]]-Output[[#This Row],[Paiement Principal]]</f>
        <v>360630.25364274014</v>
      </c>
      <c r="Q20" s="15">
        <f>Output[[#This Row],[Droit Utilisation]]/Output[[#This Row],[Duree_Mois]]</f>
        <v>1578.388677857529</v>
      </c>
    </row>
    <row r="21" spans="1:17" x14ac:dyDescent="0.25">
      <c r="A21" s="11" t="s">
        <v>4</v>
      </c>
      <c r="B21" s="12">
        <v>43282</v>
      </c>
      <c r="C21">
        <v>2500</v>
      </c>
      <c r="D21">
        <v>20</v>
      </c>
      <c r="E21">
        <v>0.05</v>
      </c>
      <c r="F21">
        <v>240</v>
      </c>
      <c r="G21" s="13">
        <v>43890</v>
      </c>
      <c r="H21">
        <v>20</v>
      </c>
      <c r="I21">
        <v>20</v>
      </c>
      <c r="J21">
        <v>4.1666666666666666E-3</v>
      </c>
      <c r="K21" s="14">
        <v>2300.5092900991408</v>
      </c>
      <c r="L21" s="14">
        <v>378813.28268580697</v>
      </c>
      <c r="M21" s="36">
        <f>IF(Output[[#This Row],[Index]]=1,Output[[#This Row],[Droit Utilisation]],P20)</f>
        <v>360630.25364274014</v>
      </c>
      <c r="N21" s="15">
        <f>Output[[#This Row],[Capital Debut Period]]*Output[[#This Row],[Tx_interet_M]]</f>
        <v>1502.6260568447506</v>
      </c>
      <c r="O21" s="15">
        <f>Output[[#This Row],[Mensualité initial]]-Output[[#This Row],[Interet]]</f>
        <v>997.37394315524944</v>
      </c>
      <c r="P21" s="15">
        <f>Output[[#This Row],[Capital Debut Period]]-Output[[#This Row],[Paiement Principal]]</f>
        <v>359632.87969958491</v>
      </c>
      <c r="Q21" s="15">
        <f>Output[[#This Row],[Droit Utilisation]]/Output[[#This Row],[Duree_Mois]]</f>
        <v>1578.388677857529</v>
      </c>
    </row>
    <row r="22" spans="1:17" x14ac:dyDescent="0.25">
      <c r="A22" s="11" t="s">
        <v>4</v>
      </c>
      <c r="B22" s="12">
        <v>43282</v>
      </c>
      <c r="C22">
        <v>2500</v>
      </c>
      <c r="D22">
        <v>20</v>
      </c>
      <c r="E22">
        <v>0.05</v>
      </c>
      <c r="F22">
        <v>240</v>
      </c>
      <c r="G22" s="13">
        <v>43921</v>
      </c>
      <c r="H22">
        <v>21</v>
      </c>
      <c r="I22">
        <v>21</v>
      </c>
      <c r="J22">
        <v>4.1666666666666666E-3</v>
      </c>
      <c r="K22" s="14">
        <v>2290.9636083974851</v>
      </c>
      <c r="L22" s="14">
        <v>378813.28268580697</v>
      </c>
      <c r="M22" s="36">
        <f>IF(Output[[#This Row],[Index]]=1,Output[[#This Row],[Droit Utilisation]],P21)</f>
        <v>359632.87969958491</v>
      </c>
      <c r="N22" s="15">
        <f>Output[[#This Row],[Capital Debut Period]]*Output[[#This Row],[Tx_interet_M]]</f>
        <v>1498.4703320816038</v>
      </c>
      <c r="O22" s="15">
        <f>Output[[#This Row],[Mensualité initial]]-Output[[#This Row],[Interet]]</f>
        <v>1001.5296679183962</v>
      </c>
      <c r="P22" s="15">
        <f>Output[[#This Row],[Capital Debut Period]]-Output[[#This Row],[Paiement Principal]]</f>
        <v>358631.35003166652</v>
      </c>
      <c r="Q22" s="15">
        <f>Output[[#This Row],[Droit Utilisation]]/Output[[#This Row],[Duree_Mois]]</f>
        <v>1578.388677857529</v>
      </c>
    </row>
    <row r="23" spans="1:17" x14ac:dyDescent="0.25">
      <c r="A23" s="11" t="s">
        <v>4</v>
      </c>
      <c r="B23" s="12">
        <v>43282</v>
      </c>
      <c r="C23">
        <v>2500</v>
      </c>
      <c r="D23">
        <v>20</v>
      </c>
      <c r="E23">
        <v>0.05</v>
      </c>
      <c r="F23">
        <v>240</v>
      </c>
      <c r="G23" s="13">
        <v>43951</v>
      </c>
      <c r="H23">
        <v>22</v>
      </c>
      <c r="I23">
        <v>22</v>
      </c>
      <c r="J23">
        <v>4.1666666666666666E-3</v>
      </c>
      <c r="K23" s="14">
        <v>2281.4575353335949</v>
      </c>
      <c r="L23" s="14">
        <v>378813.28268580697</v>
      </c>
      <c r="M23" s="36">
        <f>IF(Output[[#This Row],[Index]]=1,Output[[#This Row],[Droit Utilisation]],P22)</f>
        <v>358631.35003166652</v>
      </c>
      <c r="N23" s="15">
        <f>Output[[#This Row],[Capital Debut Period]]*Output[[#This Row],[Tx_interet_M]]</f>
        <v>1494.2972917986106</v>
      </c>
      <c r="O23" s="15">
        <f>Output[[#This Row],[Mensualité initial]]-Output[[#This Row],[Interet]]</f>
        <v>1005.7027082013894</v>
      </c>
      <c r="P23" s="15">
        <f>Output[[#This Row],[Capital Debut Period]]-Output[[#This Row],[Paiement Principal]]</f>
        <v>357625.64732346515</v>
      </c>
      <c r="Q23" s="15">
        <f>Output[[#This Row],[Droit Utilisation]]/Output[[#This Row],[Duree_Mois]]</f>
        <v>1578.388677857529</v>
      </c>
    </row>
    <row r="24" spans="1:17" x14ac:dyDescent="0.25">
      <c r="A24" s="11" t="s">
        <v>4</v>
      </c>
      <c r="B24" s="12">
        <v>43282</v>
      </c>
      <c r="C24">
        <v>2500</v>
      </c>
      <c r="D24">
        <v>20</v>
      </c>
      <c r="E24">
        <v>0.05</v>
      </c>
      <c r="F24">
        <v>240</v>
      </c>
      <c r="G24" s="13">
        <v>43982</v>
      </c>
      <c r="H24">
        <v>23</v>
      </c>
      <c r="I24">
        <v>23</v>
      </c>
      <c r="J24">
        <v>4.1666666666666666E-3</v>
      </c>
      <c r="K24" s="14">
        <v>2271.990906556277</v>
      </c>
      <c r="L24" s="14">
        <v>378813.28268580697</v>
      </c>
      <c r="M24" s="36">
        <f>IF(Output[[#This Row],[Index]]=1,Output[[#This Row],[Droit Utilisation]],P23)</f>
        <v>357625.64732346515</v>
      </c>
      <c r="N24" s="15">
        <f>Output[[#This Row],[Capital Debut Period]]*Output[[#This Row],[Tx_interet_M]]</f>
        <v>1490.1068638477714</v>
      </c>
      <c r="O24" s="15">
        <f>Output[[#This Row],[Mensualité initial]]-Output[[#This Row],[Interet]]</f>
        <v>1009.8931361522286</v>
      </c>
      <c r="P24" s="15">
        <f>Output[[#This Row],[Capital Debut Period]]-Output[[#This Row],[Paiement Principal]]</f>
        <v>356615.75418731291</v>
      </c>
      <c r="Q24" s="15">
        <f>Output[[#This Row],[Droit Utilisation]]/Output[[#This Row],[Duree_Mois]]</f>
        <v>1578.388677857529</v>
      </c>
    </row>
    <row r="25" spans="1:17" x14ac:dyDescent="0.25">
      <c r="A25" s="11" t="s">
        <v>4</v>
      </c>
      <c r="B25" s="12">
        <v>43282</v>
      </c>
      <c r="C25">
        <v>2500</v>
      </c>
      <c r="D25">
        <v>20</v>
      </c>
      <c r="E25">
        <v>0.05</v>
      </c>
      <c r="F25">
        <v>240</v>
      </c>
      <c r="G25" s="13">
        <v>44012</v>
      </c>
      <c r="H25">
        <v>24</v>
      </c>
      <c r="I25">
        <v>24</v>
      </c>
      <c r="J25">
        <v>4.1666666666666666E-3</v>
      </c>
      <c r="K25" s="14">
        <v>2262.5635583962926</v>
      </c>
      <c r="L25" s="14">
        <v>378813.28268580697</v>
      </c>
      <c r="M25" s="36">
        <f>IF(Output[[#This Row],[Index]]=1,Output[[#This Row],[Droit Utilisation]],P24)</f>
        <v>356615.75418731291</v>
      </c>
      <c r="N25" s="15">
        <f>Output[[#This Row],[Capital Debut Period]]*Output[[#This Row],[Tx_interet_M]]</f>
        <v>1485.8989757804704</v>
      </c>
      <c r="O25" s="15">
        <f>Output[[#This Row],[Mensualité initial]]-Output[[#This Row],[Interet]]</f>
        <v>1014.1010242195296</v>
      </c>
      <c r="P25" s="15">
        <f>Output[[#This Row],[Capital Debut Period]]-Output[[#This Row],[Paiement Principal]]</f>
        <v>355601.65316309338</v>
      </c>
      <c r="Q25" s="15">
        <f>Output[[#This Row],[Droit Utilisation]]/Output[[#This Row],[Duree_Mois]]</f>
        <v>1578.388677857529</v>
      </c>
    </row>
    <row r="26" spans="1:17" x14ac:dyDescent="0.25">
      <c r="A26" s="11" t="s">
        <v>4</v>
      </c>
      <c r="B26" s="12">
        <v>43282</v>
      </c>
      <c r="C26">
        <v>2500</v>
      </c>
      <c r="D26">
        <v>20</v>
      </c>
      <c r="E26">
        <v>0.05</v>
      </c>
      <c r="F26">
        <v>240</v>
      </c>
      <c r="G26" s="13">
        <v>44043</v>
      </c>
      <c r="H26">
        <v>25</v>
      </c>
      <c r="I26">
        <v>25</v>
      </c>
      <c r="J26">
        <v>4.1666666666666666E-3</v>
      </c>
      <c r="K26" s="14">
        <v>2253.1753278635279</v>
      </c>
      <c r="L26" s="14">
        <v>378813.28268580697</v>
      </c>
      <c r="M26" s="36">
        <f>IF(Output[[#This Row],[Index]]=1,Output[[#This Row],[Droit Utilisation]],P25)</f>
        <v>355601.65316309338</v>
      </c>
      <c r="N26" s="15">
        <f>Output[[#This Row],[Capital Debut Period]]*Output[[#This Row],[Tx_interet_M]]</f>
        <v>1481.6735548462225</v>
      </c>
      <c r="O26" s="15">
        <f>Output[[#This Row],[Mensualité initial]]-Output[[#This Row],[Interet]]</f>
        <v>1018.3264451537775</v>
      </c>
      <c r="P26" s="15">
        <f>Output[[#This Row],[Capital Debut Period]]-Output[[#This Row],[Paiement Principal]]</f>
        <v>354583.32671793958</v>
      </c>
      <c r="Q26" s="15">
        <f>Output[[#This Row],[Droit Utilisation]]/Output[[#This Row],[Duree_Mois]]</f>
        <v>1578.388677857529</v>
      </c>
    </row>
    <row r="27" spans="1:17" x14ac:dyDescent="0.25">
      <c r="A27" s="11" t="s">
        <v>4</v>
      </c>
      <c r="B27" s="12">
        <v>43282</v>
      </c>
      <c r="C27">
        <v>2500</v>
      </c>
      <c r="D27">
        <v>20</v>
      </c>
      <c r="E27">
        <v>0.05</v>
      </c>
      <c r="F27">
        <v>240</v>
      </c>
      <c r="G27" s="13">
        <v>44074</v>
      </c>
      <c r="H27">
        <v>26</v>
      </c>
      <c r="I27">
        <v>26</v>
      </c>
      <c r="J27">
        <v>4.1666666666666666E-3</v>
      </c>
      <c r="K27" s="14">
        <v>2243.8260526441773</v>
      </c>
      <c r="L27" s="14">
        <v>378813.28268580697</v>
      </c>
      <c r="M27" s="36">
        <f>IF(Output[[#This Row],[Index]]=1,Output[[#This Row],[Droit Utilisation]],P26)</f>
        <v>354583.32671793958</v>
      </c>
      <c r="N27" s="15">
        <f>Output[[#This Row],[Capital Debut Period]]*Output[[#This Row],[Tx_interet_M]]</f>
        <v>1477.4305279914149</v>
      </c>
      <c r="O27" s="15">
        <f>Output[[#This Row],[Mensualité initial]]-Output[[#This Row],[Interet]]</f>
        <v>1022.5694720085851</v>
      </c>
      <c r="P27" s="15">
        <f>Output[[#This Row],[Capital Debut Period]]-Output[[#This Row],[Paiement Principal]]</f>
        <v>353560.75724593102</v>
      </c>
      <c r="Q27" s="15">
        <f>Output[[#This Row],[Droit Utilisation]]/Output[[#This Row],[Duree_Mois]]</f>
        <v>1578.388677857529</v>
      </c>
    </row>
    <row r="28" spans="1:17" x14ac:dyDescent="0.25">
      <c r="A28" s="11" t="s">
        <v>4</v>
      </c>
      <c r="B28" s="12">
        <v>43282</v>
      </c>
      <c r="C28">
        <v>2500</v>
      </c>
      <c r="D28">
        <v>20</v>
      </c>
      <c r="E28">
        <v>0.05</v>
      </c>
      <c r="F28">
        <v>240</v>
      </c>
      <c r="G28" s="13">
        <v>44104</v>
      </c>
      <c r="H28">
        <v>27</v>
      </c>
      <c r="I28">
        <v>27</v>
      </c>
      <c r="J28">
        <v>4.1666666666666666E-3</v>
      </c>
      <c r="K28" s="14">
        <v>2234.5155710979357</v>
      </c>
      <c r="L28" s="14">
        <v>378813.28268580697</v>
      </c>
      <c r="M28" s="36">
        <f>IF(Output[[#This Row],[Index]]=1,Output[[#This Row],[Droit Utilisation]],P27)</f>
        <v>353560.75724593102</v>
      </c>
      <c r="N28" s="15">
        <f>Output[[#This Row],[Capital Debut Period]]*Output[[#This Row],[Tx_interet_M]]</f>
        <v>1473.1698218580459</v>
      </c>
      <c r="O28" s="15">
        <f>Output[[#This Row],[Mensualité initial]]-Output[[#This Row],[Interet]]</f>
        <v>1026.8301781419541</v>
      </c>
      <c r="P28" s="15">
        <f>Output[[#This Row],[Capital Debut Period]]-Output[[#This Row],[Paiement Principal]]</f>
        <v>352533.92706778907</v>
      </c>
      <c r="Q28" s="15">
        <f>Output[[#This Row],[Droit Utilisation]]/Output[[#This Row],[Duree_Mois]]</f>
        <v>1578.388677857529</v>
      </c>
    </row>
    <row r="29" spans="1:17" x14ac:dyDescent="0.25">
      <c r="A29" s="11" t="s">
        <v>4</v>
      </c>
      <c r="B29" s="12">
        <v>43282</v>
      </c>
      <c r="C29">
        <v>2500</v>
      </c>
      <c r="D29">
        <v>20</v>
      </c>
      <c r="E29">
        <v>0.05</v>
      </c>
      <c r="F29">
        <v>240</v>
      </c>
      <c r="G29" s="13">
        <v>44135</v>
      </c>
      <c r="H29">
        <v>28</v>
      </c>
      <c r="I29">
        <v>28</v>
      </c>
      <c r="J29">
        <v>4.1666666666666666E-3</v>
      </c>
      <c r="K29" s="14">
        <v>2225.2437222552057</v>
      </c>
      <c r="L29" s="14">
        <v>378813.28268580697</v>
      </c>
      <c r="M29" s="36">
        <f>IF(Output[[#This Row],[Index]]=1,Output[[#This Row],[Droit Utilisation]],P28)</f>
        <v>352533.92706778907</v>
      </c>
      <c r="N29" s="15">
        <f>Output[[#This Row],[Capital Debut Period]]*Output[[#This Row],[Tx_interet_M]]</f>
        <v>1468.8913627824545</v>
      </c>
      <c r="O29" s="15">
        <f>Output[[#This Row],[Mensualité initial]]-Output[[#This Row],[Interet]]</f>
        <v>1031.1086372175455</v>
      </c>
      <c r="P29" s="15">
        <f>Output[[#This Row],[Capital Debut Period]]-Output[[#This Row],[Paiement Principal]]</f>
        <v>351502.81843057153</v>
      </c>
      <c r="Q29" s="15">
        <f>Output[[#This Row],[Droit Utilisation]]/Output[[#This Row],[Duree_Mois]]</f>
        <v>1578.388677857529</v>
      </c>
    </row>
    <row r="30" spans="1:17" x14ac:dyDescent="0.25">
      <c r="A30" s="11" t="s">
        <v>4</v>
      </c>
      <c r="B30" s="12">
        <v>43282</v>
      </c>
      <c r="C30">
        <v>2500</v>
      </c>
      <c r="D30">
        <v>20</v>
      </c>
      <c r="E30">
        <v>0.05</v>
      </c>
      <c r="F30">
        <v>240</v>
      </c>
      <c r="G30" s="13">
        <v>44165</v>
      </c>
      <c r="H30">
        <v>29</v>
      </c>
      <c r="I30">
        <v>29</v>
      </c>
      <c r="J30">
        <v>4.1666666666666666E-3</v>
      </c>
      <c r="K30" s="14">
        <v>2216.010345814313</v>
      </c>
      <c r="L30" s="14">
        <v>378813.28268580697</v>
      </c>
      <c r="M30" s="36">
        <f>IF(Output[[#This Row],[Index]]=1,Output[[#This Row],[Droit Utilisation]],P29)</f>
        <v>351502.81843057153</v>
      </c>
      <c r="N30" s="15">
        <f>Output[[#This Row],[Capital Debut Period]]*Output[[#This Row],[Tx_interet_M]]</f>
        <v>1464.5950767940481</v>
      </c>
      <c r="O30" s="15">
        <f>Output[[#This Row],[Mensualité initial]]-Output[[#This Row],[Interet]]</f>
        <v>1035.4049232059519</v>
      </c>
      <c r="P30" s="15">
        <f>Output[[#This Row],[Capital Debut Period]]-Output[[#This Row],[Paiement Principal]]</f>
        <v>350467.41350736556</v>
      </c>
      <c r="Q30" s="15">
        <f>Output[[#This Row],[Droit Utilisation]]/Output[[#This Row],[Duree_Mois]]</f>
        <v>1578.388677857529</v>
      </c>
    </row>
    <row r="31" spans="1:17" x14ac:dyDescent="0.25">
      <c r="A31" s="11" t="s">
        <v>4</v>
      </c>
      <c r="B31" s="12">
        <v>43282</v>
      </c>
      <c r="C31">
        <v>2500</v>
      </c>
      <c r="D31">
        <v>20</v>
      </c>
      <c r="E31">
        <v>0.05</v>
      </c>
      <c r="F31">
        <v>240</v>
      </c>
      <c r="G31" s="13">
        <v>44196</v>
      </c>
      <c r="H31">
        <v>30</v>
      </c>
      <c r="I31">
        <v>30</v>
      </c>
      <c r="J31">
        <v>4.1666666666666666E-3</v>
      </c>
      <c r="K31" s="14">
        <v>2206.8152821387348</v>
      </c>
      <c r="L31" s="14">
        <v>378813.28268580697</v>
      </c>
      <c r="M31" s="36">
        <f>IF(Output[[#This Row],[Index]]=1,Output[[#This Row],[Droit Utilisation]],P30)</f>
        <v>350467.41350736556</v>
      </c>
      <c r="N31" s="15">
        <f>Output[[#This Row],[Capital Debut Period]]*Output[[#This Row],[Tx_interet_M]]</f>
        <v>1460.2808896140232</v>
      </c>
      <c r="O31" s="15">
        <f>Output[[#This Row],[Mensualité initial]]-Output[[#This Row],[Interet]]</f>
        <v>1039.7191103859768</v>
      </c>
      <c r="P31" s="15">
        <f>Output[[#This Row],[Capital Debut Period]]-Output[[#This Row],[Paiement Principal]]</f>
        <v>349427.69439697958</v>
      </c>
      <c r="Q31" s="15">
        <f>Output[[#This Row],[Droit Utilisation]]/Output[[#This Row],[Duree_Mois]]</f>
        <v>1578.388677857529</v>
      </c>
    </row>
    <row r="32" spans="1:17" x14ac:dyDescent="0.25">
      <c r="A32" s="11" t="s">
        <v>4</v>
      </c>
      <c r="B32" s="12">
        <v>43282</v>
      </c>
      <c r="C32">
        <v>2500</v>
      </c>
      <c r="D32">
        <v>20</v>
      </c>
      <c r="E32">
        <v>0.05</v>
      </c>
      <c r="F32">
        <v>240</v>
      </c>
      <c r="G32" s="13">
        <v>44227</v>
      </c>
      <c r="H32">
        <v>31</v>
      </c>
      <c r="I32">
        <v>31</v>
      </c>
      <c r="J32">
        <v>4.1666666666666666E-3</v>
      </c>
      <c r="K32" s="14">
        <v>2197.6583722543419</v>
      </c>
      <c r="L32" s="14">
        <v>378813.28268580697</v>
      </c>
      <c r="M32" s="36">
        <f>IF(Output[[#This Row],[Index]]=1,Output[[#This Row],[Droit Utilisation]],P31)</f>
        <v>349427.69439697958</v>
      </c>
      <c r="N32" s="15">
        <f>Output[[#This Row],[Capital Debut Period]]*Output[[#This Row],[Tx_interet_M]]</f>
        <v>1455.9487266540816</v>
      </c>
      <c r="O32" s="15">
        <f>Output[[#This Row],[Mensualité initial]]-Output[[#This Row],[Interet]]</f>
        <v>1044.0512733459184</v>
      </c>
      <c r="P32" s="15">
        <f>Output[[#This Row],[Capital Debut Period]]-Output[[#This Row],[Paiement Principal]]</f>
        <v>348383.64312363364</v>
      </c>
      <c r="Q32" s="15">
        <f>Output[[#This Row],[Droit Utilisation]]/Output[[#This Row],[Duree_Mois]]</f>
        <v>1578.388677857529</v>
      </c>
    </row>
    <row r="33" spans="1:17" x14ac:dyDescent="0.25">
      <c r="A33" s="11" t="s">
        <v>4</v>
      </c>
      <c r="B33" s="12">
        <v>43282</v>
      </c>
      <c r="C33">
        <v>2500</v>
      </c>
      <c r="D33">
        <v>20</v>
      </c>
      <c r="E33">
        <v>0.05</v>
      </c>
      <c r="F33">
        <v>240</v>
      </c>
      <c r="G33" s="13">
        <v>44255</v>
      </c>
      <c r="H33">
        <v>32</v>
      </c>
      <c r="I33">
        <v>32</v>
      </c>
      <c r="J33">
        <v>4.1666666666666666E-3</v>
      </c>
      <c r="K33" s="14">
        <v>2188.5394578466476</v>
      </c>
      <c r="L33" s="14">
        <v>378813.28268580697</v>
      </c>
      <c r="M33" s="36">
        <f>IF(Output[[#This Row],[Index]]=1,Output[[#This Row],[Droit Utilisation]],P32)</f>
        <v>348383.64312363364</v>
      </c>
      <c r="N33" s="15">
        <f>Output[[#This Row],[Capital Debut Period]]*Output[[#This Row],[Tx_interet_M]]</f>
        <v>1451.59851301514</v>
      </c>
      <c r="O33" s="15">
        <f>Output[[#This Row],[Mensualité initial]]-Output[[#This Row],[Interet]]</f>
        <v>1048.40148698486</v>
      </c>
      <c r="P33" s="15">
        <f>Output[[#This Row],[Capital Debut Period]]-Output[[#This Row],[Paiement Principal]]</f>
        <v>347335.24163664877</v>
      </c>
      <c r="Q33" s="15">
        <f>Output[[#This Row],[Droit Utilisation]]/Output[[#This Row],[Duree_Mois]]</f>
        <v>1578.388677857529</v>
      </c>
    </row>
    <row r="34" spans="1:17" x14ac:dyDescent="0.25">
      <c r="A34" s="11" t="s">
        <v>4</v>
      </c>
      <c r="B34" s="12">
        <v>43282</v>
      </c>
      <c r="C34">
        <v>2500</v>
      </c>
      <c r="D34">
        <v>20</v>
      </c>
      <c r="E34">
        <v>0.05</v>
      </c>
      <c r="F34">
        <v>240</v>
      </c>
      <c r="G34" s="13">
        <v>44286</v>
      </c>
      <c r="H34">
        <v>33</v>
      </c>
      <c r="I34">
        <v>33</v>
      </c>
      <c r="J34">
        <v>4.1666666666666666E-3</v>
      </c>
      <c r="K34" s="14">
        <v>2179.4583812580722</v>
      </c>
      <c r="L34" s="14">
        <v>378813.28268580697</v>
      </c>
      <c r="M34" s="36">
        <f>IF(Output[[#This Row],[Index]]=1,Output[[#This Row],[Droit Utilisation]],P33)</f>
        <v>347335.24163664877</v>
      </c>
      <c r="N34" s="15">
        <f>Output[[#This Row],[Capital Debut Period]]*Output[[#This Row],[Tx_interet_M]]</f>
        <v>1447.2301734860366</v>
      </c>
      <c r="O34" s="15">
        <f>Output[[#This Row],[Mensualité initial]]-Output[[#This Row],[Interet]]</f>
        <v>1052.7698265139634</v>
      </c>
      <c r="P34" s="15">
        <f>Output[[#This Row],[Capital Debut Period]]-Output[[#This Row],[Paiement Principal]]</f>
        <v>346282.47181013483</v>
      </c>
      <c r="Q34" s="15">
        <f>Output[[#This Row],[Droit Utilisation]]/Output[[#This Row],[Duree_Mois]]</f>
        <v>1578.388677857529</v>
      </c>
    </row>
    <row r="35" spans="1:17" x14ac:dyDescent="0.25">
      <c r="A35" s="11" t="s">
        <v>4</v>
      </c>
      <c r="B35" s="12">
        <v>43282</v>
      </c>
      <c r="C35">
        <v>2500</v>
      </c>
      <c r="D35">
        <v>20</v>
      </c>
      <c r="E35">
        <v>0.05</v>
      </c>
      <c r="F35">
        <v>240</v>
      </c>
      <c r="G35" s="13">
        <v>44316</v>
      </c>
      <c r="H35">
        <v>34</v>
      </c>
      <c r="I35">
        <v>34</v>
      </c>
      <c r="J35">
        <v>4.1666666666666666E-3</v>
      </c>
      <c r="K35" s="14">
        <v>2170.4149854852171</v>
      </c>
      <c r="L35" s="14">
        <v>378813.28268580697</v>
      </c>
      <c r="M35" s="36">
        <f>IF(Output[[#This Row],[Index]]=1,Output[[#This Row],[Droit Utilisation]],P34)</f>
        <v>346282.47181013483</v>
      </c>
      <c r="N35" s="15">
        <f>Output[[#This Row],[Capital Debut Period]]*Output[[#This Row],[Tx_interet_M]]</f>
        <v>1442.8436325422285</v>
      </c>
      <c r="O35" s="15">
        <f>Output[[#This Row],[Mensualité initial]]-Output[[#This Row],[Interet]]</f>
        <v>1057.1563674577715</v>
      </c>
      <c r="P35" s="15">
        <f>Output[[#This Row],[Capital Debut Period]]-Output[[#This Row],[Paiement Principal]]</f>
        <v>345225.31544267706</v>
      </c>
      <c r="Q35" s="15">
        <f>Output[[#This Row],[Droit Utilisation]]/Output[[#This Row],[Duree_Mois]]</f>
        <v>1578.388677857529</v>
      </c>
    </row>
    <row r="36" spans="1:17" x14ac:dyDescent="0.25">
      <c r="A36" s="11" t="s">
        <v>4</v>
      </c>
      <c r="B36" s="12">
        <v>43282</v>
      </c>
      <c r="C36">
        <v>2500</v>
      </c>
      <c r="D36">
        <v>20</v>
      </c>
      <c r="E36">
        <v>0.05</v>
      </c>
      <c r="F36">
        <v>240</v>
      </c>
      <c r="G36" s="13">
        <v>44347</v>
      </c>
      <c r="H36">
        <v>35</v>
      </c>
      <c r="I36">
        <v>35</v>
      </c>
      <c r="J36">
        <v>4.1666666666666666E-3</v>
      </c>
      <c r="K36" s="14">
        <v>2161.4091141761501</v>
      </c>
      <c r="L36" s="14">
        <v>378813.28268580697</v>
      </c>
      <c r="M36" s="36">
        <f>IF(Output[[#This Row],[Index]]=1,Output[[#This Row],[Droit Utilisation]],P35)</f>
        <v>345225.31544267706</v>
      </c>
      <c r="N36" s="15">
        <f>Output[[#This Row],[Capital Debut Period]]*Output[[#This Row],[Tx_interet_M]]</f>
        <v>1438.4388143444878</v>
      </c>
      <c r="O36" s="15">
        <f>Output[[#This Row],[Mensualité initial]]-Output[[#This Row],[Interet]]</f>
        <v>1061.5611856555122</v>
      </c>
      <c r="P36" s="15">
        <f>Output[[#This Row],[Capital Debut Period]]-Output[[#This Row],[Paiement Principal]]</f>
        <v>344163.75425702153</v>
      </c>
      <c r="Q36" s="15">
        <f>Output[[#This Row],[Droit Utilisation]]/Output[[#This Row],[Duree_Mois]]</f>
        <v>1578.388677857529</v>
      </c>
    </row>
    <row r="37" spans="1:17" x14ac:dyDescent="0.25">
      <c r="A37" s="11" t="s">
        <v>4</v>
      </c>
      <c r="B37" s="12">
        <v>43282</v>
      </c>
      <c r="C37">
        <v>2500</v>
      </c>
      <c r="D37">
        <v>20</v>
      </c>
      <c r="E37">
        <v>0.05</v>
      </c>
      <c r="F37">
        <v>240</v>
      </c>
      <c r="G37" s="13">
        <v>44377</v>
      </c>
      <c r="H37">
        <v>36</v>
      </c>
      <c r="I37">
        <v>36</v>
      </c>
      <c r="J37">
        <v>4.1666666666666666E-3</v>
      </c>
      <c r="K37" s="14">
        <v>2152.4406116277009</v>
      </c>
      <c r="L37" s="14">
        <v>378813.28268580697</v>
      </c>
      <c r="M37" s="36">
        <f>IF(Output[[#This Row],[Index]]=1,Output[[#This Row],[Droit Utilisation]],P36)</f>
        <v>344163.75425702153</v>
      </c>
      <c r="N37" s="15">
        <f>Output[[#This Row],[Capital Debut Period]]*Output[[#This Row],[Tx_interet_M]]</f>
        <v>1434.0156427375896</v>
      </c>
      <c r="O37" s="15">
        <f>Output[[#This Row],[Mensualité initial]]-Output[[#This Row],[Interet]]</f>
        <v>1065.9843572624104</v>
      </c>
      <c r="P37" s="15">
        <f>Output[[#This Row],[Capital Debut Period]]-Output[[#This Row],[Paiement Principal]]</f>
        <v>343097.76989975909</v>
      </c>
      <c r="Q37" s="15">
        <f>Output[[#This Row],[Droit Utilisation]]/Output[[#This Row],[Duree_Mois]]</f>
        <v>1578.388677857529</v>
      </c>
    </row>
    <row r="38" spans="1:17" x14ac:dyDescent="0.25">
      <c r="A38" s="11" t="s">
        <v>4</v>
      </c>
      <c r="B38" s="12">
        <v>43282</v>
      </c>
      <c r="C38">
        <v>2500</v>
      </c>
      <c r="D38">
        <v>20</v>
      </c>
      <c r="E38">
        <v>0.05</v>
      </c>
      <c r="F38">
        <v>240</v>
      </c>
      <c r="G38" s="13">
        <v>44408</v>
      </c>
      <c r="H38">
        <v>37</v>
      </c>
      <c r="I38">
        <v>37</v>
      </c>
      <c r="J38">
        <v>4.1666666666666666E-3</v>
      </c>
      <c r="K38" s="14">
        <v>2143.5093227827729</v>
      </c>
      <c r="L38" s="14">
        <v>378813.28268580697</v>
      </c>
      <c r="M38" s="36">
        <f>IF(Output[[#This Row],[Index]]=1,Output[[#This Row],[Droit Utilisation]],P37)</f>
        <v>343097.76989975909</v>
      </c>
      <c r="N38" s="15">
        <f>Output[[#This Row],[Capital Debut Period]]*Output[[#This Row],[Tx_interet_M]]</f>
        <v>1429.5740412489963</v>
      </c>
      <c r="O38" s="15">
        <f>Output[[#This Row],[Mensualité initial]]-Output[[#This Row],[Interet]]</f>
        <v>1070.4259587510037</v>
      </c>
      <c r="P38" s="15">
        <f>Output[[#This Row],[Capital Debut Period]]-Output[[#This Row],[Paiement Principal]]</f>
        <v>342027.34394100809</v>
      </c>
      <c r="Q38" s="15">
        <f>Output[[#This Row],[Droit Utilisation]]/Output[[#This Row],[Duree_Mois]]</f>
        <v>1578.388677857529</v>
      </c>
    </row>
    <row r="39" spans="1:17" x14ac:dyDescent="0.25">
      <c r="A39" s="11" t="s">
        <v>4</v>
      </c>
      <c r="B39" s="12">
        <v>43282</v>
      </c>
      <c r="C39">
        <v>2500</v>
      </c>
      <c r="D39">
        <v>20</v>
      </c>
      <c r="E39">
        <v>0.05</v>
      </c>
      <c r="F39">
        <v>240</v>
      </c>
      <c r="G39" s="13">
        <v>44439</v>
      </c>
      <c r="H39">
        <v>38</v>
      </c>
      <c r="I39">
        <v>38</v>
      </c>
      <c r="J39">
        <v>4.1666666666666666E-3</v>
      </c>
      <c r="K39" s="14">
        <v>2134.6150932276578</v>
      </c>
      <c r="L39" s="14">
        <v>378813.28268580697</v>
      </c>
      <c r="M39" s="36">
        <f>IF(Output[[#This Row],[Index]]=1,Output[[#This Row],[Droit Utilisation]],P38)</f>
        <v>342027.34394100809</v>
      </c>
      <c r="N39" s="15">
        <f>Output[[#This Row],[Capital Debut Period]]*Output[[#This Row],[Tx_interet_M]]</f>
        <v>1425.1139330875337</v>
      </c>
      <c r="O39" s="15">
        <f>Output[[#This Row],[Mensualité initial]]-Output[[#This Row],[Interet]]</f>
        <v>1074.8860669124663</v>
      </c>
      <c r="P39" s="15">
        <f>Output[[#This Row],[Capital Debut Period]]-Output[[#This Row],[Paiement Principal]]</f>
        <v>340952.45787409565</v>
      </c>
      <c r="Q39" s="15">
        <f>Output[[#This Row],[Droit Utilisation]]/Output[[#This Row],[Duree_Mois]]</f>
        <v>1578.388677857529</v>
      </c>
    </row>
    <row r="40" spans="1:17" x14ac:dyDescent="0.25">
      <c r="A40" s="11" t="s">
        <v>4</v>
      </c>
      <c r="B40" s="12">
        <v>43282</v>
      </c>
      <c r="C40">
        <v>2500</v>
      </c>
      <c r="D40">
        <v>20</v>
      </c>
      <c r="E40">
        <v>0.05</v>
      </c>
      <c r="F40">
        <v>240</v>
      </c>
      <c r="G40" s="13">
        <v>44469</v>
      </c>
      <c r="H40">
        <v>39</v>
      </c>
      <c r="I40">
        <v>39</v>
      </c>
      <c r="J40">
        <v>4.1666666666666666E-3</v>
      </c>
      <c r="K40" s="14">
        <v>2125.7577691893684</v>
      </c>
      <c r="L40" s="14">
        <v>378813.28268580697</v>
      </c>
      <c r="M40" s="36">
        <f>IF(Output[[#This Row],[Index]]=1,Output[[#This Row],[Droit Utilisation]],P39)</f>
        <v>340952.45787409565</v>
      </c>
      <c r="N40" s="15">
        <f>Output[[#This Row],[Capital Debut Period]]*Output[[#This Row],[Tx_interet_M]]</f>
        <v>1420.6352411420653</v>
      </c>
      <c r="O40" s="15">
        <f>Output[[#This Row],[Mensualité initial]]-Output[[#This Row],[Interet]]</f>
        <v>1079.3647588579347</v>
      </c>
      <c r="P40" s="15">
        <f>Output[[#This Row],[Capital Debut Period]]-Output[[#This Row],[Paiement Principal]]</f>
        <v>339873.09311523772</v>
      </c>
      <c r="Q40" s="15">
        <f>Output[[#This Row],[Droit Utilisation]]/Output[[#This Row],[Duree_Mois]]</f>
        <v>1578.388677857529</v>
      </c>
    </row>
    <row r="41" spans="1:17" x14ac:dyDescent="0.25">
      <c r="A41" s="11" t="s">
        <v>4</v>
      </c>
      <c r="B41" s="12">
        <v>43282</v>
      </c>
      <c r="C41">
        <v>2500</v>
      </c>
      <c r="D41">
        <v>20</v>
      </c>
      <c r="E41">
        <v>0.05</v>
      </c>
      <c r="F41">
        <v>240</v>
      </c>
      <c r="G41" s="13">
        <v>44500</v>
      </c>
      <c r="H41">
        <v>40</v>
      </c>
      <c r="I41">
        <v>40</v>
      </c>
      <c r="J41">
        <v>4.1666666666666666E-3</v>
      </c>
      <c r="K41" s="14">
        <v>2116.9371975329814</v>
      </c>
      <c r="L41" s="14">
        <v>378813.28268580697</v>
      </c>
      <c r="M41" s="36">
        <f>IF(Output[[#This Row],[Index]]=1,Output[[#This Row],[Droit Utilisation]],P40)</f>
        <v>339873.09311523772</v>
      </c>
      <c r="N41" s="15">
        <f>Output[[#This Row],[Capital Debut Period]]*Output[[#This Row],[Tx_interet_M]]</f>
        <v>1416.1378879801571</v>
      </c>
      <c r="O41" s="15">
        <f>Output[[#This Row],[Mensualité initial]]-Output[[#This Row],[Interet]]</f>
        <v>1083.8621120198429</v>
      </c>
      <c r="P41" s="15">
        <f>Output[[#This Row],[Capital Debut Period]]-Output[[#This Row],[Paiement Principal]]</f>
        <v>338789.23100321786</v>
      </c>
      <c r="Q41" s="15">
        <f>Output[[#This Row],[Droit Utilisation]]/Output[[#This Row],[Duree_Mois]]</f>
        <v>1578.388677857529</v>
      </c>
    </row>
    <row r="42" spans="1:17" x14ac:dyDescent="0.25">
      <c r="A42" s="11" t="s">
        <v>4</v>
      </c>
      <c r="B42" s="12">
        <v>43282</v>
      </c>
      <c r="C42">
        <v>2500</v>
      </c>
      <c r="D42">
        <v>20</v>
      </c>
      <c r="E42">
        <v>0.05</v>
      </c>
      <c r="F42">
        <v>240</v>
      </c>
      <c r="G42" s="13">
        <v>44530</v>
      </c>
      <c r="H42">
        <v>41</v>
      </c>
      <c r="I42">
        <v>41</v>
      </c>
      <c r="J42">
        <v>4.1666666666666666E-3</v>
      </c>
      <c r="K42" s="14">
        <v>2108.1532257589856</v>
      </c>
      <c r="L42" s="14">
        <v>378813.28268580697</v>
      </c>
      <c r="M42" s="36">
        <f>IF(Output[[#This Row],[Index]]=1,Output[[#This Row],[Droit Utilisation]],P41)</f>
        <v>338789.23100321786</v>
      </c>
      <c r="N42" s="15">
        <f>Output[[#This Row],[Capital Debut Period]]*Output[[#This Row],[Tx_interet_M]]</f>
        <v>1411.6217958467412</v>
      </c>
      <c r="O42" s="15">
        <f>Output[[#This Row],[Mensualité initial]]-Output[[#This Row],[Interet]]</f>
        <v>1088.3782041532588</v>
      </c>
      <c r="P42" s="15">
        <f>Output[[#This Row],[Capital Debut Period]]-Output[[#This Row],[Paiement Principal]]</f>
        <v>337700.8527990646</v>
      </c>
      <c r="Q42" s="15">
        <f>Output[[#This Row],[Droit Utilisation]]/Output[[#This Row],[Duree_Mois]]</f>
        <v>1578.388677857529</v>
      </c>
    </row>
    <row r="43" spans="1:17" x14ac:dyDescent="0.25">
      <c r="A43" s="11" t="s">
        <v>4</v>
      </c>
      <c r="B43" s="12">
        <v>43282</v>
      </c>
      <c r="C43">
        <v>2500</v>
      </c>
      <c r="D43">
        <v>20</v>
      </c>
      <c r="E43">
        <v>0.05</v>
      </c>
      <c r="F43">
        <v>240</v>
      </c>
      <c r="G43" s="13">
        <v>44561</v>
      </c>
      <c r="H43">
        <v>42</v>
      </c>
      <c r="I43">
        <v>42</v>
      </c>
      <c r="J43">
        <v>4.1666666666666666E-3</v>
      </c>
      <c r="K43" s="14">
        <v>2099.4057020006494</v>
      </c>
      <c r="L43" s="14">
        <v>378813.28268580697</v>
      </c>
      <c r="M43" s="36">
        <f>IF(Output[[#This Row],[Index]]=1,Output[[#This Row],[Droit Utilisation]],P42)</f>
        <v>337700.8527990646</v>
      </c>
      <c r="N43" s="15">
        <f>Output[[#This Row],[Capital Debut Period]]*Output[[#This Row],[Tx_interet_M]]</f>
        <v>1407.0868866627691</v>
      </c>
      <c r="O43" s="15">
        <f>Output[[#This Row],[Mensualité initial]]-Output[[#This Row],[Interet]]</f>
        <v>1092.9131133372309</v>
      </c>
      <c r="P43" s="15">
        <f>Output[[#This Row],[Capital Debut Period]]-Output[[#This Row],[Paiement Principal]]</f>
        <v>336607.93968572735</v>
      </c>
      <c r="Q43" s="15">
        <f>Output[[#This Row],[Droit Utilisation]]/Output[[#This Row],[Duree_Mois]]</f>
        <v>1578.388677857529</v>
      </c>
    </row>
    <row r="44" spans="1:17" x14ac:dyDescent="0.25">
      <c r="A44" s="11" t="s">
        <v>4</v>
      </c>
      <c r="B44" s="12">
        <v>43282</v>
      </c>
      <c r="C44">
        <v>2500</v>
      </c>
      <c r="D44">
        <v>20</v>
      </c>
      <c r="E44">
        <v>0.05</v>
      </c>
      <c r="F44">
        <v>240</v>
      </c>
      <c r="G44" s="13">
        <v>44592</v>
      </c>
      <c r="H44">
        <v>43</v>
      </c>
      <c r="I44">
        <v>43</v>
      </c>
      <c r="J44">
        <v>4.1666666666666666E-3</v>
      </c>
      <c r="K44" s="14">
        <v>2090.6944750213938</v>
      </c>
      <c r="L44" s="14">
        <v>378813.28268580697</v>
      </c>
      <c r="M44" s="36">
        <f>IF(Output[[#This Row],[Index]]=1,Output[[#This Row],[Droit Utilisation]],P43)</f>
        <v>336607.93968572735</v>
      </c>
      <c r="N44" s="15">
        <f>Output[[#This Row],[Capital Debut Period]]*Output[[#This Row],[Tx_interet_M]]</f>
        <v>1402.5330820238639</v>
      </c>
      <c r="O44" s="15">
        <f>Output[[#This Row],[Mensualité initial]]-Output[[#This Row],[Interet]]</f>
        <v>1097.4669179761361</v>
      </c>
      <c r="P44" s="15">
        <f>Output[[#This Row],[Capital Debut Period]]-Output[[#This Row],[Paiement Principal]]</f>
        <v>335510.4727677512</v>
      </c>
      <c r="Q44" s="15">
        <f>Output[[#This Row],[Droit Utilisation]]/Output[[#This Row],[Duree_Mois]]</f>
        <v>1578.388677857529</v>
      </c>
    </row>
    <row r="45" spans="1:17" x14ac:dyDescent="0.25">
      <c r="A45" s="11" t="s">
        <v>4</v>
      </c>
      <c r="B45" s="12">
        <v>43282</v>
      </c>
      <c r="C45">
        <v>2500</v>
      </c>
      <c r="D45">
        <v>20</v>
      </c>
      <c r="E45">
        <v>0.05</v>
      </c>
      <c r="F45">
        <v>240</v>
      </c>
      <c r="G45" s="13">
        <v>44620</v>
      </c>
      <c r="H45">
        <v>44</v>
      </c>
      <c r="I45">
        <v>44</v>
      </c>
      <c r="J45">
        <v>4.1666666666666666E-3</v>
      </c>
      <c r="K45" s="14">
        <v>2082.0193942121764</v>
      </c>
      <c r="L45" s="14">
        <v>378813.28268580697</v>
      </c>
      <c r="M45" s="36">
        <f>IF(Output[[#This Row],[Index]]=1,Output[[#This Row],[Droit Utilisation]],P44)</f>
        <v>335510.4727677512</v>
      </c>
      <c r="N45" s="15">
        <f>Output[[#This Row],[Capital Debut Period]]*Output[[#This Row],[Tx_interet_M]]</f>
        <v>1397.9603031989634</v>
      </c>
      <c r="O45" s="15">
        <f>Output[[#This Row],[Mensualité initial]]-Output[[#This Row],[Interet]]</f>
        <v>1102.0396968010366</v>
      </c>
      <c r="P45" s="15">
        <f>Output[[#This Row],[Capital Debut Period]]-Output[[#This Row],[Paiement Principal]]</f>
        <v>334408.43307095015</v>
      </c>
      <c r="Q45" s="15">
        <f>Output[[#This Row],[Droit Utilisation]]/Output[[#This Row],[Duree_Mois]]</f>
        <v>1578.388677857529</v>
      </c>
    </row>
    <row r="46" spans="1:17" x14ac:dyDescent="0.25">
      <c r="A46" s="11" t="s">
        <v>4</v>
      </c>
      <c r="B46" s="12">
        <v>43282</v>
      </c>
      <c r="C46">
        <v>2500</v>
      </c>
      <c r="D46">
        <v>20</v>
      </c>
      <c r="E46">
        <v>0.05</v>
      </c>
      <c r="F46">
        <v>240</v>
      </c>
      <c r="G46" s="13">
        <v>44651</v>
      </c>
      <c r="H46">
        <v>45</v>
      </c>
      <c r="I46">
        <v>45</v>
      </c>
      <c r="J46">
        <v>4.1666666666666666E-3</v>
      </c>
      <c r="K46" s="14">
        <v>2073.3803095888893</v>
      </c>
      <c r="L46" s="14">
        <v>378813.28268580697</v>
      </c>
      <c r="M46" s="36">
        <f>IF(Output[[#This Row],[Index]]=1,Output[[#This Row],[Droit Utilisation]],P45)</f>
        <v>334408.43307095015</v>
      </c>
      <c r="N46" s="15">
        <f>Output[[#This Row],[Capital Debut Period]]*Output[[#This Row],[Tx_interet_M]]</f>
        <v>1393.3684711289588</v>
      </c>
      <c r="O46" s="15">
        <f>Output[[#This Row],[Mensualité initial]]-Output[[#This Row],[Interet]]</f>
        <v>1106.6315288710412</v>
      </c>
      <c r="P46" s="15">
        <f>Output[[#This Row],[Capital Debut Period]]-Output[[#This Row],[Paiement Principal]]</f>
        <v>333301.80154207913</v>
      </c>
      <c r="Q46" s="15">
        <f>Output[[#This Row],[Droit Utilisation]]/Output[[#This Row],[Duree_Mois]]</f>
        <v>1578.388677857529</v>
      </c>
    </row>
    <row r="47" spans="1:17" x14ac:dyDescent="0.25">
      <c r="A47" s="11" t="s">
        <v>4</v>
      </c>
      <c r="B47" s="12">
        <v>43282</v>
      </c>
      <c r="C47">
        <v>2500</v>
      </c>
      <c r="D47">
        <v>20</v>
      </c>
      <c r="E47">
        <v>0.05</v>
      </c>
      <c r="F47">
        <v>240</v>
      </c>
      <c r="G47" s="13">
        <v>44681</v>
      </c>
      <c r="H47">
        <v>46</v>
      </c>
      <c r="I47">
        <v>46</v>
      </c>
      <c r="J47">
        <v>4.1666666666666666E-3</v>
      </c>
      <c r="K47" s="14">
        <v>2064.7770717897652</v>
      </c>
      <c r="L47" s="14">
        <v>378813.28268580697</v>
      </c>
      <c r="M47" s="36">
        <f>IF(Output[[#This Row],[Index]]=1,Output[[#This Row],[Droit Utilisation]],P46)</f>
        <v>333301.80154207913</v>
      </c>
      <c r="N47" s="15">
        <f>Output[[#This Row],[Capital Debut Period]]*Output[[#This Row],[Tx_interet_M]]</f>
        <v>1388.7575064253297</v>
      </c>
      <c r="O47" s="15">
        <f>Output[[#This Row],[Mensualité initial]]-Output[[#This Row],[Interet]]</f>
        <v>1111.2424935746703</v>
      </c>
      <c r="P47" s="15">
        <f>Output[[#This Row],[Capital Debut Period]]-Output[[#This Row],[Paiement Principal]]</f>
        <v>332190.55904850445</v>
      </c>
      <c r="Q47" s="15">
        <f>Output[[#This Row],[Droit Utilisation]]/Output[[#This Row],[Duree_Mois]]</f>
        <v>1578.388677857529</v>
      </c>
    </row>
    <row r="48" spans="1:17" x14ac:dyDescent="0.25">
      <c r="A48" s="11" t="s">
        <v>4</v>
      </c>
      <c r="B48" s="12">
        <v>43282</v>
      </c>
      <c r="C48">
        <v>2500</v>
      </c>
      <c r="D48">
        <v>20</v>
      </c>
      <c r="E48">
        <v>0.05</v>
      </c>
      <c r="F48">
        <v>240</v>
      </c>
      <c r="G48" s="13">
        <v>44712</v>
      </c>
      <c r="H48">
        <v>47</v>
      </c>
      <c r="I48">
        <v>47</v>
      </c>
      <c r="J48">
        <v>4.1666666666666666E-3</v>
      </c>
      <c r="K48" s="14">
        <v>2056.2095320727954</v>
      </c>
      <c r="L48" s="14">
        <v>378813.28268580697</v>
      </c>
      <c r="M48" s="36">
        <f>IF(Output[[#This Row],[Index]]=1,Output[[#This Row],[Droit Utilisation]],P47)</f>
        <v>332190.55904850445</v>
      </c>
      <c r="N48" s="15">
        <f>Output[[#This Row],[Capital Debut Period]]*Output[[#This Row],[Tx_interet_M]]</f>
        <v>1384.1273293687686</v>
      </c>
      <c r="O48" s="15">
        <f>Output[[#This Row],[Mensualité initial]]-Output[[#This Row],[Interet]]</f>
        <v>1115.8726706312314</v>
      </c>
      <c r="P48" s="15">
        <f>Output[[#This Row],[Capital Debut Period]]-Output[[#This Row],[Paiement Principal]]</f>
        <v>331074.68637787324</v>
      </c>
      <c r="Q48" s="15">
        <f>Output[[#This Row],[Droit Utilisation]]/Output[[#This Row],[Duree_Mois]]</f>
        <v>1578.388677857529</v>
      </c>
    </row>
    <row r="49" spans="1:17" x14ac:dyDescent="0.25">
      <c r="A49" s="11" t="s">
        <v>4</v>
      </c>
      <c r="B49" s="12">
        <v>43282</v>
      </c>
      <c r="C49">
        <v>2500</v>
      </c>
      <c r="D49">
        <v>20</v>
      </c>
      <c r="E49">
        <v>0.05</v>
      </c>
      <c r="F49">
        <v>240</v>
      </c>
      <c r="G49" s="13">
        <v>44742</v>
      </c>
      <c r="H49">
        <v>48</v>
      </c>
      <c r="I49">
        <v>48</v>
      </c>
      <c r="J49">
        <v>4.1666666666666666E-3</v>
      </c>
      <c r="K49" s="14">
        <v>2047.6775423131573</v>
      </c>
      <c r="L49" s="14">
        <v>378813.28268580697</v>
      </c>
      <c r="M49" s="36">
        <f>IF(Output[[#This Row],[Index]]=1,Output[[#This Row],[Droit Utilisation]],P48)</f>
        <v>331074.68637787324</v>
      </c>
      <c r="N49" s="15">
        <f>Output[[#This Row],[Capital Debut Period]]*Output[[#This Row],[Tx_interet_M]]</f>
        <v>1379.4778599078052</v>
      </c>
      <c r="O49" s="15">
        <f>Output[[#This Row],[Mensualité initial]]-Output[[#This Row],[Interet]]</f>
        <v>1120.5221400921948</v>
      </c>
      <c r="P49" s="15">
        <f>Output[[#This Row],[Capital Debut Period]]-Output[[#This Row],[Paiement Principal]]</f>
        <v>329954.16423778102</v>
      </c>
      <c r="Q49" s="15">
        <f>Output[[#This Row],[Droit Utilisation]]/Output[[#This Row],[Duree_Mois]]</f>
        <v>1578.388677857529</v>
      </c>
    </row>
    <row r="50" spans="1:17" x14ac:dyDescent="0.25">
      <c r="A50" s="11" t="s">
        <v>4</v>
      </c>
      <c r="B50" s="12">
        <v>43282</v>
      </c>
      <c r="C50">
        <v>2500</v>
      </c>
      <c r="D50">
        <v>20</v>
      </c>
      <c r="E50">
        <v>0.05</v>
      </c>
      <c r="F50">
        <v>240</v>
      </c>
      <c r="G50" s="13">
        <v>44773</v>
      </c>
      <c r="H50">
        <v>49</v>
      </c>
      <c r="I50">
        <v>49</v>
      </c>
      <c r="J50">
        <v>4.1666666666666666E-3</v>
      </c>
      <c r="K50" s="14">
        <v>2039.1809550006549</v>
      </c>
      <c r="L50" s="14">
        <v>378813.28268580697</v>
      </c>
      <c r="M50" s="36">
        <f>IF(Output[[#This Row],[Index]]=1,Output[[#This Row],[Droit Utilisation]],P49)</f>
        <v>329954.16423778102</v>
      </c>
      <c r="N50" s="15">
        <f>Output[[#This Row],[Capital Debut Period]]*Output[[#This Row],[Tx_interet_M]]</f>
        <v>1374.809017657421</v>
      </c>
      <c r="O50" s="15">
        <f>Output[[#This Row],[Mensualité initial]]-Output[[#This Row],[Interet]]</f>
        <v>1125.190982342579</v>
      </c>
      <c r="P50" s="15">
        <f>Output[[#This Row],[Capital Debut Period]]-Output[[#This Row],[Paiement Principal]]</f>
        <v>328828.97325543844</v>
      </c>
      <c r="Q50" s="15">
        <f>Output[[#This Row],[Droit Utilisation]]/Output[[#This Row],[Duree_Mois]]</f>
        <v>1578.388677857529</v>
      </c>
    </row>
    <row r="51" spans="1:17" x14ac:dyDescent="0.25">
      <c r="A51" s="11" t="s">
        <v>4</v>
      </c>
      <c r="B51" s="12">
        <v>43282</v>
      </c>
      <c r="C51">
        <v>2500</v>
      </c>
      <c r="D51">
        <v>20</v>
      </c>
      <c r="E51">
        <v>0.05</v>
      </c>
      <c r="F51">
        <v>240</v>
      </c>
      <c r="G51" s="13">
        <v>44804</v>
      </c>
      <c r="H51">
        <v>50</v>
      </c>
      <c r="I51">
        <v>50</v>
      </c>
      <c r="J51">
        <v>4.1666666666666666E-3</v>
      </c>
      <c r="K51" s="14">
        <v>2030.7196232371666</v>
      </c>
      <c r="L51" s="14">
        <v>378813.28268580697</v>
      </c>
      <c r="M51" s="36">
        <f>IF(Output[[#This Row],[Index]]=1,Output[[#This Row],[Droit Utilisation]],P50)</f>
        <v>328828.97325543844</v>
      </c>
      <c r="N51" s="15">
        <f>Output[[#This Row],[Capital Debut Period]]*Output[[#This Row],[Tx_interet_M]]</f>
        <v>1370.1207218976601</v>
      </c>
      <c r="O51" s="15">
        <f>Output[[#This Row],[Mensualité initial]]-Output[[#This Row],[Interet]]</f>
        <v>1129.8792781023399</v>
      </c>
      <c r="P51" s="15">
        <f>Output[[#This Row],[Capital Debut Period]]-Output[[#This Row],[Paiement Principal]]</f>
        <v>327699.09397733607</v>
      </c>
      <c r="Q51" s="15">
        <f>Output[[#This Row],[Droit Utilisation]]/Output[[#This Row],[Duree_Mois]]</f>
        <v>1578.388677857529</v>
      </c>
    </row>
    <row r="52" spans="1:17" x14ac:dyDescent="0.25">
      <c r="A52" s="11" t="s">
        <v>4</v>
      </c>
      <c r="B52" s="12">
        <v>43282</v>
      </c>
      <c r="C52">
        <v>2500</v>
      </c>
      <c r="D52">
        <v>20</v>
      </c>
      <c r="E52">
        <v>0.05</v>
      </c>
      <c r="F52">
        <v>240</v>
      </c>
      <c r="G52" s="13">
        <v>44834</v>
      </c>
      <c r="H52">
        <v>51</v>
      </c>
      <c r="I52">
        <v>51</v>
      </c>
      <c r="J52">
        <v>4.1666666666666666E-3</v>
      </c>
      <c r="K52" s="14">
        <v>2022.2934007341078</v>
      </c>
      <c r="L52" s="14">
        <v>378813.28268580697</v>
      </c>
      <c r="M52" s="36">
        <f>IF(Output[[#This Row],[Index]]=1,Output[[#This Row],[Droit Utilisation]],P51)</f>
        <v>327699.09397733607</v>
      </c>
      <c r="N52" s="15">
        <f>Output[[#This Row],[Capital Debut Period]]*Output[[#This Row],[Tx_interet_M]]</f>
        <v>1365.4128915722335</v>
      </c>
      <c r="O52" s="15">
        <f>Output[[#This Row],[Mensualité initial]]-Output[[#This Row],[Interet]]</f>
        <v>1134.5871084277665</v>
      </c>
      <c r="P52" s="15">
        <f>Output[[#This Row],[Capital Debut Period]]-Output[[#This Row],[Paiement Principal]]</f>
        <v>326564.5068689083</v>
      </c>
      <c r="Q52" s="15">
        <f>Output[[#This Row],[Droit Utilisation]]/Output[[#This Row],[Duree_Mois]]</f>
        <v>1578.388677857529</v>
      </c>
    </row>
    <row r="53" spans="1:17" x14ac:dyDescent="0.25">
      <c r="A53" s="11" t="s">
        <v>4</v>
      </c>
      <c r="B53" s="12">
        <v>43282</v>
      </c>
      <c r="C53">
        <v>2500</v>
      </c>
      <c r="D53">
        <v>20</v>
      </c>
      <c r="E53">
        <v>0.05</v>
      </c>
      <c r="F53">
        <v>240</v>
      </c>
      <c r="G53" s="13">
        <v>44865</v>
      </c>
      <c r="H53">
        <v>52</v>
      </c>
      <c r="I53">
        <v>52</v>
      </c>
      <c r="J53">
        <v>4.1666666666666666E-3</v>
      </c>
      <c r="K53" s="14">
        <v>2013.9021418098998</v>
      </c>
      <c r="L53" s="14">
        <v>378813.28268580697</v>
      </c>
      <c r="M53" s="36">
        <f>IF(Output[[#This Row],[Index]]=1,Output[[#This Row],[Droit Utilisation]],P52)</f>
        <v>326564.5068689083</v>
      </c>
      <c r="N53" s="15">
        <f>Output[[#This Row],[Capital Debut Period]]*Output[[#This Row],[Tx_interet_M]]</f>
        <v>1360.685445287118</v>
      </c>
      <c r="O53" s="15">
        <f>Output[[#This Row],[Mensualité initial]]-Output[[#This Row],[Interet]]</f>
        <v>1139.314554712882</v>
      </c>
      <c r="P53" s="15">
        <f>Output[[#This Row],[Capital Debut Period]]-Output[[#This Row],[Paiement Principal]]</f>
        <v>325425.19231419539</v>
      </c>
      <c r="Q53" s="15">
        <f>Output[[#This Row],[Droit Utilisation]]/Output[[#This Row],[Duree_Mois]]</f>
        <v>1578.388677857529</v>
      </c>
    </row>
    <row r="54" spans="1:17" x14ac:dyDescent="0.25">
      <c r="A54" s="11" t="s">
        <v>4</v>
      </c>
      <c r="B54" s="12">
        <v>43282</v>
      </c>
      <c r="C54">
        <v>2500</v>
      </c>
      <c r="D54">
        <v>20</v>
      </c>
      <c r="E54">
        <v>0.05</v>
      </c>
      <c r="F54">
        <v>240</v>
      </c>
      <c r="G54" s="13">
        <v>44895</v>
      </c>
      <c r="H54">
        <v>53</v>
      </c>
      <c r="I54">
        <v>53</v>
      </c>
      <c r="J54">
        <v>4.1666666666666666E-3</v>
      </c>
      <c r="K54" s="14">
        <v>2005.5457013874523</v>
      </c>
      <c r="L54" s="14">
        <v>378813.28268580697</v>
      </c>
      <c r="M54" s="36">
        <f>IF(Output[[#This Row],[Index]]=1,Output[[#This Row],[Droit Utilisation]],P53)</f>
        <v>325425.19231419539</v>
      </c>
      <c r="N54" s="15">
        <f>Output[[#This Row],[Capital Debut Period]]*Output[[#This Row],[Tx_interet_M]]</f>
        <v>1355.9383013091474</v>
      </c>
      <c r="O54" s="15">
        <f>Output[[#This Row],[Mensualité initial]]-Output[[#This Row],[Interet]]</f>
        <v>1144.0616986908526</v>
      </c>
      <c r="P54" s="15">
        <f>Output[[#This Row],[Capital Debut Period]]-Output[[#This Row],[Paiement Principal]]</f>
        <v>324281.13061550452</v>
      </c>
      <c r="Q54" s="15">
        <f>Output[[#This Row],[Droit Utilisation]]/Output[[#This Row],[Duree_Mois]]</f>
        <v>1578.388677857529</v>
      </c>
    </row>
    <row r="55" spans="1:17" x14ac:dyDescent="0.25">
      <c r="A55" s="11" t="s">
        <v>4</v>
      </c>
      <c r="B55" s="12">
        <v>43282</v>
      </c>
      <c r="C55">
        <v>2500</v>
      </c>
      <c r="D55">
        <v>20</v>
      </c>
      <c r="E55">
        <v>0.05</v>
      </c>
      <c r="F55">
        <v>240</v>
      </c>
      <c r="G55" s="13">
        <v>44926</v>
      </c>
      <c r="H55">
        <v>54</v>
      </c>
      <c r="I55">
        <v>54</v>
      </c>
      <c r="J55">
        <v>4.1666666666666666E-3</v>
      </c>
      <c r="K55" s="14">
        <v>1997.2239349916538</v>
      </c>
      <c r="L55" s="14">
        <v>378813.28268580697</v>
      </c>
      <c r="M55" s="36">
        <f>IF(Output[[#This Row],[Index]]=1,Output[[#This Row],[Droit Utilisation]],P54)</f>
        <v>324281.13061550452</v>
      </c>
      <c r="N55" s="15">
        <f>Output[[#This Row],[Capital Debut Period]]*Output[[#This Row],[Tx_interet_M]]</f>
        <v>1351.1713775646022</v>
      </c>
      <c r="O55" s="15">
        <f>Output[[#This Row],[Mensualité initial]]-Output[[#This Row],[Interet]]</f>
        <v>1148.8286224353978</v>
      </c>
      <c r="P55" s="15">
        <f>Output[[#This Row],[Capital Debut Period]]-Output[[#This Row],[Paiement Principal]]</f>
        <v>323132.30199306912</v>
      </c>
      <c r="Q55" s="15">
        <f>Output[[#This Row],[Droit Utilisation]]/Output[[#This Row],[Duree_Mois]]</f>
        <v>1578.388677857529</v>
      </c>
    </row>
    <row r="56" spans="1:17" x14ac:dyDescent="0.25">
      <c r="A56" s="11" t="s">
        <v>4</v>
      </c>
      <c r="B56" s="12">
        <v>43282</v>
      </c>
      <c r="C56">
        <v>2500</v>
      </c>
      <c r="D56">
        <v>20</v>
      </c>
      <c r="E56">
        <v>0.05</v>
      </c>
      <c r="F56">
        <v>240</v>
      </c>
      <c r="G56" s="13">
        <v>44957</v>
      </c>
      <c r="H56">
        <v>55</v>
      </c>
      <c r="I56">
        <v>55</v>
      </c>
      <c r="J56">
        <v>4.1666666666666666E-3</v>
      </c>
      <c r="K56" s="14">
        <v>1988.9366987468752</v>
      </c>
      <c r="L56" s="14">
        <v>378813.28268580697</v>
      </c>
      <c r="M56" s="36">
        <f>IF(Output[[#This Row],[Index]]=1,Output[[#This Row],[Droit Utilisation]],P55)</f>
        <v>323132.30199306912</v>
      </c>
      <c r="N56" s="15">
        <f>Output[[#This Row],[Capital Debut Period]]*Output[[#This Row],[Tx_interet_M]]</f>
        <v>1346.3845916377879</v>
      </c>
      <c r="O56" s="15">
        <f>Output[[#This Row],[Mensualité initial]]-Output[[#This Row],[Interet]]</f>
        <v>1153.6154083622121</v>
      </c>
      <c r="P56" s="15">
        <f>Output[[#This Row],[Capital Debut Period]]-Output[[#This Row],[Paiement Principal]]</f>
        <v>321978.68658470688</v>
      </c>
      <c r="Q56" s="15">
        <f>Output[[#This Row],[Droit Utilisation]]/Output[[#This Row],[Duree_Mois]]</f>
        <v>1578.388677857529</v>
      </c>
    </row>
    <row r="57" spans="1:17" x14ac:dyDescent="0.25">
      <c r="A57" s="11" t="s">
        <v>4</v>
      </c>
      <c r="B57" s="12">
        <v>43282</v>
      </c>
      <c r="C57">
        <v>2500</v>
      </c>
      <c r="D57">
        <v>20</v>
      </c>
      <c r="E57">
        <v>0.05</v>
      </c>
      <c r="F57">
        <v>240</v>
      </c>
      <c r="G57" s="13">
        <v>44985</v>
      </c>
      <c r="H57">
        <v>56</v>
      </c>
      <c r="I57">
        <v>56</v>
      </c>
      <c r="J57">
        <v>4.1666666666666666E-3</v>
      </c>
      <c r="K57" s="14">
        <v>1980.6838493744813</v>
      </c>
      <c r="L57" s="14">
        <v>378813.28268580697</v>
      </c>
      <c r="M57" s="36">
        <f>IF(Output[[#This Row],[Index]]=1,Output[[#This Row],[Droit Utilisation]],P56)</f>
        <v>321978.68658470688</v>
      </c>
      <c r="N57" s="15">
        <f>Output[[#This Row],[Capital Debut Period]]*Output[[#This Row],[Tx_interet_M]]</f>
        <v>1341.577860769612</v>
      </c>
      <c r="O57" s="15">
        <f>Output[[#This Row],[Mensualité initial]]-Output[[#This Row],[Interet]]</f>
        <v>1158.422139230388</v>
      </c>
      <c r="P57" s="15">
        <f>Output[[#This Row],[Capital Debut Period]]-Output[[#This Row],[Paiement Principal]]</f>
        <v>320820.26444547647</v>
      </c>
      <c r="Q57" s="15">
        <f>Output[[#This Row],[Droit Utilisation]]/Output[[#This Row],[Duree_Mois]]</f>
        <v>1578.388677857529</v>
      </c>
    </row>
    <row r="58" spans="1:17" x14ac:dyDescent="0.25">
      <c r="A58" s="11" t="s">
        <v>4</v>
      </c>
      <c r="B58" s="12">
        <v>43282</v>
      </c>
      <c r="C58">
        <v>2500</v>
      </c>
      <c r="D58">
        <v>20</v>
      </c>
      <c r="E58">
        <v>0.05</v>
      </c>
      <c r="F58">
        <v>240</v>
      </c>
      <c r="G58" s="13">
        <v>45016</v>
      </c>
      <c r="H58">
        <v>57</v>
      </c>
      <c r="I58">
        <v>57</v>
      </c>
      <c r="J58">
        <v>4.1666666666666666E-3</v>
      </c>
      <c r="K58" s="14">
        <v>1972.4652441903552</v>
      </c>
      <c r="L58" s="14">
        <v>378813.28268580697</v>
      </c>
      <c r="M58" s="36">
        <f>IF(Output[[#This Row],[Index]]=1,Output[[#This Row],[Droit Utilisation]],P57)</f>
        <v>320820.26444547647</v>
      </c>
      <c r="N58" s="15">
        <f>Output[[#This Row],[Capital Debut Period]]*Output[[#This Row],[Tx_interet_M]]</f>
        <v>1336.751101856152</v>
      </c>
      <c r="O58" s="15">
        <f>Output[[#This Row],[Mensualité initial]]-Output[[#This Row],[Interet]]</f>
        <v>1163.248898143848</v>
      </c>
      <c r="P58" s="15">
        <f>Output[[#This Row],[Capital Debut Period]]-Output[[#This Row],[Paiement Principal]]</f>
        <v>319657.01554733264</v>
      </c>
      <c r="Q58" s="15">
        <f>Output[[#This Row],[Droit Utilisation]]/Output[[#This Row],[Duree_Mois]]</f>
        <v>1578.388677857529</v>
      </c>
    </row>
    <row r="59" spans="1:17" x14ac:dyDescent="0.25">
      <c r="A59" s="11" t="s">
        <v>4</v>
      </c>
      <c r="B59" s="12">
        <v>43282</v>
      </c>
      <c r="C59">
        <v>2500</v>
      </c>
      <c r="D59">
        <v>20</v>
      </c>
      <c r="E59">
        <v>0.05</v>
      </c>
      <c r="F59">
        <v>240</v>
      </c>
      <c r="G59" s="13">
        <v>45046</v>
      </c>
      <c r="H59">
        <v>58</v>
      </c>
      <c r="I59">
        <v>58</v>
      </c>
      <c r="J59">
        <v>4.1666666666666666E-3</v>
      </c>
      <c r="K59" s="14">
        <v>1964.2807411024282</v>
      </c>
      <c r="L59" s="14">
        <v>378813.28268580697</v>
      </c>
      <c r="M59" s="36">
        <f>IF(Output[[#This Row],[Index]]=1,Output[[#This Row],[Droit Utilisation]],P58)</f>
        <v>319657.01554733264</v>
      </c>
      <c r="N59" s="15">
        <f>Output[[#This Row],[Capital Debut Period]]*Output[[#This Row],[Tx_interet_M]]</f>
        <v>1331.9042314472194</v>
      </c>
      <c r="O59" s="15">
        <f>Output[[#This Row],[Mensualité initial]]-Output[[#This Row],[Interet]]</f>
        <v>1168.0957685527806</v>
      </c>
      <c r="P59" s="15">
        <f>Output[[#This Row],[Capital Debut Period]]-Output[[#This Row],[Paiement Principal]]</f>
        <v>318488.91977877985</v>
      </c>
      <c r="Q59" s="15">
        <f>Output[[#This Row],[Droit Utilisation]]/Output[[#This Row],[Duree_Mois]]</f>
        <v>1578.388677857529</v>
      </c>
    </row>
    <row r="60" spans="1:17" x14ac:dyDescent="0.25">
      <c r="A60" s="11" t="s">
        <v>4</v>
      </c>
      <c r="B60" s="12">
        <v>43282</v>
      </c>
      <c r="C60">
        <v>2500</v>
      </c>
      <c r="D60">
        <v>20</v>
      </c>
      <c r="E60">
        <v>0.05</v>
      </c>
      <c r="F60">
        <v>240</v>
      </c>
      <c r="G60" s="13">
        <v>45077</v>
      </c>
      <c r="H60">
        <v>59</v>
      </c>
      <c r="I60">
        <v>59</v>
      </c>
      <c r="J60">
        <v>4.1666666666666666E-3</v>
      </c>
      <c r="K60" s="14">
        <v>1956.1301986082271</v>
      </c>
      <c r="L60" s="14">
        <v>378813.28268580697</v>
      </c>
      <c r="M60" s="36">
        <f>IF(Output[[#This Row],[Index]]=1,Output[[#This Row],[Droit Utilisation]],P59)</f>
        <v>318488.91977877985</v>
      </c>
      <c r="N60" s="15">
        <f>Output[[#This Row],[Capital Debut Period]]*Output[[#This Row],[Tx_interet_M]]</f>
        <v>1327.0371657449159</v>
      </c>
      <c r="O60" s="15">
        <f>Output[[#This Row],[Mensualité initial]]-Output[[#This Row],[Interet]]</f>
        <v>1172.9628342550841</v>
      </c>
      <c r="P60" s="15">
        <f>Output[[#This Row],[Capital Debut Period]]-Output[[#This Row],[Paiement Principal]]</f>
        <v>317315.95694452478</v>
      </c>
      <c r="Q60" s="15">
        <f>Output[[#This Row],[Droit Utilisation]]/Output[[#This Row],[Duree_Mois]]</f>
        <v>1578.388677857529</v>
      </c>
    </row>
    <row r="61" spans="1:17" x14ac:dyDescent="0.25">
      <c r="A61" s="11" t="s">
        <v>4</v>
      </c>
      <c r="B61" s="12">
        <v>43282</v>
      </c>
      <c r="C61">
        <v>2500</v>
      </c>
      <c r="D61">
        <v>20</v>
      </c>
      <c r="E61">
        <v>0.05</v>
      </c>
      <c r="F61">
        <v>240</v>
      </c>
      <c r="G61" s="13">
        <v>45107</v>
      </c>
      <c r="H61">
        <v>60</v>
      </c>
      <c r="I61">
        <v>60</v>
      </c>
      <c r="J61">
        <v>4.1666666666666666E-3</v>
      </c>
      <c r="K61" s="14">
        <v>1948.0134757924257</v>
      </c>
      <c r="L61" s="14">
        <v>378813.28268580697</v>
      </c>
      <c r="M61" s="36">
        <f>IF(Output[[#This Row],[Index]]=1,Output[[#This Row],[Droit Utilisation]],P60)</f>
        <v>317315.95694452478</v>
      </c>
      <c r="N61" s="15">
        <f>Output[[#This Row],[Capital Debut Period]]*Output[[#This Row],[Tx_interet_M]]</f>
        <v>1322.1498206021865</v>
      </c>
      <c r="O61" s="15">
        <f>Output[[#This Row],[Mensualité initial]]-Output[[#This Row],[Interet]]</f>
        <v>1177.8501793978135</v>
      </c>
      <c r="P61" s="15">
        <f>Output[[#This Row],[Capital Debut Period]]-Output[[#This Row],[Paiement Principal]]</f>
        <v>316138.10676512698</v>
      </c>
      <c r="Q61" s="15">
        <f>Output[[#This Row],[Droit Utilisation]]/Output[[#This Row],[Duree_Mois]]</f>
        <v>1578.388677857529</v>
      </c>
    </row>
    <row r="62" spans="1:17" x14ac:dyDescent="0.25">
      <c r="A62" s="11" t="s">
        <v>4</v>
      </c>
      <c r="B62" s="12">
        <v>43282</v>
      </c>
      <c r="C62">
        <v>2500</v>
      </c>
      <c r="D62">
        <v>20</v>
      </c>
      <c r="E62">
        <v>0.05</v>
      </c>
      <c r="F62">
        <v>240</v>
      </c>
      <c r="G62" s="13">
        <v>45138</v>
      </c>
      <c r="H62">
        <v>61</v>
      </c>
      <c r="I62">
        <v>61</v>
      </c>
      <c r="J62">
        <v>4.1666666666666666E-3</v>
      </c>
      <c r="K62" s="14">
        <v>1939.9304323244071</v>
      </c>
      <c r="L62" s="14">
        <v>378813.28268580697</v>
      </c>
      <c r="M62" s="36">
        <f>IF(Output[[#This Row],[Index]]=1,Output[[#This Row],[Droit Utilisation]],P61)</f>
        <v>316138.10676512698</v>
      </c>
      <c r="N62" s="15">
        <f>Output[[#This Row],[Capital Debut Period]]*Output[[#This Row],[Tx_interet_M]]</f>
        <v>1317.2421115213624</v>
      </c>
      <c r="O62" s="15">
        <f>Output[[#This Row],[Mensualité initial]]-Output[[#This Row],[Interet]]</f>
        <v>1182.7578884786376</v>
      </c>
      <c r="P62" s="15">
        <f>Output[[#This Row],[Capital Debut Period]]-Output[[#This Row],[Paiement Principal]]</f>
        <v>314955.34887664835</v>
      </c>
      <c r="Q62" s="15">
        <f>Output[[#This Row],[Droit Utilisation]]/Output[[#This Row],[Duree_Mois]]</f>
        <v>1578.388677857529</v>
      </c>
    </row>
    <row r="63" spans="1:17" x14ac:dyDescent="0.25">
      <c r="A63" s="11" t="s">
        <v>4</v>
      </c>
      <c r="B63" s="12">
        <v>43282</v>
      </c>
      <c r="C63">
        <v>2500</v>
      </c>
      <c r="D63">
        <v>20</v>
      </c>
      <c r="E63">
        <v>0.05</v>
      </c>
      <c r="F63">
        <v>240</v>
      </c>
      <c r="G63" s="13">
        <v>45169</v>
      </c>
      <c r="H63">
        <v>62</v>
      </c>
      <c r="I63">
        <v>62</v>
      </c>
      <c r="J63">
        <v>4.1666666666666666E-3</v>
      </c>
      <c r="K63" s="14">
        <v>1931.8809284558413</v>
      </c>
      <c r="L63" s="14">
        <v>378813.28268580697</v>
      </c>
      <c r="M63" s="36">
        <f>IF(Output[[#This Row],[Index]]=1,Output[[#This Row],[Droit Utilisation]],P62)</f>
        <v>314955.34887664835</v>
      </c>
      <c r="N63" s="15">
        <f>Output[[#This Row],[Capital Debut Period]]*Output[[#This Row],[Tx_interet_M]]</f>
        <v>1312.3139536527015</v>
      </c>
      <c r="O63" s="15">
        <f>Output[[#This Row],[Mensualité initial]]-Output[[#This Row],[Interet]]</f>
        <v>1187.6860463472985</v>
      </c>
      <c r="P63" s="15">
        <f>Output[[#This Row],[Capital Debut Period]]-Output[[#This Row],[Paiement Principal]]</f>
        <v>313767.66283030104</v>
      </c>
      <c r="Q63" s="15">
        <f>Output[[#This Row],[Droit Utilisation]]/Output[[#This Row],[Duree_Mois]]</f>
        <v>1578.388677857529</v>
      </c>
    </row>
    <row r="64" spans="1:17" x14ac:dyDescent="0.25">
      <c r="A64" s="11" t="s">
        <v>4</v>
      </c>
      <c r="B64" s="12">
        <v>43282</v>
      </c>
      <c r="C64">
        <v>2500</v>
      </c>
      <c r="D64">
        <v>20</v>
      </c>
      <c r="E64">
        <v>0.05</v>
      </c>
      <c r="F64">
        <v>240</v>
      </c>
      <c r="G64" s="13">
        <v>45199</v>
      </c>
      <c r="H64">
        <v>63</v>
      </c>
      <c r="I64">
        <v>63</v>
      </c>
      <c r="J64">
        <v>4.1666666666666666E-3</v>
      </c>
      <c r="K64" s="14">
        <v>1923.8648250182653</v>
      </c>
      <c r="L64" s="14">
        <v>378813.28268580697</v>
      </c>
      <c r="M64" s="36">
        <f>IF(Output[[#This Row],[Index]]=1,Output[[#This Row],[Droit Utilisation]],P63)</f>
        <v>313767.66283030104</v>
      </c>
      <c r="N64" s="15">
        <f>Output[[#This Row],[Capital Debut Period]]*Output[[#This Row],[Tx_interet_M]]</f>
        <v>1307.365261792921</v>
      </c>
      <c r="O64" s="15">
        <f>Output[[#This Row],[Mensualité initial]]-Output[[#This Row],[Interet]]</f>
        <v>1192.634738207079</v>
      </c>
      <c r="P64" s="15">
        <f>Output[[#This Row],[Capital Debut Period]]-Output[[#This Row],[Paiement Principal]]</f>
        <v>312575.02809209394</v>
      </c>
      <c r="Q64" s="15">
        <f>Output[[#This Row],[Droit Utilisation]]/Output[[#This Row],[Duree_Mois]]</f>
        <v>1578.388677857529</v>
      </c>
    </row>
    <row r="65" spans="1:17" x14ac:dyDescent="0.25">
      <c r="A65" s="11" t="s">
        <v>4</v>
      </c>
      <c r="B65" s="12">
        <v>43282</v>
      </c>
      <c r="C65">
        <v>2500</v>
      </c>
      <c r="D65">
        <v>20</v>
      </c>
      <c r="E65">
        <v>0.05</v>
      </c>
      <c r="F65">
        <v>240</v>
      </c>
      <c r="G65" s="13">
        <v>45230</v>
      </c>
      <c r="H65">
        <v>64</v>
      </c>
      <c r="I65">
        <v>64</v>
      </c>
      <c r="J65">
        <v>4.1666666666666666E-3</v>
      </c>
      <c r="K65" s="14">
        <v>1915.8819834206793</v>
      </c>
      <c r="L65" s="14">
        <v>378813.28268580697</v>
      </c>
      <c r="M65" s="36">
        <f>IF(Output[[#This Row],[Index]]=1,Output[[#This Row],[Droit Utilisation]],P64)</f>
        <v>312575.02809209394</v>
      </c>
      <c r="N65" s="15">
        <f>Output[[#This Row],[Capital Debut Period]]*Output[[#This Row],[Tx_interet_M]]</f>
        <v>1302.3959503837248</v>
      </c>
      <c r="O65" s="15">
        <f>Output[[#This Row],[Mensualité initial]]-Output[[#This Row],[Interet]]</f>
        <v>1197.6040496162752</v>
      </c>
      <c r="P65" s="15">
        <f>Output[[#This Row],[Capital Debut Period]]-Output[[#This Row],[Paiement Principal]]</f>
        <v>311377.42404247768</v>
      </c>
      <c r="Q65" s="15">
        <f>Output[[#This Row],[Droit Utilisation]]/Output[[#This Row],[Duree_Mois]]</f>
        <v>1578.388677857529</v>
      </c>
    </row>
    <row r="66" spans="1:17" x14ac:dyDescent="0.25">
      <c r="A66" s="11" t="s">
        <v>4</v>
      </c>
      <c r="B66" s="12">
        <v>43282</v>
      </c>
      <c r="C66">
        <v>2500</v>
      </c>
      <c r="D66">
        <v>20</v>
      </c>
      <c r="E66">
        <v>0.05</v>
      </c>
      <c r="F66">
        <v>240</v>
      </c>
      <c r="G66" s="13">
        <v>45260</v>
      </c>
      <c r="H66">
        <v>65</v>
      </c>
      <c r="I66">
        <v>65</v>
      </c>
      <c r="J66">
        <v>4.1666666666666666E-3</v>
      </c>
      <c r="K66" s="14">
        <v>1907.9322656471493</v>
      </c>
      <c r="L66" s="14">
        <v>378813.28268580697</v>
      </c>
      <c r="M66" s="36">
        <f>IF(Output[[#This Row],[Index]]=1,Output[[#This Row],[Droit Utilisation]],P65)</f>
        <v>311377.42404247768</v>
      </c>
      <c r="N66" s="15">
        <f>Output[[#This Row],[Capital Debut Period]]*Output[[#This Row],[Tx_interet_M]]</f>
        <v>1297.4059335103236</v>
      </c>
      <c r="O66" s="15">
        <f>Output[[#This Row],[Mensualité initial]]-Output[[#This Row],[Interet]]</f>
        <v>1202.5940664896764</v>
      </c>
      <c r="P66" s="15">
        <f>Output[[#This Row],[Capital Debut Period]]-Output[[#This Row],[Paiement Principal]]</f>
        <v>310174.82997598802</v>
      </c>
      <c r="Q66" s="15">
        <f>Output[[#This Row],[Droit Utilisation]]/Output[[#This Row],[Duree_Mois]]</f>
        <v>1578.388677857529</v>
      </c>
    </row>
    <row r="67" spans="1:17" x14ac:dyDescent="0.25">
      <c r="A67" s="11" t="s">
        <v>4</v>
      </c>
      <c r="B67" s="12">
        <v>43282</v>
      </c>
      <c r="C67">
        <v>2500</v>
      </c>
      <c r="D67">
        <v>20</v>
      </c>
      <c r="E67">
        <v>0.05</v>
      </c>
      <c r="F67">
        <v>240</v>
      </c>
      <c r="G67" s="13">
        <v>45291</v>
      </c>
      <c r="H67">
        <v>66</v>
      </c>
      <c r="I67">
        <v>66</v>
      </c>
      <c r="J67">
        <v>4.1666666666666666E-3</v>
      </c>
      <c r="K67" s="14">
        <v>1900.0155342544226</v>
      </c>
      <c r="L67" s="14">
        <v>378813.28268580697</v>
      </c>
      <c r="M67" s="36">
        <f>IF(Output[[#This Row],[Index]]=1,Output[[#This Row],[Droit Utilisation]],P66)</f>
        <v>310174.82997598802</v>
      </c>
      <c r="N67" s="15">
        <f>Output[[#This Row],[Capital Debut Period]]*Output[[#This Row],[Tx_interet_M]]</f>
        <v>1292.3951248999501</v>
      </c>
      <c r="O67" s="15">
        <f>Output[[#This Row],[Mensualité initial]]-Output[[#This Row],[Interet]]</f>
        <v>1207.6048751000499</v>
      </c>
      <c r="P67" s="15">
        <f>Output[[#This Row],[Capital Debut Period]]-Output[[#This Row],[Paiement Principal]]</f>
        <v>308967.22510088794</v>
      </c>
      <c r="Q67" s="15">
        <f>Output[[#This Row],[Droit Utilisation]]/Output[[#This Row],[Duree_Mois]]</f>
        <v>1578.388677857529</v>
      </c>
    </row>
    <row r="68" spans="1:17" x14ac:dyDescent="0.25">
      <c r="A68" s="11" t="s">
        <v>4</v>
      </c>
      <c r="B68" s="12">
        <v>43282</v>
      </c>
      <c r="C68">
        <v>2500</v>
      </c>
      <c r="D68">
        <v>20</v>
      </c>
      <c r="E68">
        <v>0.05</v>
      </c>
      <c r="F68">
        <v>240</v>
      </c>
      <c r="G68" s="13">
        <v>45322</v>
      </c>
      <c r="H68">
        <v>67</v>
      </c>
      <c r="I68">
        <v>67</v>
      </c>
      <c r="J68">
        <v>4.1666666666666666E-3</v>
      </c>
      <c r="K68" s="14">
        <v>1892.1316523695496</v>
      </c>
      <c r="L68" s="14">
        <v>378813.28268580697</v>
      </c>
      <c r="M68" s="36">
        <f>IF(Output[[#This Row],[Index]]=1,Output[[#This Row],[Droit Utilisation]],P67)</f>
        <v>308967.22510088794</v>
      </c>
      <c r="N68" s="15">
        <f>Output[[#This Row],[Capital Debut Period]]*Output[[#This Row],[Tx_interet_M]]</f>
        <v>1287.3634379203663</v>
      </c>
      <c r="O68" s="15">
        <f>Output[[#This Row],[Mensualité initial]]-Output[[#This Row],[Interet]]</f>
        <v>1212.6365620796337</v>
      </c>
      <c r="P68" s="15">
        <f>Output[[#This Row],[Capital Debut Period]]-Output[[#This Row],[Paiement Principal]]</f>
        <v>307754.58853880828</v>
      </c>
      <c r="Q68" s="15">
        <f>Output[[#This Row],[Droit Utilisation]]/Output[[#This Row],[Duree_Mois]]</f>
        <v>1578.388677857529</v>
      </c>
    </row>
    <row r="69" spans="1:17" x14ac:dyDescent="0.25">
      <c r="A69" s="11" t="s">
        <v>4</v>
      </c>
      <c r="B69" s="12">
        <v>43282</v>
      </c>
      <c r="C69">
        <v>2500</v>
      </c>
      <c r="D69">
        <v>20</v>
      </c>
      <c r="E69">
        <v>0.05</v>
      </c>
      <c r="F69">
        <v>240</v>
      </c>
      <c r="G69" s="13">
        <v>45351</v>
      </c>
      <c r="H69">
        <v>68</v>
      </c>
      <c r="I69">
        <v>68</v>
      </c>
      <c r="J69">
        <v>4.1666666666666666E-3</v>
      </c>
      <c r="K69" s="14">
        <v>1884.2804836875182</v>
      </c>
      <c r="L69" s="14">
        <v>378813.28268580697</v>
      </c>
      <c r="M69" s="36">
        <f>IF(Output[[#This Row],[Index]]=1,Output[[#This Row],[Droit Utilisation]],P68)</f>
        <v>307754.58853880828</v>
      </c>
      <c r="N69" s="15">
        <f>Output[[#This Row],[Capital Debut Period]]*Output[[#This Row],[Tx_interet_M]]</f>
        <v>1282.3107855783678</v>
      </c>
      <c r="O69" s="15">
        <f>Output[[#This Row],[Mensualité initial]]-Output[[#This Row],[Interet]]</f>
        <v>1217.6892144216322</v>
      </c>
      <c r="P69" s="15">
        <f>Output[[#This Row],[Capital Debut Period]]-Output[[#This Row],[Paiement Principal]]</f>
        <v>306536.89932438667</v>
      </c>
      <c r="Q69" s="15">
        <f>Output[[#This Row],[Droit Utilisation]]/Output[[#This Row],[Duree_Mois]]</f>
        <v>1578.388677857529</v>
      </c>
    </row>
    <row r="70" spans="1:17" x14ac:dyDescent="0.25">
      <c r="A70" s="11" t="s">
        <v>4</v>
      </c>
      <c r="B70" s="12">
        <v>43282</v>
      </c>
      <c r="C70">
        <v>2500</v>
      </c>
      <c r="D70">
        <v>20</v>
      </c>
      <c r="E70">
        <v>0.05</v>
      </c>
      <c r="F70">
        <v>240</v>
      </c>
      <c r="G70" s="13">
        <v>45382</v>
      </c>
      <c r="H70">
        <v>69</v>
      </c>
      <c r="I70">
        <v>69</v>
      </c>
      <c r="J70">
        <v>4.1666666666666666E-3</v>
      </c>
      <c r="K70" s="14">
        <v>1876.4618924688978</v>
      </c>
      <c r="L70" s="14">
        <v>378813.28268580697</v>
      </c>
      <c r="M70" s="36">
        <f>IF(Output[[#This Row],[Index]]=1,Output[[#This Row],[Droit Utilisation]],P69)</f>
        <v>306536.89932438667</v>
      </c>
      <c r="N70" s="15">
        <f>Output[[#This Row],[Capital Debut Period]]*Output[[#This Row],[Tx_interet_M]]</f>
        <v>1277.2370805182777</v>
      </c>
      <c r="O70" s="15">
        <f>Output[[#This Row],[Mensualité initial]]-Output[[#This Row],[Interet]]</f>
        <v>1222.7629194817223</v>
      </c>
      <c r="P70" s="15">
        <f>Output[[#This Row],[Capital Debut Period]]-Output[[#This Row],[Paiement Principal]]</f>
        <v>305314.13640490494</v>
      </c>
      <c r="Q70" s="15">
        <f>Output[[#This Row],[Droit Utilisation]]/Output[[#This Row],[Duree_Mois]]</f>
        <v>1578.388677857529</v>
      </c>
    </row>
    <row r="71" spans="1:17" x14ac:dyDescent="0.25">
      <c r="A71" s="11" t="s">
        <v>4</v>
      </c>
      <c r="B71" s="12">
        <v>43282</v>
      </c>
      <c r="C71">
        <v>2500</v>
      </c>
      <c r="D71">
        <v>20</v>
      </c>
      <c r="E71">
        <v>0.05</v>
      </c>
      <c r="F71">
        <v>240</v>
      </c>
      <c r="G71" s="13">
        <v>45412</v>
      </c>
      <c r="H71">
        <v>70</v>
      </c>
      <c r="I71">
        <v>70</v>
      </c>
      <c r="J71">
        <v>4.1666666666666666E-3</v>
      </c>
      <c r="K71" s="14">
        <v>1868.6757435374916</v>
      </c>
      <c r="L71" s="14">
        <v>378813.28268580697</v>
      </c>
      <c r="M71" s="36">
        <f>IF(Output[[#This Row],[Index]]=1,Output[[#This Row],[Droit Utilisation]],P70)</f>
        <v>305314.13640490494</v>
      </c>
      <c r="N71" s="15">
        <f>Output[[#This Row],[Capital Debut Period]]*Output[[#This Row],[Tx_interet_M]]</f>
        <v>1272.1422350204373</v>
      </c>
      <c r="O71" s="15">
        <f>Output[[#This Row],[Mensualité initial]]-Output[[#This Row],[Interet]]</f>
        <v>1227.8577649795627</v>
      </c>
      <c r="P71" s="15">
        <f>Output[[#This Row],[Capital Debut Period]]-Output[[#This Row],[Paiement Principal]]</f>
        <v>304086.27863992535</v>
      </c>
      <c r="Q71" s="15">
        <f>Output[[#This Row],[Droit Utilisation]]/Output[[#This Row],[Duree_Mois]]</f>
        <v>1578.388677857529</v>
      </c>
    </row>
    <row r="72" spans="1:17" x14ac:dyDescent="0.25">
      <c r="A72" s="11" t="s">
        <v>4</v>
      </c>
      <c r="B72" s="12">
        <v>43282</v>
      </c>
      <c r="C72">
        <v>2500</v>
      </c>
      <c r="D72">
        <v>20</v>
      </c>
      <c r="E72">
        <v>0.05</v>
      </c>
      <c r="F72">
        <v>240</v>
      </c>
      <c r="G72" s="13">
        <v>45443</v>
      </c>
      <c r="H72">
        <v>71</v>
      </c>
      <c r="I72">
        <v>71</v>
      </c>
      <c r="J72">
        <v>4.1666666666666666E-3</v>
      </c>
      <c r="K72" s="14">
        <v>1860.9219022779998</v>
      </c>
      <c r="L72" s="14">
        <v>378813.28268580697</v>
      </c>
      <c r="M72" s="36">
        <f>IF(Output[[#This Row],[Index]]=1,Output[[#This Row],[Droit Utilisation]],P71)</f>
        <v>304086.27863992535</v>
      </c>
      <c r="N72" s="15">
        <f>Output[[#This Row],[Capital Debut Period]]*Output[[#This Row],[Tx_interet_M]]</f>
        <v>1267.026160999689</v>
      </c>
      <c r="O72" s="15">
        <f>Output[[#This Row],[Mensualité initial]]-Output[[#This Row],[Interet]]</f>
        <v>1232.973839000311</v>
      </c>
      <c r="P72" s="15">
        <f>Output[[#This Row],[Capital Debut Period]]-Output[[#This Row],[Paiement Principal]]</f>
        <v>302853.30480092502</v>
      </c>
      <c r="Q72" s="15">
        <f>Output[[#This Row],[Droit Utilisation]]/Output[[#This Row],[Duree_Mois]]</f>
        <v>1578.388677857529</v>
      </c>
    </row>
    <row r="73" spans="1:17" x14ac:dyDescent="0.25">
      <c r="A73" s="11" t="s">
        <v>4</v>
      </c>
      <c r="B73" s="12">
        <v>43282</v>
      </c>
      <c r="C73">
        <v>2500</v>
      </c>
      <c r="D73">
        <v>20</v>
      </c>
      <c r="E73">
        <v>0.05</v>
      </c>
      <c r="F73">
        <v>240</v>
      </c>
      <c r="G73" s="13">
        <v>45473</v>
      </c>
      <c r="H73">
        <v>72</v>
      </c>
      <c r="I73">
        <v>72</v>
      </c>
      <c r="J73">
        <v>4.1666666666666666E-3</v>
      </c>
      <c r="K73" s="14">
        <v>1853.2002346336928</v>
      </c>
      <c r="L73" s="14">
        <v>378813.28268580697</v>
      </c>
      <c r="M73" s="36">
        <f>IF(Output[[#This Row],[Index]]=1,Output[[#This Row],[Droit Utilisation]],P72)</f>
        <v>302853.30480092502</v>
      </c>
      <c r="N73" s="15">
        <f>Output[[#This Row],[Capital Debut Period]]*Output[[#This Row],[Tx_interet_M]]</f>
        <v>1261.8887700038542</v>
      </c>
      <c r="O73" s="15">
        <f>Output[[#This Row],[Mensualité initial]]-Output[[#This Row],[Interet]]</f>
        <v>1238.1112299961458</v>
      </c>
      <c r="P73" s="15">
        <f>Output[[#This Row],[Capital Debut Period]]-Output[[#This Row],[Paiement Principal]]</f>
        <v>301615.19357092888</v>
      </c>
      <c r="Q73" s="15">
        <f>Output[[#This Row],[Droit Utilisation]]/Output[[#This Row],[Duree_Mois]]</f>
        <v>1578.388677857529</v>
      </c>
    </row>
    <row r="74" spans="1:17" x14ac:dyDescent="0.25">
      <c r="A74" s="11" t="s">
        <v>4</v>
      </c>
      <c r="B74" s="12">
        <v>43282</v>
      </c>
      <c r="C74">
        <v>2500</v>
      </c>
      <c r="D74">
        <v>20</v>
      </c>
      <c r="E74">
        <v>0.05</v>
      </c>
      <c r="F74">
        <v>240</v>
      </c>
      <c r="G74" s="13">
        <v>45504</v>
      </c>
      <c r="H74">
        <v>73</v>
      </c>
      <c r="I74">
        <v>73</v>
      </c>
      <c r="J74">
        <v>4.1666666666666666E-3</v>
      </c>
      <c r="K74" s="14">
        <v>1845.5106071040925</v>
      </c>
      <c r="L74" s="14">
        <v>378813.28268580697</v>
      </c>
      <c r="M74" s="36">
        <f>IF(Output[[#This Row],[Index]]=1,Output[[#This Row],[Droit Utilisation]],P73)</f>
        <v>301615.19357092888</v>
      </c>
      <c r="N74" s="15">
        <f>Output[[#This Row],[Capital Debut Period]]*Output[[#This Row],[Tx_interet_M]]</f>
        <v>1256.7299732122037</v>
      </c>
      <c r="O74" s="15">
        <f>Output[[#This Row],[Mensualité initial]]-Output[[#This Row],[Interet]]</f>
        <v>1243.2700267877963</v>
      </c>
      <c r="P74" s="15">
        <f>Output[[#This Row],[Capital Debut Period]]-Output[[#This Row],[Paiement Principal]]</f>
        <v>300371.92354414106</v>
      </c>
      <c r="Q74" s="15">
        <f>Output[[#This Row],[Droit Utilisation]]/Output[[#This Row],[Duree_Mois]]</f>
        <v>1578.388677857529</v>
      </c>
    </row>
    <row r="75" spans="1:17" x14ac:dyDescent="0.25">
      <c r="A75" s="11" t="s">
        <v>4</v>
      </c>
      <c r="B75" s="12">
        <v>43282</v>
      </c>
      <c r="C75">
        <v>2500</v>
      </c>
      <c r="D75">
        <v>20</v>
      </c>
      <c r="E75">
        <v>0.05</v>
      </c>
      <c r="F75">
        <v>240</v>
      </c>
      <c r="G75" s="13">
        <v>45535</v>
      </c>
      <c r="H75">
        <v>74</v>
      </c>
      <c r="I75">
        <v>74</v>
      </c>
      <c r="J75">
        <v>4.1666666666666666E-3</v>
      </c>
      <c r="K75" s="14">
        <v>1837.8528867426649</v>
      </c>
      <c r="L75" s="14">
        <v>378813.28268580697</v>
      </c>
      <c r="M75" s="36">
        <f>IF(Output[[#This Row],[Index]]=1,Output[[#This Row],[Droit Utilisation]],P74)</f>
        <v>300371.92354414106</v>
      </c>
      <c r="N75" s="15">
        <f>Output[[#This Row],[Capital Debut Period]]*Output[[#This Row],[Tx_interet_M]]</f>
        <v>1251.549681433921</v>
      </c>
      <c r="O75" s="15">
        <f>Output[[#This Row],[Mensualité initial]]-Output[[#This Row],[Interet]]</f>
        <v>1248.450318566079</v>
      </c>
      <c r="P75" s="15">
        <f>Output[[#This Row],[Capital Debut Period]]-Output[[#This Row],[Paiement Principal]]</f>
        <v>299123.473225575</v>
      </c>
      <c r="Q75" s="15">
        <f>Output[[#This Row],[Droit Utilisation]]/Output[[#This Row],[Duree_Mois]]</f>
        <v>1578.388677857529</v>
      </c>
    </row>
    <row r="76" spans="1:17" x14ac:dyDescent="0.25">
      <c r="A76" s="11" t="s">
        <v>4</v>
      </c>
      <c r="B76" s="12">
        <v>43282</v>
      </c>
      <c r="C76">
        <v>2500</v>
      </c>
      <c r="D76">
        <v>20</v>
      </c>
      <c r="E76">
        <v>0.05</v>
      </c>
      <c r="F76">
        <v>240</v>
      </c>
      <c r="G76" s="13">
        <v>45565</v>
      </c>
      <c r="H76">
        <v>75</v>
      </c>
      <c r="I76">
        <v>75</v>
      </c>
      <c r="J76">
        <v>4.1666666666666666E-3</v>
      </c>
      <c r="K76" s="14">
        <v>1830.226941154521</v>
      </c>
      <c r="L76" s="14">
        <v>378813.28268580697</v>
      </c>
      <c r="M76" s="36">
        <f>IF(Output[[#This Row],[Index]]=1,Output[[#This Row],[Droit Utilisation]],P75)</f>
        <v>299123.473225575</v>
      </c>
      <c r="N76" s="15">
        <f>Output[[#This Row],[Capital Debut Period]]*Output[[#This Row],[Tx_interet_M]]</f>
        <v>1246.3478051065624</v>
      </c>
      <c r="O76" s="15">
        <f>Output[[#This Row],[Mensualité initial]]-Output[[#This Row],[Interet]]</f>
        <v>1253.6521948934376</v>
      </c>
      <c r="P76" s="15">
        <f>Output[[#This Row],[Capital Debut Period]]-Output[[#This Row],[Paiement Principal]]</f>
        <v>297869.82103068155</v>
      </c>
      <c r="Q76" s="15">
        <f>Output[[#This Row],[Droit Utilisation]]/Output[[#This Row],[Duree_Mois]]</f>
        <v>1578.388677857529</v>
      </c>
    </row>
    <row r="77" spans="1:17" x14ac:dyDescent="0.25">
      <c r="A77" s="11" t="s">
        <v>4</v>
      </c>
      <c r="B77" s="12">
        <v>43282</v>
      </c>
      <c r="C77">
        <v>2500</v>
      </c>
      <c r="D77">
        <v>20</v>
      </c>
      <c r="E77">
        <v>0.05</v>
      </c>
      <c r="F77">
        <v>240</v>
      </c>
      <c r="G77" s="13">
        <v>45596</v>
      </c>
      <c r="H77">
        <v>76</v>
      </c>
      <c r="I77">
        <v>76</v>
      </c>
      <c r="J77">
        <v>4.1666666666666666E-3</v>
      </c>
      <c r="K77" s="14">
        <v>1822.6326384941287</v>
      </c>
      <c r="L77" s="14">
        <v>378813.28268580697</v>
      </c>
      <c r="M77" s="36">
        <f>IF(Output[[#This Row],[Index]]=1,Output[[#This Row],[Droit Utilisation]],P76)</f>
        <v>297869.82103068155</v>
      </c>
      <c r="N77" s="15">
        <f>Output[[#This Row],[Capital Debut Period]]*Output[[#This Row],[Tx_interet_M]]</f>
        <v>1241.1242542945065</v>
      </c>
      <c r="O77" s="15">
        <f>Output[[#This Row],[Mensualité initial]]-Output[[#This Row],[Interet]]</f>
        <v>1258.8757457054935</v>
      </c>
      <c r="P77" s="15">
        <f>Output[[#This Row],[Capital Debut Period]]-Output[[#This Row],[Paiement Principal]]</f>
        <v>296610.94528497604</v>
      </c>
      <c r="Q77" s="15">
        <f>Output[[#This Row],[Droit Utilisation]]/Output[[#This Row],[Duree_Mois]]</f>
        <v>1578.388677857529</v>
      </c>
    </row>
    <row r="78" spans="1:17" x14ac:dyDescent="0.25">
      <c r="A78" s="11" t="s">
        <v>4</v>
      </c>
      <c r="B78" s="12">
        <v>43282</v>
      </c>
      <c r="C78">
        <v>2500</v>
      </c>
      <c r="D78">
        <v>20</v>
      </c>
      <c r="E78">
        <v>0.05</v>
      </c>
      <c r="F78">
        <v>240</v>
      </c>
      <c r="G78" s="13">
        <v>45626</v>
      </c>
      <c r="H78">
        <v>77</v>
      </c>
      <c r="I78">
        <v>77</v>
      </c>
      <c r="J78">
        <v>4.1666666666666666E-3</v>
      </c>
      <c r="K78" s="14">
        <v>1815.0698474630328</v>
      </c>
      <c r="L78" s="14">
        <v>378813.28268580697</v>
      </c>
      <c r="M78" s="36">
        <f>IF(Output[[#This Row],[Index]]=1,Output[[#This Row],[Droit Utilisation]],P77)</f>
        <v>296610.94528497604</v>
      </c>
      <c r="N78" s="15">
        <f>Output[[#This Row],[Capital Debut Period]]*Output[[#This Row],[Tx_interet_M]]</f>
        <v>1235.8789386874003</v>
      </c>
      <c r="O78" s="15">
        <f>Output[[#This Row],[Mensualité initial]]-Output[[#This Row],[Interet]]</f>
        <v>1264.1210613125997</v>
      </c>
      <c r="P78" s="15">
        <f>Output[[#This Row],[Capital Debut Period]]-Output[[#This Row],[Paiement Principal]]</f>
        <v>295346.82422366343</v>
      </c>
      <c r="Q78" s="15">
        <f>Output[[#This Row],[Droit Utilisation]]/Output[[#This Row],[Duree_Mois]]</f>
        <v>1578.388677857529</v>
      </c>
    </row>
    <row r="79" spans="1:17" x14ac:dyDescent="0.25">
      <c r="A79" s="11" t="s">
        <v>4</v>
      </c>
      <c r="B79" s="12">
        <v>43282</v>
      </c>
      <c r="C79">
        <v>2500</v>
      </c>
      <c r="D79">
        <v>20</v>
      </c>
      <c r="E79">
        <v>0.05</v>
      </c>
      <c r="F79">
        <v>240</v>
      </c>
      <c r="G79" s="13">
        <v>45657</v>
      </c>
      <c r="H79">
        <v>78</v>
      </c>
      <c r="I79">
        <v>78</v>
      </c>
      <c r="J79">
        <v>4.1666666666666666E-3</v>
      </c>
      <c r="K79" s="14">
        <v>1807.5384373075844</v>
      </c>
      <c r="L79" s="14">
        <v>378813.28268580697</v>
      </c>
      <c r="M79" s="36">
        <f>IF(Output[[#This Row],[Index]]=1,Output[[#This Row],[Droit Utilisation]],P78)</f>
        <v>295346.82422366343</v>
      </c>
      <c r="N79" s="15">
        <f>Output[[#This Row],[Capital Debut Period]]*Output[[#This Row],[Tx_interet_M]]</f>
        <v>1230.6117675985977</v>
      </c>
      <c r="O79" s="15">
        <f>Output[[#This Row],[Mensualité initial]]-Output[[#This Row],[Interet]]</f>
        <v>1269.3882324014023</v>
      </c>
      <c r="P79" s="15">
        <f>Output[[#This Row],[Capital Debut Period]]-Output[[#This Row],[Paiement Principal]]</f>
        <v>294077.43599126203</v>
      </c>
      <c r="Q79" s="15">
        <f>Output[[#This Row],[Droit Utilisation]]/Output[[#This Row],[Duree_Mois]]</f>
        <v>1578.388677857529</v>
      </c>
    </row>
    <row r="80" spans="1:17" x14ac:dyDescent="0.25">
      <c r="A80" s="11" t="s">
        <v>4</v>
      </c>
      <c r="B80" s="12">
        <v>43282</v>
      </c>
      <c r="C80">
        <v>2500</v>
      </c>
      <c r="D80">
        <v>20</v>
      </c>
      <c r="E80">
        <v>0.05</v>
      </c>
      <c r="F80">
        <v>240</v>
      </c>
      <c r="G80" s="13">
        <v>45688</v>
      </c>
      <c r="H80">
        <v>79</v>
      </c>
      <c r="I80">
        <v>79</v>
      </c>
      <c r="J80">
        <v>4.1666666666666666E-3</v>
      </c>
      <c r="K80" s="14">
        <v>1800.0382778166818</v>
      </c>
      <c r="L80" s="14">
        <v>378813.28268580697</v>
      </c>
      <c r="M80" s="36">
        <f>IF(Output[[#This Row],[Index]]=1,Output[[#This Row],[Droit Utilisation]],P79)</f>
        <v>294077.43599126203</v>
      </c>
      <c r="N80" s="15">
        <f>Output[[#This Row],[Capital Debut Period]]*Output[[#This Row],[Tx_interet_M]]</f>
        <v>1225.3226499635919</v>
      </c>
      <c r="O80" s="15">
        <f>Output[[#This Row],[Mensualité initial]]-Output[[#This Row],[Interet]]</f>
        <v>1274.6773500364081</v>
      </c>
      <c r="P80" s="15">
        <f>Output[[#This Row],[Capital Debut Period]]-Output[[#This Row],[Paiement Principal]]</f>
        <v>292802.75864122564</v>
      </c>
      <c r="Q80" s="15">
        <f>Output[[#This Row],[Droit Utilisation]]/Output[[#This Row],[Duree_Mois]]</f>
        <v>1578.388677857529</v>
      </c>
    </row>
    <row r="81" spans="1:17" x14ac:dyDescent="0.25">
      <c r="A81" s="11" t="s">
        <v>4</v>
      </c>
      <c r="B81" s="12">
        <v>43282</v>
      </c>
      <c r="C81">
        <v>2500</v>
      </c>
      <c r="D81">
        <v>20</v>
      </c>
      <c r="E81">
        <v>0.05</v>
      </c>
      <c r="F81">
        <v>240</v>
      </c>
      <c r="G81" s="13">
        <v>45716</v>
      </c>
      <c r="H81">
        <v>80</v>
      </c>
      <c r="I81">
        <v>80</v>
      </c>
      <c r="J81">
        <v>4.1666666666666666E-3</v>
      </c>
      <c r="K81" s="14">
        <v>1792.5692393195172</v>
      </c>
      <c r="L81" s="14">
        <v>378813.28268580697</v>
      </c>
      <c r="M81" s="36">
        <f>IF(Output[[#This Row],[Index]]=1,Output[[#This Row],[Droit Utilisation]],P80)</f>
        <v>292802.75864122564</v>
      </c>
      <c r="N81" s="15">
        <f>Output[[#This Row],[Capital Debut Period]]*Output[[#This Row],[Tx_interet_M]]</f>
        <v>1220.0114943384401</v>
      </c>
      <c r="O81" s="15">
        <f>Output[[#This Row],[Mensualité initial]]-Output[[#This Row],[Interet]]</f>
        <v>1279.9885056615599</v>
      </c>
      <c r="P81" s="15">
        <f>Output[[#This Row],[Capital Debut Period]]-Output[[#This Row],[Paiement Principal]]</f>
        <v>291522.77013556409</v>
      </c>
      <c r="Q81" s="15">
        <f>Output[[#This Row],[Droit Utilisation]]/Output[[#This Row],[Duree_Mois]]</f>
        <v>1578.388677857529</v>
      </c>
    </row>
    <row r="82" spans="1:17" x14ac:dyDescent="0.25">
      <c r="A82" s="11" t="s">
        <v>4</v>
      </c>
      <c r="B82" s="12">
        <v>43282</v>
      </c>
      <c r="C82">
        <v>2500</v>
      </c>
      <c r="D82">
        <v>20</v>
      </c>
      <c r="E82">
        <v>0.05</v>
      </c>
      <c r="F82">
        <v>240</v>
      </c>
      <c r="G82" s="13">
        <v>45747</v>
      </c>
      <c r="H82">
        <v>81</v>
      </c>
      <c r="I82">
        <v>81</v>
      </c>
      <c r="J82">
        <v>4.1666666666666666E-3</v>
      </c>
      <c r="K82" s="14">
        <v>1785.1311926833366</v>
      </c>
      <c r="L82" s="14">
        <v>378813.28268580697</v>
      </c>
      <c r="M82" s="36">
        <f>IF(Output[[#This Row],[Index]]=1,Output[[#This Row],[Droit Utilisation]],P81)</f>
        <v>291522.77013556409</v>
      </c>
      <c r="N82" s="15">
        <f>Output[[#This Row],[Capital Debut Period]]*Output[[#This Row],[Tx_interet_M]]</f>
        <v>1214.6782088981836</v>
      </c>
      <c r="O82" s="15">
        <f>Output[[#This Row],[Mensualité initial]]-Output[[#This Row],[Interet]]</f>
        <v>1285.3217911018164</v>
      </c>
      <c r="P82" s="15">
        <f>Output[[#This Row],[Capital Debut Period]]-Output[[#This Row],[Paiement Principal]]</f>
        <v>290237.44834446226</v>
      </c>
      <c r="Q82" s="15">
        <f>Output[[#This Row],[Droit Utilisation]]/Output[[#This Row],[Duree_Mois]]</f>
        <v>1578.388677857529</v>
      </c>
    </row>
    <row r="83" spans="1:17" x14ac:dyDescent="0.25">
      <c r="A83" s="11" t="s">
        <v>4</v>
      </c>
      <c r="B83" s="12">
        <v>43282</v>
      </c>
      <c r="C83">
        <v>2500</v>
      </c>
      <c r="D83">
        <v>20</v>
      </c>
      <c r="E83">
        <v>0.05</v>
      </c>
      <c r="F83">
        <v>240</v>
      </c>
      <c r="G83" s="13">
        <v>45777</v>
      </c>
      <c r="H83">
        <v>82</v>
      </c>
      <c r="I83">
        <v>82</v>
      </c>
      <c r="J83">
        <v>4.1666666666666666E-3</v>
      </c>
      <c r="K83" s="14">
        <v>1777.7240093112068</v>
      </c>
      <c r="L83" s="14">
        <v>378813.28268580697</v>
      </c>
      <c r="M83" s="36">
        <f>IF(Output[[#This Row],[Index]]=1,Output[[#This Row],[Droit Utilisation]],P82)</f>
        <v>290237.44834446226</v>
      </c>
      <c r="N83" s="15">
        <f>Output[[#This Row],[Capital Debut Period]]*Output[[#This Row],[Tx_interet_M]]</f>
        <v>1209.3227014352594</v>
      </c>
      <c r="O83" s="15">
        <f>Output[[#This Row],[Mensualité initial]]-Output[[#This Row],[Interet]]</f>
        <v>1290.6772985647406</v>
      </c>
      <c r="P83" s="15">
        <f>Output[[#This Row],[Capital Debut Period]]-Output[[#This Row],[Paiement Principal]]</f>
        <v>288946.77104589751</v>
      </c>
      <c r="Q83" s="15">
        <f>Output[[#This Row],[Droit Utilisation]]/Output[[#This Row],[Duree_Mois]]</f>
        <v>1578.388677857529</v>
      </c>
    </row>
    <row r="84" spans="1:17" x14ac:dyDescent="0.25">
      <c r="A84" s="11" t="s">
        <v>4</v>
      </c>
      <c r="B84" s="12">
        <v>43282</v>
      </c>
      <c r="C84">
        <v>2500</v>
      </c>
      <c r="D84">
        <v>20</v>
      </c>
      <c r="E84">
        <v>0.05</v>
      </c>
      <c r="F84">
        <v>240</v>
      </c>
      <c r="G84" s="13">
        <v>45808</v>
      </c>
      <c r="H84">
        <v>83</v>
      </c>
      <c r="I84">
        <v>83</v>
      </c>
      <c r="J84">
        <v>4.1666666666666666E-3</v>
      </c>
      <c r="K84" s="14">
        <v>1770.347561139791</v>
      </c>
      <c r="L84" s="14">
        <v>378813.28268580697</v>
      </c>
      <c r="M84" s="36">
        <f>IF(Output[[#This Row],[Index]]=1,Output[[#This Row],[Droit Utilisation]],P83)</f>
        <v>288946.77104589751</v>
      </c>
      <c r="N84" s="15">
        <f>Output[[#This Row],[Capital Debut Period]]*Output[[#This Row],[Tx_interet_M]]</f>
        <v>1203.9448793579063</v>
      </c>
      <c r="O84" s="15">
        <f>Output[[#This Row],[Mensualité initial]]-Output[[#This Row],[Interet]]</f>
        <v>1296.0551206420937</v>
      </c>
      <c r="P84" s="15">
        <f>Output[[#This Row],[Capital Debut Period]]-Output[[#This Row],[Paiement Principal]]</f>
        <v>287650.71592525538</v>
      </c>
      <c r="Q84" s="15">
        <f>Output[[#This Row],[Droit Utilisation]]/Output[[#This Row],[Duree_Mois]]</f>
        <v>1578.388677857529</v>
      </c>
    </row>
    <row r="85" spans="1:17" x14ac:dyDescent="0.25">
      <c r="A85" s="11" t="s">
        <v>4</v>
      </c>
      <c r="B85" s="12">
        <v>43282</v>
      </c>
      <c r="C85">
        <v>2500</v>
      </c>
      <c r="D85">
        <v>20</v>
      </c>
      <c r="E85">
        <v>0.05</v>
      </c>
      <c r="F85">
        <v>240</v>
      </c>
      <c r="G85" s="13">
        <v>45838</v>
      </c>
      <c r="H85">
        <v>84</v>
      </c>
      <c r="I85">
        <v>84</v>
      </c>
      <c r="J85">
        <v>4.1666666666666666E-3</v>
      </c>
      <c r="K85" s="14">
        <v>1763.0017206371363</v>
      </c>
      <c r="L85" s="14">
        <v>378813.28268580697</v>
      </c>
      <c r="M85" s="36">
        <f>IF(Output[[#This Row],[Index]]=1,Output[[#This Row],[Droit Utilisation]],P84)</f>
        <v>287650.71592525538</v>
      </c>
      <c r="N85" s="15">
        <f>Output[[#This Row],[Capital Debut Period]]*Output[[#This Row],[Tx_interet_M]]</f>
        <v>1198.544649688564</v>
      </c>
      <c r="O85" s="15">
        <f>Output[[#This Row],[Mensualité initial]]-Output[[#This Row],[Interet]]</f>
        <v>1301.455350311436</v>
      </c>
      <c r="P85" s="15">
        <f>Output[[#This Row],[Capital Debut Period]]-Output[[#This Row],[Paiement Principal]]</f>
        <v>286349.26057494397</v>
      </c>
      <c r="Q85" s="15">
        <f>Output[[#This Row],[Droit Utilisation]]/Output[[#This Row],[Duree_Mois]]</f>
        <v>1578.388677857529</v>
      </c>
    </row>
    <row r="86" spans="1:17" x14ac:dyDescent="0.25">
      <c r="A86" s="11" t="s">
        <v>4</v>
      </c>
      <c r="B86" s="12">
        <v>43282</v>
      </c>
      <c r="C86">
        <v>2500</v>
      </c>
      <c r="D86">
        <v>20</v>
      </c>
      <c r="E86">
        <v>0.05</v>
      </c>
      <c r="F86">
        <v>240</v>
      </c>
      <c r="G86" s="13">
        <v>45869</v>
      </c>
      <c r="H86">
        <v>85</v>
      </c>
      <c r="I86">
        <v>85</v>
      </c>
      <c r="J86">
        <v>4.1666666666666666E-3</v>
      </c>
      <c r="K86" s="14">
        <v>1755.6863608004676</v>
      </c>
      <c r="L86" s="14">
        <v>378813.28268580697</v>
      </c>
      <c r="M86" s="36">
        <f>IF(Output[[#This Row],[Index]]=1,Output[[#This Row],[Droit Utilisation]],P85)</f>
        <v>286349.26057494397</v>
      </c>
      <c r="N86" s="15">
        <f>Output[[#This Row],[Capital Debut Period]]*Output[[#This Row],[Tx_interet_M]]</f>
        <v>1193.1219190622664</v>
      </c>
      <c r="O86" s="15">
        <f>Output[[#This Row],[Mensualité initial]]-Output[[#This Row],[Interet]]</f>
        <v>1306.8780809377336</v>
      </c>
      <c r="P86" s="15">
        <f>Output[[#This Row],[Capital Debut Period]]-Output[[#This Row],[Paiement Principal]]</f>
        <v>285042.38249400625</v>
      </c>
      <c r="Q86" s="15">
        <f>Output[[#This Row],[Droit Utilisation]]/Output[[#This Row],[Duree_Mois]]</f>
        <v>1578.388677857529</v>
      </c>
    </row>
    <row r="87" spans="1:17" x14ac:dyDescent="0.25">
      <c r="A87" s="11" t="s">
        <v>4</v>
      </c>
      <c r="B87" s="12">
        <v>43282</v>
      </c>
      <c r="C87">
        <v>2500</v>
      </c>
      <c r="D87">
        <v>20</v>
      </c>
      <c r="E87">
        <v>0.05</v>
      </c>
      <c r="F87">
        <v>240</v>
      </c>
      <c r="G87" s="13">
        <v>45900</v>
      </c>
      <c r="H87">
        <v>86</v>
      </c>
      <c r="I87">
        <v>86</v>
      </c>
      <c r="J87">
        <v>4.1666666666666666E-3</v>
      </c>
      <c r="K87" s="14">
        <v>1748.4013551539927</v>
      </c>
      <c r="L87" s="14">
        <v>378813.28268580697</v>
      </c>
      <c r="M87" s="36">
        <f>IF(Output[[#This Row],[Index]]=1,Output[[#This Row],[Droit Utilisation]],P86)</f>
        <v>285042.38249400625</v>
      </c>
      <c r="N87" s="15">
        <f>Output[[#This Row],[Capital Debut Period]]*Output[[#This Row],[Tx_interet_M]]</f>
        <v>1187.6765937250261</v>
      </c>
      <c r="O87" s="15">
        <f>Output[[#This Row],[Mensualité initial]]-Output[[#This Row],[Interet]]</f>
        <v>1312.3234062749739</v>
      </c>
      <c r="P87" s="15">
        <f>Output[[#This Row],[Capital Debut Period]]-Output[[#This Row],[Paiement Principal]]</f>
        <v>283730.05908773129</v>
      </c>
      <c r="Q87" s="15">
        <f>Output[[#This Row],[Droit Utilisation]]/Output[[#This Row],[Duree_Mois]]</f>
        <v>1578.388677857529</v>
      </c>
    </row>
    <row r="88" spans="1:17" x14ac:dyDescent="0.25">
      <c r="A88" s="11" t="s">
        <v>4</v>
      </c>
      <c r="B88" s="12">
        <v>43282</v>
      </c>
      <c r="C88">
        <v>2500</v>
      </c>
      <c r="D88">
        <v>20</v>
      </c>
      <c r="E88">
        <v>0.05</v>
      </c>
      <c r="F88">
        <v>240</v>
      </c>
      <c r="G88" s="13">
        <v>45930</v>
      </c>
      <c r="H88">
        <v>87</v>
      </c>
      <c r="I88">
        <v>87</v>
      </c>
      <c r="J88">
        <v>4.1666666666666666E-3</v>
      </c>
      <c r="K88" s="14">
        <v>1741.1465777467147</v>
      </c>
      <c r="L88" s="14">
        <v>378813.28268580697</v>
      </c>
      <c r="M88" s="36">
        <f>IF(Output[[#This Row],[Index]]=1,Output[[#This Row],[Droit Utilisation]],P87)</f>
        <v>283730.05908773129</v>
      </c>
      <c r="N88" s="15">
        <f>Output[[#This Row],[Capital Debut Period]]*Output[[#This Row],[Tx_interet_M]]</f>
        <v>1182.2085795322137</v>
      </c>
      <c r="O88" s="15">
        <f>Output[[#This Row],[Mensualité initial]]-Output[[#This Row],[Interet]]</f>
        <v>1317.7914204677863</v>
      </c>
      <c r="P88" s="15">
        <f>Output[[#This Row],[Capital Debut Period]]-Output[[#This Row],[Paiement Principal]]</f>
        <v>282412.26766726351</v>
      </c>
      <c r="Q88" s="15">
        <f>Output[[#This Row],[Droit Utilisation]]/Output[[#This Row],[Duree_Mois]]</f>
        <v>1578.388677857529</v>
      </c>
    </row>
    <row r="89" spans="1:17" x14ac:dyDescent="0.25">
      <c r="A89" s="11" t="s">
        <v>4</v>
      </c>
      <c r="B89" s="12">
        <v>43282</v>
      </c>
      <c r="C89">
        <v>2500</v>
      </c>
      <c r="D89">
        <v>20</v>
      </c>
      <c r="E89">
        <v>0.05</v>
      </c>
      <c r="F89">
        <v>240</v>
      </c>
      <c r="G89" s="13">
        <v>45961</v>
      </c>
      <c r="H89">
        <v>88</v>
      </c>
      <c r="I89">
        <v>88</v>
      </c>
      <c r="J89">
        <v>4.1666666666666666E-3</v>
      </c>
      <c r="K89" s="14">
        <v>1733.9219031502553</v>
      </c>
      <c r="L89" s="14">
        <v>378813.28268580697</v>
      </c>
      <c r="M89" s="36">
        <f>IF(Output[[#This Row],[Index]]=1,Output[[#This Row],[Droit Utilisation]],P88)</f>
        <v>282412.26766726351</v>
      </c>
      <c r="N89" s="15">
        <f>Output[[#This Row],[Capital Debut Period]]*Output[[#This Row],[Tx_interet_M]]</f>
        <v>1176.7177819469314</v>
      </c>
      <c r="O89" s="15">
        <f>Output[[#This Row],[Mensualité initial]]-Output[[#This Row],[Interet]]</f>
        <v>1323.2822180530686</v>
      </c>
      <c r="P89" s="15">
        <f>Output[[#This Row],[Capital Debut Period]]-Output[[#This Row],[Paiement Principal]]</f>
        <v>281088.98544921045</v>
      </c>
      <c r="Q89" s="15">
        <f>Output[[#This Row],[Droit Utilisation]]/Output[[#This Row],[Duree_Mois]]</f>
        <v>1578.388677857529</v>
      </c>
    </row>
    <row r="90" spans="1:17" x14ac:dyDescent="0.25">
      <c r="A90" s="11" t="s">
        <v>4</v>
      </c>
      <c r="B90" s="12">
        <v>43282</v>
      </c>
      <c r="C90">
        <v>2500</v>
      </c>
      <c r="D90">
        <v>20</v>
      </c>
      <c r="E90">
        <v>0.05</v>
      </c>
      <c r="F90">
        <v>240</v>
      </c>
      <c r="G90" s="13">
        <v>45991</v>
      </c>
      <c r="H90">
        <v>89</v>
      </c>
      <c r="I90">
        <v>89</v>
      </c>
      <c r="J90">
        <v>4.1666666666666666E-3</v>
      </c>
      <c r="K90" s="14">
        <v>1726.7272064566857</v>
      </c>
      <c r="L90" s="14">
        <v>378813.28268580697</v>
      </c>
      <c r="M90" s="36">
        <f>IF(Output[[#This Row],[Index]]=1,Output[[#This Row],[Droit Utilisation]],P89)</f>
        <v>281088.98544921045</v>
      </c>
      <c r="N90" s="15">
        <f>Output[[#This Row],[Capital Debut Period]]*Output[[#This Row],[Tx_interet_M]]</f>
        <v>1171.2041060383769</v>
      </c>
      <c r="O90" s="15">
        <f>Output[[#This Row],[Mensualité initial]]-Output[[#This Row],[Interet]]</f>
        <v>1328.7958939616231</v>
      </c>
      <c r="P90" s="15">
        <f>Output[[#This Row],[Capital Debut Period]]-Output[[#This Row],[Paiement Principal]]</f>
        <v>279760.18955524883</v>
      </c>
      <c r="Q90" s="15">
        <f>Output[[#This Row],[Droit Utilisation]]/Output[[#This Row],[Duree_Mois]]</f>
        <v>1578.388677857529</v>
      </c>
    </row>
    <row r="91" spans="1:17" x14ac:dyDescent="0.25">
      <c r="A91" s="11" t="s">
        <v>4</v>
      </c>
      <c r="B91" s="12">
        <v>43282</v>
      </c>
      <c r="C91">
        <v>2500</v>
      </c>
      <c r="D91">
        <v>20</v>
      </c>
      <c r="E91">
        <v>0.05</v>
      </c>
      <c r="F91">
        <v>240</v>
      </c>
      <c r="G91" s="13">
        <v>46022</v>
      </c>
      <c r="H91">
        <v>90</v>
      </c>
      <c r="I91">
        <v>90</v>
      </c>
      <c r="J91">
        <v>4.1666666666666666E-3</v>
      </c>
      <c r="K91" s="14">
        <v>1719.5623632763677</v>
      </c>
      <c r="L91" s="14">
        <v>378813.28268580697</v>
      </c>
      <c r="M91" s="36">
        <f>IF(Output[[#This Row],[Index]]=1,Output[[#This Row],[Droit Utilisation]],P90)</f>
        <v>279760.18955524883</v>
      </c>
      <c r="N91" s="15">
        <f>Output[[#This Row],[Capital Debut Period]]*Output[[#This Row],[Tx_interet_M]]</f>
        <v>1165.6674564802033</v>
      </c>
      <c r="O91" s="15">
        <f>Output[[#This Row],[Mensualité initial]]-Output[[#This Row],[Interet]]</f>
        <v>1334.3325435197967</v>
      </c>
      <c r="P91" s="15">
        <f>Output[[#This Row],[Capital Debut Period]]-Output[[#This Row],[Paiement Principal]]</f>
        <v>278425.85701172904</v>
      </c>
      <c r="Q91" s="15">
        <f>Output[[#This Row],[Droit Utilisation]]/Output[[#This Row],[Duree_Mois]]</f>
        <v>1578.388677857529</v>
      </c>
    </row>
    <row r="92" spans="1:17" x14ac:dyDescent="0.25">
      <c r="A92" s="11" t="s">
        <v>4</v>
      </c>
      <c r="B92" s="12">
        <v>43282</v>
      </c>
      <c r="C92">
        <v>2500</v>
      </c>
      <c r="D92">
        <v>20</v>
      </c>
      <c r="E92">
        <v>0.05</v>
      </c>
      <c r="F92">
        <v>240</v>
      </c>
      <c r="G92" s="13">
        <v>46053</v>
      </c>
      <c r="H92">
        <v>91</v>
      </c>
      <c r="I92">
        <v>91</v>
      </c>
      <c r="J92">
        <v>4.1666666666666666E-3</v>
      </c>
      <c r="K92" s="14">
        <v>1712.4272497358018</v>
      </c>
      <c r="L92" s="14">
        <v>378813.28268580697</v>
      </c>
      <c r="M92" s="36">
        <f>IF(Output[[#This Row],[Index]]=1,Output[[#This Row],[Droit Utilisation]],P91)</f>
        <v>278425.85701172904</v>
      </c>
      <c r="N92" s="15">
        <f>Output[[#This Row],[Capital Debut Period]]*Output[[#This Row],[Tx_interet_M]]</f>
        <v>1160.107737548871</v>
      </c>
      <c r="O92" s="15">
        <f>Output[[#This Row],[Mensualité initial]]-Output[[#This Row],[Interet]]</f>
        <v>1339.892262451129</v>
      </c>
      <c r="P92" s="15">
        <f>Output[[#This Row],[Capital Debut Period]]-Output[[#This Row],[Paiement Principal]]</f>
        <v>277085.96474927792</v>
      </c>
      <c r="Q92" s="15">
        <f>Output[[#This Row],[Droit Utilisation]]/Output[[#This Row],[Duree_Mois]]</f>
        <v>1578.388677857529</v>
      </c>
    </row>
    <row r="93" spans="1:17" x14ac:dyDescent="0.25">
      <c r="A93" s="11" t="s">
        <v>4</v>
      </c>
      <c r="B93" s="12">
        <v>43282</v>
      </c>
      <c r="C93">
        <v>2500</v>
      </c>
      <c r="D93">
        <v>20</v>
      </c>
      <c r="E93">
        <v>0.05</v>
      </c>
      <c r="F93">
        <v>240</v>
      </c>
      <c r="G93" s="13">
        <v>46081</v>
      </c>
      <c r="H93">
        <v>92</v>
      </c>
      <c r="I93">
        <v>92</v>
      </c>
      <c r="J93">
        <v>4.1666666666666666E-3</v>
      </c>
      <c r="K93" s="14">
        <v>1705.3217424754873</v>
      </c>
      <c r="L93" s="14">
        <v>378813.28268580697</v>
      </c>
      <c r="M93" s="36">
        <f>IF(Output[[#This Row],[Index]]=1,Output[[#This Row],[Droit Utilisation]],P92)</f>
        <v>277085.96474927792</v>
      </c>
      <c r="N93" s="15">
        <f>Output[[#This Row],[Capital Debut Period]]*Output[[#This Row],[Tx_interet_M]]</f>
        <v>1154.5248531219913</v>
      </c>
      <c r="O93" s="15">
        <f>Output[[#This Row],[Mensualité initial]]-Output[[#This Row],[Interet]]</f>
        <v>1345.4751468780087</v>
      </c>
      <c r="P93" s="15">
        <f>Output[[#This Row],[Capital Debut Period]]-Output[[#This Row],[Paiement Principal]]</f>
        <v>275740.48960239993</v>
      </c>
      <c r="Q93" s="15">
        <f>Output[[#This Row],[Droit Utilisation]]/Output[[#This Row],[Duree_Mois]]</f>
        <v>1578.388677857529</v>
      </c>
    </row>
    <row r="94" spans="1:17" x14ac:dyDescent="0.25">
      <c r="A94" s="11" t="s">
        <v>4</v>
      </c>
      <c r="B94" s="12">
        <v>43282</v>
      </c>
      <c r="C94">
        <v>2500</v>
      </c>
      <c r="D94">
        <v>20</v>
      </c>
      <c r="E94">
        <v>0.05</v>
      </c>
      <c r="F94">
        <v>240</v>
      </c>
      <c r="G94" s="13">
        <v>46112</v>
      </c>
      <c r="H94">
        <v>93</v>
      </c>
      <c r="I94">
        <v>93</v>
      </c>
      <c r="J94">
        <v>4.1666666666666666E-3</v>
      </c>
      <c r="K94" s="14">
        <v>1698.2457186477882</v>
      </c>
      <c r="L94" s="14">
        <v>378813.28268580697</v>
      </c>
      <c r="M94" s="36">
        <f>IF(Output[[#This Row],[Index]]=1,Output[[#This Row],[Droit Utilisation]],P93)</f>
        <v>275740.48960239993</v>
      </c>
      <c r="N94" s="15">
        <f>Output[[#This Row],[Capital Debut Period]]*Output[[#This Row],[Tx_interet_M]]</f>
        <v>1148.9187066766663</v>
      </c>
      <c r="O94" s="15">
        <f>Output[[#This Row],[Mensualité initial]]-Output[[#This Row],[Interet]]</f>
        <v>1351.0812933233337</v>
      </c>
      <c r="P94" s="15">
        <f>Output[[#This Row],[Capital Debut Period]]-Output[[#This Row],[Paiement Principal]]</f>
        <v>274389.40830907662</v>
      </c>
      <c r="Q94" s="15">
        <f>Output[[#This Row],[Droit Utilisation]]/Output[[#This Row],[Duree_Mois]]</f>
        <v>1578.388677857529</v>
      </c>
    </row>
    <row r="95" spans="1:17" x14ac:dyDescent="0.25">
      <c r="A95" s="11" t="s">
        <v>4</v>
      </c>
      <c r="B95" s="12">
        <v>43282</v>
      </c>
      <c r="C95">
        <v>2500</v>
      </c>
      <c r="D95">
        <v>20</v>
      </c>
      <c r="E95">
        <v>0.05</v>
      </c>
      <c r="F95">
        <v>240</v>
      </c>
      <c r="G95" s="13">
        <v>46142</v>
      </c>
      <c r="H95">
        <v>94</v>
      </c>
      <c r="I95">
        <v>94</v>
      </c>
      <c r="J95">
        <v>4.1666666666666666E-3</v>
      </c>
      <c r="K95" s="14">
        <v>1691.1990559148098</v>
      </c>
      <c r="L95" s="14">
        <v>378813.28268580697</v>
      </c>
      <c r="M95" s="36">
        <f>IF(Output[[#This Row],[Index]]=1,Output[[#This Row],[Droit Utilisation]],P94)</f>
        <v>274389.40830907662</v>
      </c>
      <c r="N95" s="15">
        <f>Output[[#This Row],[Capital Debut Period]]*Output[[#This Row],[Tx_interet_M]]</f>
        <v>1143.2892012878192</v>
      </c>
      <c r="O95" s="15">
        <f>Output[[#This Row],[Mensualité initial]]-Output[[#This Row],[Interet]]</f>
        <v>1356.7107987121808</v>
      </c>
      <c r="P95" s="15">
        <f>Output[[#This Row],[Capital Debut Period]]-Output[[#This Row],[Paiement Principal]]</f>
        <v>273032.69751036447</v>
      </c>
      <c r="Q95" s="15">
        <f>Output[[#This Row],[Droit Utilisation]]/Output[[#This Row],[Duree_Mois]]</f>
        <v>1578.388677857529</v>
      </c>
    </row>
    <row r="96" spans="1:17" x14ac:dyDescent="0.25">
      <c r="A96" s="11" t="s">
        <v>4</v>
      </c>
      <c r="B96" s="12">
        <v>43282</v>
      </c>
      <c r="C96">
        <v>2500</v>
      </c>
      <c r="D96">
        <v>20</v>
      </c>
      <c r="E96">
        <v>0.05</v>
      </c>
      <c r="F96">
        <v>240</v>
      </c>
      <c r="G96" s="13">
        <v>46173</v>
      </c>
      <c r="H96">
        <v>95</v>
      </c>
      <c r="I96">
        <v>95</v>
      </c>
      <c r="J96">
        <v>4.1666666666666666E-3</v>
      </c>
      <c r="K96" s="14">
        <v>1684.1816324462839</v>
      </c>
      <c r="L96" s="14">
        <v>378813.28268580697</v>
      </c>
      <c r="M96" s="36">
        <f>IF(Output[[#This Row],[Index]]=1,Output[[#This Row],[Droit Utilisation]],P95)</f>
        <v>273032.69751036447</v>
      </c>
      <c r="N96" s="15">
        <f>Output[[#This Row],[Capital Debut Period]]*Output[[#This Row],[Tx_interet_M]]</f>
        <v>1137.6362396265185</v>
      </c>
      <c r="O96" s="15">
        <f>Output[[#This Row],[Mensualité initial]]-Output[[#This Row],[Interet]]</f>
        <v>1362.3637603734815</v>
      </c>
      <c r="P96" s="15">
        <f>Output[[#This Row],[Capital Debut Period]]-Output[[#This Row],[Paiement Principal]]</f>
        <v>271670.33374999097</v>
      </c>
      <c r="Q96" s="15">
        <f>Output[[#This Row],[Droit Utilisation]]/Output[[#This Row],[Duree_Mois]]</f>
        <v>1578.388677857529</v>
      </c>
    </row>
    <row r="97" spans="1:17" x14ac:dyDescent="0.25">
      <c r="A97" s="11" t="s">
        <v>4</v>
      </c>
      <c r="B97" s="12">
        <v>43282</v>
      </c>
      <c r="C97">
        <v>2500</v>
      </c>
      <c r="D97">
        <v>20</v>
      </c>
      <c r="E97">
        <v>0.05</v>
      </c>
      <c r="F97">
        <v>240</v>
      </c>
      <c r="G97" s="13">
        <v>46203</v>
      </c>
      <c r="H97">
        <v>96</v>
      </c>
      <c r="I97">
        <v>96</v>
      </c>
      <c r="J97">
        <v>4.1666666666666666E-3</v>
      </c>
      <c r="K97" s="14">
        <v>1677.193326917461</v>
      </c>
      <c r="L97" s="14">
        <v>378813.28268580697</v>
      </c>
      <c r="M97" s="36">
        <f>IF(Output[[#This Row],[Index]]=1,Output[[#This Row],[Droit Utilisation]],P96)</f>
        <v>271670.33374999097</v>
      </c>
      <c r="N97" s="15">
        <f>Output[[#This Row],[Capital Debut Period]]*Output[[#This Row],[Tx_interet_M]]</f>
        <v>1131.9597239582956</v>
      </c>
      <c r="O97" s="15">
        <f>Output[[#This Row],[Mensualité initial]]-Output[[#This Row],[Interet]]</f>
        <v>1368.0402760417044</v>
      </c>
      <c r="P97" s="15">
        <f>Output[[#This Row],[Capital Debut Period]]-Output[[#This Row],[Paiement Principal]]</f>
        <v>270302.29347394925</v>
      </c>
      <c r="Q97" s="15">
        <f>Output[[#This Row],[Droit Utilisation]]/Output[[#This Row],[Duree_Mois]]</f>
        <v>1578.388677857529</v>
      </c>
    </row>
    <row r="98" spans="1:17" x14ac:dyDescent="0.25">
      <c r="A98" s="11" t="s">
        <v>4</v>
      </c>
      <c r="B98" s="12">
        <v>43282</v>
      </c>
      <c r="C98">
        <v>2500</v>
      </c>
      <c r="D98">
        <v>20</v>
      </c>
      <c r="E98">
        <v>0.05</v>
      </c>
      <c r="F98">
        <v>240</v>
      </c>
      <c r="G98" s="13">
        <v>46234</v>
      </c>
      <c r="H98">
        <v>97</v>
      </c>
      <c r="I98">
        <v>97</v>
      </c>
      <c r="J98">
        <v>4.1666666666666666E-3</v>
      </c>
      <c r="K98" s="14">
        <v>1670.2340185070152</v>
      </c>
      <c r="L98" s="14">
        <v>378813.28268580697</v>
      </c>
      <c r="M98" s="36">
        <f>IF(Output[[#This Row],[Index]]=1,Output[[#This Row],[Droit Utilisation]],P97)</f>
        <v>270302.29347394925</v>
      </c>
      <c r="N98" s="15">
        <f>Output[[#This Row],[Capital Debut Period]]*Output[[#This Row],[Tx_interet_M]]</f>
        <v>1126.2595561414553</v>
      </c>
      <c r="O98" s="15">
        <f>Output[[#This Row],[Mensualité initial]]-Output[[#This Row],[Interet]]</f>
        <v>1373.7404438585447</v>
      </c>
      <c r="P98" s="15">
        <f>Output[[#This Row],[Capital Debut Period]]-Output[[#This Row],[Paiement Principal]]</f>
        <v>268928.5530300907</v>
      </c>
      <c r="Q98" s="15">
        <f>Output[[#This Row],[Droit Utilisation]]/Output[[#This Row],[Duree_Mois]]</f>
        <v>1578.388677857529</v>
      </c>
    </row>
    <row r="99" spans="1:17" x14ac:dyDescent="0.25">
      <c r="A99" s="11" t="s">
        <v>4</v>
      </c>
      <c r="B99" s="12">
        <v>43282</v>
      </c>
      <c r="C99">
        <v>2500</v>
      </c>
      <c r="D99">
        <v>20</v>
      </c>
      <c r="E99">
        <v>0.05</v>
      </c>
      <c r="F99">
        <v>240</v>
      </c>
      <c r="G99" s="13">
        <v>46265</v>
      </c>
      <c r="H99">
        <v>98</v>
      </c>
      <c r="I99">
        <v>98</v>
      </c>
      <c r="J99">
        <v>4.1666666666666666E-3</v>
      </c>
      <c r="K99" s="14">
        <v>1663.3035868949528</v>
      </c>
      <c r="L99" s="14">
        <v>378813.28268580697</v>
      </c>
      <c r="M99" s="36">
        <f>IF(Output[[#This Row],[Index]]=1,Output[[#This Row],[Droit Utilisation]],P98)</f>
        <v>268928.5530300907</v>
      </c>
      <c r="N99" s="15">
        <f>Output[[#This Row],[Capital Debut Period]]*Output[[#This Row],[Tx_interet_M]]</f>
        <v>1120.5356376253778</v>
      </c>
      <c r="O99" s="15">
        <f>Output[[#This Row],[Mensualité initial]]-Output[[#This Row],[Interet]]</f>
        <v>1379.4643623746222</v>
      </c>
      <c r="P99" s="15">
        <f>Output[[#This Row],[Capital Debut Period]]-Output[[#This Row],[Paiement Principal]]</f>
        <v>267549.08866771607</v>
      </c>
      <c r="Q99" s="15">
        <f>Output[[#This Row],[Droit Utilisation]]/Output[[#This Row],[Duree_Mois]]</f>
        <v>1578.388677857529</v>
      </c>
    </row>
    <row r="100" spans="1:17" x14ac:dyDescent="0.25">
      <c r="A100" s="11" t="s">
        <v>4</v>
      </c>
      <c r="B100" s="12">
        <v>43282</v>
      </c>
      <c r="C100">
        <v>2500</v>
      </c>
      <c r="D100">
        <v>20</v>
      </c>
      <c r="E100">
        <v>0.05</v>
      </c>
      <c r="F100">
        <v>240</v>
      </c>
      <c r="G100" s="13">
        <v>46295</v>
      </c>
      <c r="H100">
        <v>99</v>
      </c>
      <c r="I100">
        <v>99</v>
      </c>
      <c r="J100">
        <v>4.1666666666666666E-3</v>
      </c>
      <c r="K100" s="14">
        <v>1656.4019122605339</v>
      </c>
      <c r="L100" s="14">
        <v>378813.28268580697</v>
      </c>
      <c r="M100" s="36">
        <f>IF(Output[[#This Row],[Index]]=1,Output[[#This Row],[Droit Utilisation]],P99)</f>
        <v>267549.08866771607</v>
      </c>
      <c r="N100" s="15">
        <f>Output[[#This Row],[Capital Debut Period]]*Output[[#This Row],[Tx_interet_M]]</f>
        <v>1114.787869448817</v>
      </c>
      <c r="O100" s="15">
        <f>Output[[#This Row],[Mensualité initial]]-Output[[#This Row],[Interet]]</f>
        <v>1385.212130551183</v>
      </c>
      <c r="P100" s="15">
        <f>Output[[#This Row],[Capital Debut Period]]-Output[[#This Row],[Paiement Principal]]</f>
        <v>266163.87653716491</v>
      </c>
      <c r="Q100" s="15">
        <f>Output[[#This Row],[Droit Utilisation]]/Output[[#This Row],[Duree_Mois]]</f>
        <v>1578.388677857529</v>
      </c>
    </row>
    <row r="101" spans="1:17" x14ac:dyDescent="0.25">
      <c r="A101" s="11" t="s">
        <v>4</v>
      </c>
      <c r="B101" s="12">
        <v>43282</v>
      </c>
      <c r="C101">
        <v>2500</v>
      </c>
      <c r="D101">
        <v>20</v>
      </c>
      <c r="E101">
        <v>0.05</v>
      </c>
      <c r="F101">
        <v>240</v>
      </c>
      <c r="G101" s="13">
        <v>46326</v>
      </c>
      <c r="H101">
        <v>100</v>
      </c>
      <c r="I101">
        <v>100</v>
      </c>
      <c r="J101">
        <v>4.1666666666666666E-3</v>
      </c>
      <c r="K101" s="14">
        <v>1649.5288752801998</v>
      </c>
      <c r="L101" s="14">
        <v>378813.28268580697</v>
      </c>
      <c r="M101" s="36">
        <f>IF(Output[[#This Row],[Index]]=1,Output[[#This Row],[Droit Utilisation]],P100)</f>
        <v>266163.87653716491</v>
      </c>
      <c r="N101" s="15">
        <f>Output[[#This Row],[Capital Debut Period]]*Output[[#This Row],[Tx_interet_M]]</f>
        <v>1109.016152238187</v>
      </c>
      <c r="O101" s="15">
        <f>Output[[#This Row],[Mensualité initial]]-Output[[#This Row],[Interet]]</f>
        <v>1390.983847761813</v>
      </c>
      <c r="P101" s="15">
        <f>Output[[#This Row],[Capital Debut Period]]-Output[[#This Row],[Paiement Principal]]</f>
        <v>264772.89268940309</v>
      </c>
      <c r="Q101" s="15">
        <f>Output[[#This Row],[Droit Utilisation]]/Output[[#This Row],[Duree_Mois]]</f>
        <v>1578.388677857529</v>
      </c>
    </row>
    <row r="102" spans="1:17" x14ac:dyDescent="0.25">
      <c r="A102" s="11" t="s">
        <v>4</v>
      </c>
      <c r="B102" s="12">
        <v>43282</v>
      </c>
      <c r="C102">
        <v>2500</v>
      </c>
      <c r="D102">
        <v>20</v>
      </c>
      <c r="E102">
        <v>0.05</v>
      </c>
      <c r="F102">
        <v>240</v>
      </c>
      <c r="G102" s="13">
        <v>46356</v>
      </c>
      <c r="H102">
        <v>101</v>
      </c>
      <c r="I102">
        <v>101</v>
      </c>
      <c r="J102">
        <v>4.1666666666666666E-3</v>
      </c>
      <c r="K102" s="14">
        <v>1642.6843571255104</v>
      </c>
      <c r="L102" s="14">
        <v>378813.28268580697</v>
      </c>
      <c r="M102" s="36">
        <f>IF(Output[[#This Row],[Index]]=1,Output[[#This Row],[Droit Utilisation]],P101)</f>
        <v>264772.89268940309</v>
      </c>
      <c r="N102" s="15">
        <f>Output[[#This Row],[Capital Debut Period]]*Output[[#This Row],[Tx_interet_M]]</f>
        <v>1103.2203862058461</v>
      </c>
      <c r="O102" s="15">
        <f>Output[[#This Row],[Mensualité initial]]-Output[[#This Row],[Interet]]</f>
        <v>1396.7796137941539</v>
      </c>
      <c r="P102" s="15">
        <f>Output[[#This Row],[Capital Debut Period]]-Output[[#This Row],[Paiement Principal]]</f>
        <v>263376.11307560891</v>
      </c>
      <c r="Q102" s="15">
        <f>Output[[#This Row],[Droit Utilisation]]/Output[[#This Row],[Duree_Mois]]</f>
        <v>1578.388677857529</v>
      </c>
    </row>
    <row r="103" spans="1:17" x14ac:dyDescent="0.25">
      <c r="A103" s="11" t="s">
        <v>4</v>
      </c>
      <c r="B103" s="12">
        <v>43282</v>
      </c>
      <c r="C103">
        <v>2500</v>
      </c>
      <c r="D103">
        <v>20</v>
      </c>
      <c r="E103">
        <v>0.05</v>
      </c>
      <c r="F103">
        <v>240</v>
      </c>
      <c r="G103" s="13">
        <v>46387</v>
      </c>
      <c r="H103">
        <v>102</v>
      </c>
      <c r="I103">
        <v>102</v>
      </c>
      <c r="J103">
        <v>4.1666666666666666E-3</v>
      </c>
      <c r="K103" s="14">
        <v>1635.8682394610892</v>
      </c>
      <c r="L103" s="14">
        <v>378813.28268580697</v>
      </c>
      <c r="M103" s="36">
        <f>IF(Output[[#This Row],[Index]]=1,Output[[#This Row],[Droit Utilisation]],P102)</f>
        <v>263376.11307560891</v>
      </c>
      <c r="N103" s="15">
        <f>Output[[#This Row],[Capital Debut Period]]*Output[[#This Row],[Tx_interet_M]]</f>
        <v>1097.4004711483703</v>
      </c>
      <c r="O103" s="15">
        <f>Output[[#This Row],[Mensualité initial]]-Output[[#This Row],[Interet]]</f>
        <v>1402.5995288516297</v>
      </c>
      <c r="P103" s="15">
        <f>Output[[#This Row],[Capital Debut Period]]-Output[[#This Row],[Paiement Principal]]</f>
        <v>261973.51354675728</v>
      </c>
      <c r="Q103" s="15">
        <f>Output[[#This Row],[Droit Utilisation]]/Output[[#This Row],[Duree_Mois]]</f>
        <v>1578.388677857529</v>
      </c>
    </row>
    <row r="104" spans="1:17" x14ac:dyDescent="0.25">
      <c r="A104" s="11" t="s">
        <v>4</v>
      </c>
      <c r="B104" s="12">
        <v>43282</v>
      </c>
      <c r="C104">
        <v>2500</v>
      </c>
      <c r="D104">
        <v>20</v>
      </c>
      <c r="E104">
        <v>0.05</v>
      </c>
      <c r="F104">
        <v>240</v>
      </c>
      <c r="G104" s="13">
        <v>46418</v>
      </c>
      <c r="H104">
        <v>103</v>
      </c>
      <c r="I104">
        <v>103</v>
      </c>
      <c r="J104">
        <v>4.1666666666666666E-3</v>
      </c>
      <c r="K104" s="14">
        <v>1629.0804044425784</v>
      </c>
      <c r="L104" s="14">
        <v>378813.28268580697</v>
      </c>
      <c r="M104" s="36">
        <f>IF(Output[[#This Row],[Index]]=1,Output[[#This Row],[Droit Utilisation]],P103)</f>
        <v>261973.51354675728</v>
      </c>
      <c r="N104" s="15">
        <f>Output[[#This Row],[Capital Debut Period]]*Output[[#This Row],[Tx_interet_M]]</f>
        <v>1091.556306444822</v>
      </c>
      <c r="O104" s="15">
        <f>Output[[#This Row],[Mensualité initial]]-Output[[#This Row],[Interet]]</f>
        <v>1408.443693555178</v>
      </c>
      <c r="P104" s="15">
        <f>Output[[#This Row],[Capital Debut Period]]-Output[[#This Row],[Paiement Principal]]</f>
        <v>260565.06985320212</v>
      </c>
      <c r="Q104" s="15">
        <f>Output[[#This Row],[Droit Utilisation]]/Output[[#This Row],[Duree_Mois]]</f>
        <v>1578.388677857529</v>
      </c>
    </row>
    <row r="105" spans="1:17" x14ac:dyDescent="0.25">
      <c r="A105" s="11" t="s">
        <v>4</v>
      </c>
      <c r="B105" s="12">
        <v>43282</v>
      </c>
      <c r="C105">
        <v>2500</v>
      </c>
      <c r="D105">
        <v>20</v>
      </c>
      <c r="E105">
        <v>0.05</v>
      </c>
      <c r="F105">
        <v>240</v>
      </c>
      <c r="G105" s="13">
        <v>46446</v>
      </c>
      <c r="H105">
        <v>104</v>
      </c>
      <c r="I105">
        <v>104</v>
      </c>
      <c r="J105">
        <v>4.1666666666666666E-3</v>
      </c>
      <c r="K105" s="14">
        <v>1622.320734714601</v>
      </c>
      <c r="L105" s="14">
        <v>378813.28268580697</v>
      </c>
      <c r="M105" s="36">
        <f>IF(Output[[#This Row],[Index]]=1,Output[[#This Row],[Droit Utilisation]],P104)</f>
        <v>260565.06985320212</v>
      </c>
      <c r="N105" s="15">
        <f>Output[[#This Row],[Capital Debut Period]]*Output[[#This Row],[Tx_interet_M]]</f>
        <v>1085.6877910550088</v>
      </c>
      <c r="O105" s="15">
        <f>Output[[#This Row],[Mensualité initial]]-Output[[#This Row],[Interet]]</f>
        <v>1414.3122089449912</v>
      </c>
      <c r="P105" s="15">
        <f>Output[[#This Row],[Capital Debut Period]]-Output[[#This Row],[Paiement Principal]]</f>
        <v>259150.75764425713</v>
      </c>
      <c r="Q105" s="15">
        <f>Output[[#This Row],[Droit Utilisation]]/Output[[#This Row],[Duree_Mois]]</f>
        <v>1578.388677857529</v>
      </c>
    </row>
    <row r="106" spans="1:17" x14ac:dyDescent="0.25">
      <c r="A106" s="11" t="s">
        <v>4</v>
      </c>
      <c r="B106" s="12">
        <v>43282</v>
      </c>
      <c r="C106">
        <v>2500</v>
      </c>
      <c r="D106">
        <v>20</v>
      </c>
      <c r="E106">
        <v>0.05</v>
      </c>
      <c r="F106">
        <v>240</v>
      </c>
      <c r="G106" s="13">
        <v>46477</v>
      </c>
      <c r="H106">
        <v>105</v>
      </c>
      <c r="I106">
        <v>105</v>
      </c>
      <c r="J106">
        <v>4.1666666666666666E-3</v>
      </c>
      <c r="K106" s="14">
        <v>1615.589113408731</v>
      </c>
      <c r="L106" s="14">
        <v>378813.28268580697</v>
      </c>
      <c r="M106" s="36">
        <f>IF(Output[[#This Row],[Index]]=1,Output[[#This Row],[Droit Utilisation]],P105)</f>
        <v>259150.75764425713</v>
      </c>
      <c r="N106" s="15">
        <f>Output[[#This Row],[Capital Debut Period]]*Output[[#This Row],[Tx_interet_M]]</f>
        <v>1079.794823517738</v>
      </c>
      <c r="O106" s="15">
        <f>Output[[#This Row],[Mensualité initial]]-Output[[#This Row],[Interet]]</f>
        <v>1420.205176482262</v>
      </c>
      <c r="P106" s="15">
        <f>Output[[#This Row],[Capital Debut Period]]-Output[[#This Row],[Paiement Principal]]</f>
        <v>257730.55246777486</v>
      </c>
      <c r="Q106" s="15">
        <f>Output[[#This Row],[Droit Utilisation]]/Output[[#This Row],[Duree_Mois]]</f>
        <v>1578.388677857529</v>
      </c>
    </row>
    <row r="107" spans="1:17" x14ac:dyDescent="0.25">
      <c r="A107" s="11" t="s">
        <v>4</v>
      </c>
      <c r="B107" s="12">
        <v>43282</v>
      </c>
      <c r="C107">
        <v>2500</v>
      </c>
      <c r="D107">
        <v>20</v>
      </c>
      <c r="E107">
        <v>0.05</v>
      </c>
      <c r="F107">
        <v>240</v>
      </c>
      <c r="G107" s="13">
        <v>46507</v>
      </c>
      <c r="H107">
        <v>106</v>
      </c>
      <c r="I107">
        <v>106</v>
      </c>
      <c r="J107">
        <v>4.1666666666666666E-3</v>
      </c>
      <c r="K107" s="14">
        <v>1608.8854241414751</v>
      </c>
      <c r="L107" s="14">
        <v>378813.28268580697</v>
      </c>
      <c r="M107" s="36">
        <f>IF(Output[[#This Row],[Index]]=1,Output[[#This Row],[Droit Utilisation]],P106)</f>
        <v>257730.55246777486</v>
      </c>
      <c r="N107" s="15">
        <f>Output[[#This Row],[Capital Debut Period]]*Output[[#This Row],[Tx_interet_M]]</f>
        <v>1073.8773019490618</v>
      </c>
      <c r="O107" s="15">
        <f>Output[[#This Row],[Mensualité initial]]-Output[[#This Row],[Interet]]</f>
        <v>1426.1226980509382</v>
      </c>
      <c r="P107" s="15">
        <f>Output[[#This Row],[Capital Debut Period]]-Output[[#This Row],[Paiement Principal]]</f>
        <v>256304.42976972391</v>
      </c>
      <c r="Q107" s="15">
        <f>Output[[#This Row],[Droit Utilisation]]/Output[[#This Row],[Duree_Mois]]</f>
        <v>1578.388677857529</v>
      </c>
    </row>
    <row r="108" spans="1:17" x14ac:dyDescent="0.25">
      <c r="A108" s="11" t="s">
        <v>4</v>
      </c>
      <c r="B108" s="12">
        <v>43282</v>
      </c>
      <c r="C108">
        <v>2500</v>
      </c>
      <c r="D108">
        <v>20</v>
      </c>
      <c r="E108">
        <v>0.05</v>
      </c>
      <c r="F108">
        <v>240</v>
      </c>
      <c r="G108" s="13">
        <v>46538</v>
      </c>
      <c r="H108">
        <v>107</v>
      </c>
      <c r="I108">
        <v>107</v>
      </c>
      <c r="J108">
        <v>4.1666666666666666E-3</v>
      </c>
      <c r="K108" s="14">
        <v>1602.2095510122572</v>
      </c>
      <c r="L108" s="14">
        <v>378813.28268580697</v>
      </c>
      <c r="M108" s="36">
        <f>IF(Output[[#This Row],[Index]]=1,Output[[#This Row],[Droit Utilisation]],P107)</f>
        <v>256304.42976972391</v>
      </c>
      <c r="N108" s="15">
        <f>Output[[#This Row],[Capital Debut Period]]*Output[[#This Row],[Tx_interet_M]]</f>
        <v>1067.9351240405163</v>
      </c>
      <c r="O108" s="15">
        <f>Output[[#This Row],[Mensualité initial]]-Output[[#This Row],[Interet]]</f>
        <v>1432.0648759594837</v>
      </c>
      <c r="P108" s="15">
        <f>Output[[#This Row],[Capital Debut Period]]-Output[[#This Row],[Paiement Principal]]</f>
        <v>254872.36489376443</v>
      </c>
      <c r="Q108" s="15">
        <f>Output[[#This Row],[Droit Utilisation]]/Output[[#This Row],[Duree_Mois]]</f>
        <v>1578.388677857529</v>
      </c>
    </row>
    <row r="109" spans="1:17" x14ac:dyDescent="0.25">
      <c r="A109" s="11" t="s">
        <v>4</v>
      </c>
      <c r="B109" s="12">
        <v>43282</v>
      </c>
      <c r="C109">
        <v>2500</v>
      </c>
      <c r="D109">
        <v>20</v>
      </c>
      <c r="E109">
        <v>0.05</v>
      </c>
      <c r="F109">
        <v>240</v>
      </c>
      <c r="G109" s="13">
        <v>46568</v>
      </c>
      <c r="H109">
        <v>108</v>
      </c>
      <c r="I109">
        <v>108</v>
      </c>
      <c r="J109">
        <v>4.1666666666666666E-3</v>
      </c>
      <c r="K109" s="14">
        <v>1595.561378601418</v>
      </c>
      <c r="L109" s="14">
        <v>378813.28268580697</v>
      </c>
      <c r="M109" s="36">
        <f>IF(Output[[#This Row],[Index]]=1,Output[[#This Row],[Droit Utilisation]],P108)</f>
        <v>254872.36489376443</v>
      </c>
      <c r="N109" s="15">
        <f>Output[[#This Row],[Capital Debut Period]]*Output[[#This Row],[Tx_interet_M]]</f>
        <v>1061.9681870573518</v>
      </c>
      <c r="O109" s="15">
        <f>Output[[#This Row],[Mensualité initial]]-Output[[#This Row],[Interet]]</f>
        <v>1438.0318129426482</v>
      </c>
      <c r="P109" s="15">
        <f>Output[[#This Row],[Capital Debut Period]]-Output[[#This Row],[Paiement Principal]]</f>
        <v>253434.33308082179</v>
      </c>
      <c r="Q109" s="15">
        <f>Output[[#This Row],[Droit Utilisation]]/Output[[#This Row],[Duree_Mois]]</f>
        <v>1578.388677857529</v>
      </c>
    </row>
    <row r="110" spans="1:17" x14ac:dyDescent="0.25">
      <c r="A110" s="11" t="s">
        <v>4</v>
      </c>
      <c r="B110" s="12">
        <v>43282</v>
      </c>
      <c r="C110">
        <v>2500</v>
      </c>
      <c r="D110">
        <v>20</v>
      </c>
      <c r="E110">
        <v>0.05</v>
      </c>
      <c r="F110">
        <v>240</v>
      </c>
      <c r="G110" s="13">
        <v>46599</v>
      </c>
      <c r="H110">
        <v>109</v>
      </c>
      <c r="I110">
        <v>109</v>
      </c>
      <c r="J110">
        <v>4.1666666666666666E-3</v>
      </c>
      <c r="K110" s="14">
        <v>1588.9407919682171</v>
      </c>
      <c r="L110" s="14">
        <v>378813.28268580697</v>
      </c>
      <c r="M110" s="36">
        <f>IF(Output[[#This Row],[Index]]=1,Output[[#This Row],[Droit Utilisation]],P109)</f>
        <v>253434.33308082179</v>
      </c>
      <c r="N110" s="15">
        <f>Output[[#This Row],[Capital Debut Period]]*Output[[#This Row],[Tx_interet_M]]</f>
        <v>1055.9763878367573</v>
      </c>
      <c r="O110" s="15">
        <f>Output[[#This Row],[Mensualité initial]]-Output[[#This Row],[Interet]]</f>
        <v>1444.0236121632427</v>
      </c>
      <c r="P110" s="15">
        <f>Output[[#This Row],[Capital Debut Period]]-Output[[#This Row],[Paiement Principal]]</f>
        <v>251990.30946865855</v>
      </c>
      <c r="Q110" s="15">
        <f>Output[[#This Row],[Droit Utilisation]]/Output[[#This Row],[Duree_Mois]]</f>
        <v>1578.388677857529</v>
      </c>
    </row>
    <row r="111" spans="1:17" x14ac:dyDescent="0.25">
      <c r="A111" s="11" t="s">
        <v>4</v>
      </c>
      <c r="B111" s="12">
        <v>43282</v>
      </c>
      <c r="C111">
        <v>2500</v>
      </c>
      <c r="D111">
        <v>20</v>
      </c>
      <c r="E111">
        <v>0.05</v>
      </c>
      <c r="F111">
        <v>240</v>
      </c>
      <c r="G111" s="13">
        <v>46630</v>
      </c>
      <c r="H111">
        <v>110</v>
      </c>
      <c r="I111">
        <v>110</v>
      </c>
      <c r="J111">
        <v>4.1666666666666666E-3</v>
      </c>
      <c r="K111" s="14">
        <v>1582.347676648847</v>
      </c>
      <c r="L111" s="14">
        <v>378813.28268580697</v>
      </c>
      <c r="M111" s="36">
        <f>IF(Output[[#This Row],[Index]]=1,Output[[#This Row],[Droit Utilisation]],P110)</f>
        <v>251990.30946865855</v>
      </c>
      <c r="N111" s="15">
        <f>Output[[#This Row],[Capital Debut Period]]*Output[[#This Row],[Tx_interet_M]]</f>
        <v>1049.9596227860773</v>
      </c>
      <c r="O111" s="15">
        <f>Output[[#This Row],[Mensualité initial]]-Output[[#This Row],[Interet]]</f>
        <v>1450.0403772139227</v>
      </c>
      <c r="P111" s="15">
        <f>Output[[#This Row],[Capital Debut Period]]-Output[[#This Row],[Paiement Principal]]</f>
        <v>250540.26909144464</v>
      </c>
      <c r="Q111" s="15">
        <f>Output[[#This Row],[Droit Utilisation]]/Output[[#This Row],[Duree_Mois]]</f>
        <v>1578.388677857529</v>
      </c>
    </row>
    <row r="112" spans="1:17" x14ac:dyDescent="0.25">
      <c r="A112" s="11" t="s">
        <v>4</v>
      </c>
      <c r="B112" s="12">
        <v>43282</v>
      </c>
      <c r="C112">
        <v>2500</v>
      </c>
      <c r="D112">
        <v>20</v>
      </c>
      <c r="E112">
        <v>0.05</v>
      </c>
      <c r="F112">
        <v>240</v>
      </c>
      <c r="G112" s="13">
        <v>46660</v>
      </c>
      <c r="H112">
        <v>111</v>
      </c>
      <c r="I112">
        <v>111</v>
      </c>
      <c r="J112">
        <v>4.1666666666666666E-3</v>
      </c>
      <c r="K112" s="14">
        <v>1575.7819186544536</v>
      </c>
      <c r="L112" s="14">
        <v>378813.28268580697</v>
      </c>
      <c r="M112" s="36">
        <f>IF(Output[[#This Row],[Index]]=1,Output[[#This Row],[Droit Utilisation]],P111)</f>
        <v>250540.26909144464</v>
      </c>
      <c r="N112" s="15">
        <f>Output[[#This Row],[Capital Debut Period]]*Output[[#This Row],[Tx_interet_M]]</f>
        <v>1043.9177878810194</v>
      </c>
      <c r="O112" s="15">
        <f>Output[[#This Row],[Mensualité initial]]-Output[[#This Row],[Interet]]</f>
        <v>1456.0822121189806</v>
      </c>
      <c r="P112" s="15">
        <f>Output[[#This Row],[Capital Debut Period]]-Output[[#This Row],[Paiement Principal]]</f>
        <v>249084.18687932566</v>
      </c>
      <c r="Q112" s="15">
        <f>Output[[#This Row],[Droit Utilisation]]/Output[[#This Row],[Duree_Mois]]</f>
        <v>1578.388677857529</v>
      </c>
    </row>
    <row r="113" spans="1:17" x14ac:dyDescent="0.25">
      <c r="A113" s="11" t="s">
        <v>4</v>
      </c>
      <c r="B113" s="12">
        <v>43282</v>
      </c>
      <c r="C113">
        <v>2500</v>
      </c>
      <c r="D113">
        <v>20</v>
      </c>
      <c r="E113">
        <v>0.05</v>
      </c>
      <c r="F113">
        <v>240</v>
      </c>
      <c r="G113" s="13">
        <v>46691</v>
      </c>
      <c r="H113">
        <v>112</v>
      </c>
      <c r="I113">
        <v>112</v>
      </c>
      <c r="J113">
        <v>4.1666666666666666E-3</v>
      </c>
      <c r="K113" s="14">
        <v>1569.2434044691652</v>
      </c>
      <c r="L113" s="14">
        <v>378813.28268580697</v>
      </c>
      <c r="M113" s="36">
        <f>IF(Output[[#This Row],[Index]]=1,Output[[#This Row],[Droit Utilisation]],P112)</f>
        <v>249084.18687932566</v>
      </c>
      <c r="N113" s="15">
        <f>Output[[#This Row],[Capital Debut Period]]*Output[[#This Row],[Tx_interet_M]]</f>
        <v>1037.850778663857</v>
      </c>
      <c r="O113" s="15">
        <f>Output[[#This Row],[Mensualité initial]]-Output[[#This Row],[Interet]]</f>
        <v>1462.149221336143</v>
      </c>
      <c r="P113" s="15">
        <f>Output[[#This Row],[Capital Debut Period]]-Output[[#This Row],[Paiement Principal]]</f>
        <v>247622.03765798951</v>
      </c>
      <c r="Q113" s="15">
        <f>Output[[#This Row],[Droit Utilisation]]/Output[[#This Row],[Duree_Mois]]</f>
        <v>1578.388677857529</v>
      </c>
    </row>
    <row r="114" spans="1:17" x14ac:dyDescent="0.25">
      <c r="A114" s="11" t="s">
        <v>4</v>
      </c>
      <c r="B114" s="12">
        <v>43282</v>
      </c>
      <c r="C114">
        <v>2500</v>
      </c>
      <c r="D114">
        <v>20</v>
      </c>
      <c r="E114">
        <v>0.05</v>
      </c>
      <c r="F114">
        <v>240</v>
      </c>
      <c r="G114" s="13">
        <v>46721</v>
      </c>
      <c r="H114">
        <v>113</v>
      </c>
      <c r="I114">
        <v>113</v>
      </c>
      <c r="J114">
        <v>4.1666666666666666E-3</v>
      </c>
      <c r="K114" s="14">
        <v>1562.7320210481316</v>
      </c>
      <c r="L114" s="14">
        <v>378813.28268580697</v>
      </c>
      <c r="M114" s="36">
        <f>IF(Output[[#This Row],[Index]]=1,Output[[#This Row],[Droit Utilisation]],P113)</f>
        <v>247622.03765798951</v>
      </c>
      <c r="N114" s="15">
        <f>Output[[#This Row],[Capital Debut Period]]*Output[[#This Row],[Tx_interet_M]]</f>
        <v>1031.7584902416229</v>
      </c>
      <c r="O114" s="15">
        <f>Output[[#This Row],[Mensualité initial]]-Output[[#This Row],[Interet]]</f>
        <v>1468.2415097583771</v>
      </c>
      <c r="P114" s="15">
        <f>Output[[#This Row],[Capital Debut Period]]-Output[[#This Row],[Paiement Principal]]</f>
        <v>246153.79614823114</v>
      </c>
      <c r="Q114" s="15">
        <f>Output[[#This Row],[Droit Utilisation]]/Output[[#This Row],[Duree_Mois]]</f>
        <v>1578.388677857529</v>
      </c>
    </row>
    <row r="115" spans="1:17" x14ac:dyDescent="0.25">
      <c r="A115" s="11" t="s">
        <v>4</v>
      </c>
      <c r="B115" s="12">
        <v>43282</v>
      </c>
      <c r="C115">
        <v>2500</v>
      </c>
      <c r="D115">
        <v>20</v>
      </c>
      <c r="E115">
        <v>0.05</v>
      </c>
      <c r="F115">
        <v>240</v>
      </c>
      <c r="G115" s="13">
        <v>46752</v>
      </c>
      <c r="H115">
        <v>114</v>
      </c>
      <c r="I115">
        <v>114</v>
      </c>
      <c r="J115">
        <v>4.1666666666666666E-3</v>
      </c>
      <c r="K115" s="14">
        <v>1556.2476558155665</v>
      </c>
      <c r="L115" s="14">
        <v>378813.28268580697</v>
      </c>
      <c r="M115" s="36">
        <f>IF(Output[[#This Row],[Index]]=1,Output[[#This Row],[Droit Utilisation]],P114)</f>
        <v>246153.79614823114</v>
      </c>
      <c r="N115" s="15">
        <f>Output[[#This Row],[Capital Debut Period]]*Output[[#This Row],[Tx_interet_M]]</f>
        <v>1025.6408172842964</v>
      </c>
      <c r="O115" s="15">
        <f>Output[[#This Row],[Mensualité initial]]-Output[[#This Row],[Interet]]</f>
        <v>1474.3591827157036</v>
      </c>
      <c r="P115" s="15">
        <f>Output[[#This Row],[Capital Debut Period]]-Output[[#This Row],[Paiement Principal]]</f>
        <v>244679.43696551543</v>
      </c>
      <c r="Q115" s="15">
        <f>Output[[#This Row],[Droit Utilisation]]/Output[[#This Row],[Duree_Mois]]</f>
        <v>1578.388677857529</v>
      </c>
    </row>
    <row r="116" spans="1:17" x14ac:dyDescent="0.25">
      <c r="A116" s="11" t="s">
        <v>4</v>
      </c>
      <c r="B116" s="12">
        <v>43282</v>
      </c>
      <c r="C116">
        <v>2500</v>
      </c>
      <c r="D116">
        <v>20</v>
      </c>
      <c r="E116">
        <v>0.05</v>
      </c>
      <c r="F116">
        <v>240</v>
      </c>
      <c r="G116" s="13">
        <v>46783</v>
      </c>
      <c r="H116">
        <v>115</v>
      </c>
      <c r="I116">
        <v>115</v>
      </c>
      <c r="J116">
        <v>4.1666666666666666E-3</v>
      </c>
      <c r="K116" s="14">
        <v>1549.7901966628049</v>
      </c>
      <c r="L116" s="14">
        <v>378813.28268580697</v>
      </c>
      <c r="M116" s="36">
        <f>IF(Output[[#This Row],[Index]]=1,Output[[#This Row],[Droit Utilisation]],P115)</f>
        <v>244679.43696551543</v>
      </c>
      <c r="N116" s="15">
        <f>Output[[#This Row],[Capital Debut Period]]*Output[[#This Row],[Tx_interet_M]]</f>
        <v>1019.4976540229809</v>
      </c>
      <c r="O116" s="15">
        <f>Output[[#This Row],[Mensualité initial]]-Output[[#This Row],[Interet]]</f>
        <v>1480.5023459770191</v>
      </c>
      <c r="P116" s="15">
        <f>Output[[#This Row],[Capital Debut Period]]-Output[[#This Row],[Paiement Principal]]</f>
        <v>243198.9346195384</v>
      </c>
      <c r="Q116" s="15">
        <f>Output[[#This Row],[Droit Utilisation]]/Output[[#This Row],[Duree_Mois]]</f>
        <v>1578.388677857529</v>
      </c>
    </row>
    <row r="117" spans="1:17" x14ac:dyDescent="0.25">
      <c r="A117" s="11" t="s">
        <v>4</v>
      </c>
      <c r="B117" s="12">
        <v>43282</v>
      </c>
      <c r="C117">
        <v>2500</v>
      </c>
      <c r="D117">
        <v>20</v>
      </c>
      <c r="E117">
        <v>0.05</v>
      </c>
      <c r="F117">
        <v>240</v>
      </c>
      <c r="G117" s="13">
        <v>46812</v>
      </c>
      <c r="H117">
        <v>116</v>
      </c>
      <c r="I117">
        <v>116</v>
      </c>
      <c r="J117">
        <v>4.1666666666666666E-3</v>
      </c>
      <c r="K117" s="14">
        <v>1543.359531946362</v>
      </c>
      <c r="L117" s="14">
        <v>378813.28268580697</v>
      </c>
      <c r="M117" s="36">
        <f>IF(Output[[#This Row],[Index]]=1,Output[[#This Row],[Droit Utilisation]],P116)</f>
        <v>243198.9346195384</v>
      </c>
      <c r="N117" s="15">
        <f>Output[[#This Row],[Capital Debut Period]]*Output[[#This Row],[Tx_interet_M]]</f>
        <v>1013.3288942480766</v>
      </c>
      <c r="O117" s="15">
        <f>Output[[#This Row],[Mensualité initial]]-Output[[#This Row],[Interet]]</f>
        <v>1486.6711057519233</v>
      </c>
      <c r="P117" s="15">
        <f>Output[[#This Row],[Capital Debut Period]]-Output[[#This Row],[Paiement Principal]]</f>
        <v>241712.26351378649</v>
      </c>
      <c r="Q117" s="15">
        <f>Output[[#This Row],[Droit Utilisation]]/Output[[#This Row],[Duree_Mois]]</f>
        <v>1578.388677857529</v>
      </c>
    </row>
    <row r="118" spans="1:17" x14ac:dyDescent="0.25">
      <c r="A118" s="11" t="s">
        <v>4</v>
      </c>
      <c r="B118" s="12">
        <v>43282</v>
      </c>
      <c r="C118">
        <v>2500</v>
      </c>
      <c r="D118">
        <v>20</v>
      </c>
      <c r="E118">
        <v>0.05</v>
      </c>
      <c r="F118">
        <v>240</v>
      </c>
      <c r="G118" s="13">
        <v>46843</v>
      </c>
      <c r="H118">
        <v>117</v>
      </c>
      <c r="I118">
        <v>117</v>
      </c>
      <c r="J118">
        <v>4.1666666666666666E-3</v>
      </c>
      <c r="K118" s="14">
        <v>1536.9555504860036</v>
      </c>
      <c r="L118" s="14">
        <v>378813.28268580697</v>
      </c>
      <c r="M118" s="36">
        <f>IF(Output[[#This Row],[Index]]=1,Output[[#This Row],[Droit Utilisation]],P117)</f>
        <v>241712.26351378649</v>
      </c>
      <c r="N118" s="15">
        <f>Output[[#This Row],[Capital Debut Period]]*Output[[#This Row],[Tx_interet_M]]</f>
        <v>1007.1344313074437</v>
      </c>
      <c r="O118" s="15">
        <f>Output[[#This Row],[Mensualité initial]]-Output[[#This Row],[Interet]]</f>
        <v>1492.8655686925563</v>
      </c>
      <c r="P118" s="15">
        <f>Output[[#This Row],[Capital Debut Period]]-Output[[#This Row],[Paiement Principal]]</f>
        <v>240219.39794509392</v>
      </c>
      <c r="Q118" s="15">
        <f>Output[[#This Row],[Droit Utilisation]]/Output[[#This Row],[Duree_Mois]]</f>
        <v>1578.388677857529</v>
      </c>
    </row>
    <row r="119" spans="1:17" x14ac:dyDescent="0.25">
      <c r="A119" s="11" t="s">
        <v>4</v>
      </c>
      <c r="B119" s="12">
        <v>43282</v>
      </c>
      <c r="C119">
        <v>2500</v>
      </c>
      <c r="D119">
        <v>20</v>
      </c>
      <c r="E119">
        <v>0.05</v>
      </c>
      <c r="F119">
        <v>240</v>
      </c>
      <c r="G119" s="13">
        <v>46873</v>
      </c>
      <c r="H119">
        <v>118</v>
      </c>
      <c r="I119">
        <v>118</v>
      </c>
      <c r="J119">
        <v>4.1666666666666666E-3</v>
      </c>
      <c r="K119" s="14">
        <v>1530.5781415628251</v>
      </c>
      <c r="L119" s="14">
        <v>378813.28268580697</v>
      </c>
      <c r="M119" s="36">
        <f>IF(Output[[#This Row],[Index]]=1,Output[[#This Row],[Droit Utilisation]],P118)</f>
        <v>240219.39794509392</v>
      </c>
      <c r="N119" s="15">
        <f>Output[[#This Row],[Capital Debut Period]]*Output[[#This Row],[Tx_interet_M]]</f>
        <v>1000.9141581045579</v>
      </c>
      <c r="O119" s="15">
        <f>Output[[#This Row],[Mensualité initial]]-Output[[#This Row],[Interet]]</f>
        <v>1499.0858418954422</v>
      </c>
      <c r="P119" s="15">
        <f>Output[[#This Row],[Capital Debut Period]]-Output[[#This Row],[Paiement Principal]]</f>
        <v>238720.31210319849</v>
      </c>
      <c r="Q119" s="15">
        <f>Output[[#This Row],[Droit Utilisation]]/Output[[#This Row],[Duree_Mois]]</f>
        <v>1578.388677857529</v>
      </c>
    </row>
    <row r="120" spans="1:17" x14ac:dyDescent="0.25">
      <c r="A120" s="11" t="s">
        <v>4</v>
      </c>
      <c r="B120" s="12">
        <v>43282</v>
      </c>
      <c r="C120">
        <v>2500</v>
      </c>
      <c r="D120">
        <v>20</v>
      </c>
      <c r="E120">
        <v>0.05</v>
      </c>
      <c r="F120">
        <v>240</v>
      </c>
      <c r="G120" s="13">
        <v>46904</v>
      </c>
      <c r="H120">
        <v>119</v>
      </c>
      <c r="I120">
        <v>119</v>
      </c>
      <c r="J120">
        <v>4.1666666666666666E-3</v>
      </c>
      <c r="K120" s="14">
        <v>1524.2271949173362</v>
      </c>
      <c r="L120" s="14">
        <v>378813.28268580697</v>
      </c>
      <c r="M120" s="36">
        <f>IF(Output[[#This Row],[Index]]=1,Output[[#This Row],[Droit Utilisation]],P119)</f>
        <v>238720.31210319849</v>
      </c>
      <c r="N120" s="15">
        <f>Output[[#This Row],[Capital Debut Period]]*Output[[#This Row],[Tx_interet_M]]</f>
        <v>994.66796709666039</v>
      </c>
      <c r="O120" s="15">
        <f>Output[[#This Row],[Mensualité initial]]-Output[[#This Row],[Interet]]</f>
        <v>1505.3320329033395</v>
      </c>
      <c r="P120" s="15">
        <f>Output[[#This Row],[Capital Debut Period]]-Output[[#This Row],[Paiement Principal]]</f>
        <v>237214.98007029516</v>
      </c>
      <c r="Q120" s="15">
        <f>Output[[#This Row],[Droit Utilisation]]/Output[[#This Row],[Duree_Mois]]</f>
        <v>1578.388677857529</v>
      </c>
    </row>
    <row r="121" spans="1:17" x14ac:dyDescent="0.25">
      <c r="A121" s="11" t="s">
        <v>4</v>
      </c>
      <c r="B121" s="12">
        <v>43282</v>
      </c>
      <c r="C121">
        <v>2500</v>
      </c>
      <c r="D121">
        <v>20</v>
      </c>
      <c r="E121">
        <v>0.05</v>
      </c>
      <c r="F121">
        <v>240</v>
      </c>
      <c r="G121" s="13">
        <v>46934</v>
      </c>
      <c r="H121">
        <v>120</v>
      </c>
      <c r="I121">
        <v>120</v>
      </c>
      <c r="J121">
        <v>4.1666666666666666E-3</v>
      </c>
      <c r="K121" s="14">
        <v>1517.902600747555</v>
      </c>
      <c r="L121" s="14">
        <v>378813.28268580697</v>
      </c>
      <c r="M121" s="36">
        <f>IF(Output[[#This Row],[Index]]=1,Output[[#This Row],[Droit Utilisation]],P120)</f>
        <v>237214.98007029516</v>
      </c>
      <c r="N121" s="15">
        <f>Output[[#This Row],[Capital Debut Period]]*Output[[#This Row],[Tx_interet_M]]</f>
        <v>988.39575029289654</v>
      </c>
      <c r="O121" s="15">
        <f>Output[[#This Row],[Mensualité initial]]-Output[[#This Row],[Interet]]</f>
        <v>1511.6042497071035</v>
      </c>
      <c r="P121" s="15">
        <f>Output[[#This Row],[Capital Debut Period]]-Output[[#This Row],[Paiement Principal]]</f>
        <v>235703.37582058806</v>
      </c>
      <c r="Q121" s="15">
        <f>Output[[#This Row],[Droit Utilisation]]/Output[[#This Row],[Duree_Mois]]</f>
        <v>1578.388677857529</v>
      </c>
    </row>
    <row r="122" spans="1:17" x14ac:dyDescent="0.25">
      <c r="A122" s="11" t="s">
        <v>4</v>
      </c>
      <c r="B122" s="12">
        <v>43282</v>
      </c>
      <c r="C122">
        <v>2500</v>
      </c>
      <c r="D122">
        <v>20</v>
      </c>
      <c r="E122">
        <v>0.05</v>
      </c>
      <c r="F122">
        <v>240</v>
      </c>
      <c r="G122" s="13">
        <v>46965</v>
      </c>
      <c r="H122">
        <v>121</v>
      </c>
      <c r="I122">
        <v>121</v>
      </c>
      <c r="J122">
        <v>4.1666666666666666E-3</v>
      </c>
      <c r="K122" s="14">
        <v>1511.6042497071087</v>
      </c>
      <c r="L122" s="14">
        <v>378813.28268580697</v>
      </c>
      <c r="M122" s="36">
        <f>IF(Output[[#This Row],[Index]]=1,Output[[#This Row],[Droit Utilisation]],P121)</f>
        <v>235703.37582058806</v>
      </c>
      <c r="N122" s="15">
        <f>Output[[#This Row],[Capital Debut Period]]*Output[[#This Row],[Tx_interet_M]]</f>
        <v>982.09739925245026</v>
      </c>
      <c r="O122" s="15">
        <f>Output[[#This Row],[Mensualité initial]]-Output[[#This Row],[Interet]]</f>
        <v>1517.9026007475497</v>
      </c>
      <c r="P122" s="15">
        <f>Output[[#This Row],[Capital Debut Period]]-Output[[#This Row],[Paiement Principal]]</f>
        <v>234185.4732198405</v>
      </c>
      <c r="Q122" s="15">
        <f>Output[[#This Row],[Droit Utilisation]]/Output[[#This Row],[Duree_Mois]]</f>
        <v>1578.388677857529</v>
      </c>
    </row>
    <row r="123" spans="1:17" x14ac:dyDescent="0.25">
      <c r="A123" s="11" t="s">
        <v>4</v>
      </c>
      <c r="B123" s="12">
        <v>43282</v>
      </c>
      <c r="C123">
        <v>2500</v>
      </c>
      <c r="D123">
        <v>20</v>
      </c>
      <c r="E123">
        <v>0.05</v>
      </c>
      <c r="F123">
        <v>240</v>
      </c>
      <c r="G123" s="13">
        <v>46996</v>
      </c>
      <c r="H123">
        <v>122</v>
      </c>
      <c r="I123">
        <v>122</v>
      </c>
      <c r="J123">
        <v>4.1666666666666666E-3</v>
      </c>
      <c r="K123" s="14">
        <v>1505.3320329033445</v>
      </c>
      <c r="L123" s="14">
        <v>378813.28268580697</v>
      </c>
      <c r="M123" s="36">
        <f>IF(Output[[#This Row],[Index]]=1,Output[[#This Row],[Droit Utilisation]],P122)</f>
        <v>234185.4732198405</v>
      </c>
      <c r="N123" s="15">
        <f>Output[[#This Row],[Capital Debut Period]]*Output[[#This Row],[Tx_interet_M]]</f>
        <v>975.7728050826687</v>
      </c>
      <c r="O123" s="15">
        <f>Output[[#This Row],[Mensualité initial]]-Output[[#This Row],[Interet]]</f>
        <v>1524.2271949173314</v>
      </c>
      <c r="P123" s="15">
        <f>Output[[#This Row],[Capital Debut Period]]-Output[[#This Row],[Paiement Principal]]</f>
        <v>232661.24602492317</v>
      </c>
      <c r="Q123" s="15">
        <f>Output[[#This Row],[Droit Utilisation]]/Output[[#This Row],[Duree_Mois]]</f>
        <v>1578.388677857529</v>
      </c>
    </row>
    <row r="124" spans="1:17" x14ac:dyDescent="0.25">
      <c r="A124" s="11" t="s">
        <v>4</v>
      </c>
      <c r="B124" s="12">
        <v>43282</v>
      </c>
      <c r="C124">
        <v>2500</v>
      </c>
      <c r="D124">
        <v>20</v>
      </c>
      <c r="E124">
        <v>0.05</v>
      </c>
      <c r="F124">
        <v>240</v>
      </c>
      <c r="G124" s="13">
        <v>47026</v>
      </c>
      <c r="H124">
        <v>123</v>
      </c>
      <c r="I124">
        <v>123</v>
      </c>
      <c r="J124">
        <v>4.1666666666666666E-3</v>
      </c>
      <c r="K124" s="14">
        <v>1499.0858418954469</v>
      </c>
      <c r="L124" s="14">
        <v>378813.28268580697</v>
      </c>
      <c r="M124" s="36">
        <f>IF(Output[[#This Row],[Index]]=1,Output[[#This Row],[Droit Utilisation]],P123)</f>
        <v>232661.24602492317</v>
      </c>
      <c r="N124" s="15">
        <f>Output[[#This Row],[Capital Debut Period]]*Output[[#This Row],[Tx_interet_M]]</f>
        <v>969.42185843717982</v>
      </c>
      <c r="O124" s="15">
        <f>Output[[#This Row],[Mensualité initial]]-Output[[#This Row],[Interet]]</f>
        <v>1530.5781415628203</v>
      </c>
      <c r="P124" s="15">
        <f>Output[[#This Row],[Capital Debut Period]]-Output[[#This Row],[Paiement Principal]]</f>
        <v>231130.66788336035</v>
      </c>
      <c r="Q124" s="15">
        <f>Output[[#This Row],[Droit Utilisation]]/Output[[#This Row],[Duree_Mois]]</f>
        <v>1578.388677857529</v>
      </c>
    </row>
    <row r="125" spans="1:17" x14ac:dyDescent="0.25">
      <c r="A125" s="11" t="s">
        <v>4</v>
      </c>
      <c r="B125" s="12">
        <v>43282</v>
      </c>
      <c r="C125">
        <v>2500</v>
      </c>
      <c r="D125">
        <v>20</v>
      </c>
      <c r="E125">
        <v>0.05</v>
      </c>
      <c r="F125">
        <v>240</v>
      </c>
      <c r="G125" s="13">
        <v>47057</v>
      </c>
      <c r="H125">
        <v>124</v>
      </c>
      <c r="I125">
        <v>124</v>
      </c>
      <c r="J125">
        <v>4.1666666666666666E-3</v>
      </c>
      <c r="K125" s="14">
        <v>1492.8655686925613</v>
      </c>
      <c r="L125" s="14">
        <v>378813.28268580697</v>
      </c>
      <c r="M125" s="36">
        <f>IF(Output[[#This Row],[Index]]=1,Output[[#This Row],[Droit Utilisation]],P124)</f>
        <v>231130.66788336035</v>
      </c>
      <c r="N125" s="15">
        <f>Output[[#This Row],[Capital Debut Period]]*Output[[#This Row],[Tx_interet_M]]</f>
        <v>963.04444951400149</v>
      </c>
      <c r="O125" s="15">
        <f>Output[[#This Row],[Mensualité initial]]-Output[[#This Row],[Interet]]</f>
        <v>1536.9555504859986</v>
      </c>
      <c r="P125" s="15">
        <f>Output[[#This Row],[Capital Debut Period]]-Output[[#This Row],[Paiement Principal]]</f>
        <v>229593.71233287436</v>
      </c>
      <c r="Q125" s="15">
        <f>Output[[#This Row],[Droit Utilisation]]/Output[[#This Row],[Duree_Mois]]</f>
        <v>1578.388677857529</v>
      </c>
    </row>
    <row r="126" spans="1:17" x14ac:dyDescent="0.25">
      <c r="A126" s="11" t="s">
        <v>4</v>
      </c>
      <c r="B126" s="12">
        <v>43282</v>
      </c>
      <c r="C126">
        <v>2500</v>
      </c>
      <c r="D126">
        <v>20</v>
      </c>
      <c r="E126">
        <v>0.05</v>
      </c>
      <c r="F126">
        <v>240</v>
      </c>
      <c r="G126" s="13">
        <v>47087</v>
      </c>
      <c r="H126">
        <v>125</v>
      </c>
      <c r="I126">
        <v>125</v>
      </c>
      <c r="J126">
        <v>4.1666666666666666E-3</v>
      </c>
      <c r="K126" s="14">
        <v>1486.6711057519283</v>
      </c>
      <c r="L126" s="14">
        <v>378813.28268580697</v>
      </c>
      <c r="M126" s="36">
        <f>IF(Output[[#This Row],[Index]]=1,Output[[#This Row],[Droit Utilisation]],P125)</f>
        <v>229593.71233287436</v>
      </c>
      <c r="N126" s="15">
        <f>Output[[#This Row],[Capital Debut Period]]*Output[[#This Row],[Tx_interet_M]]</f>
        <v>956.64046805364319</v>
      </c>
      <c r="O126" s="15">
        <f>Output[[#This Row],[Mensualité initial]]-Output[[#This Row],[Interet]]</f>
        <v>1543.3595319463568</v>
      </c>
      <c r="P126" s="15">
        <f>Output[[#This Row],[Capital Debut Period]]-Output[[#This Row],[Paiement Principal]]</f>
        <v>228050.352800928</v>
      </c>
      <c r="Q126" s="15">
        <f>Output[[#This Row],[Droit Utilisation]]/Output[[#This Row],[Duree_Mois]]</f>
        <v>1578.388677857529</v>
      </c>
    </row>
    <row r="127" spans="1:17" x14ac:dyDescent="0.25">
      <c r="A127" s="11" t="s">
        <v>4</v>
      </c>
      <c r="B127" s="12">
        <v>43282</v>
      </c>
      <c r="C127">
        <v>2500</v>
      </c>
      <c r="D127">
        <v>20</v>
      </c>
      <c r="E127">
        <v>0.05</v>
      </c>
      <c r="F127">
        <v>240</v>
      </c>
      <c r="G127" s="13">
        <v>47118</v>
      </c>
      <c r="H127">
        <v>126</v>
      </c>
      <c r="I127">
        <v>126</v>
      </c>
      <c r="J127">
        <v>4.1666666666666666E-3</v>
      </c>
      <c r="K127" s="14">
        <v>1480.5023459770239</v>
      </c>
      <c r="L127" s="14">
        <v>378813.28268580697</v>
      </c>
      <c r="M127" s="36">
        <f>IF(Output[[#This Row],[Index]]=1,Output[[#This Row],[Droit Utilisation]],P126)</f>
        <v>228050.352800928</v>
      </c>
      <c r="N127" s="15">
        <f>Output[[#This Row],[Capital Debut Period]]*Output[[#This Row],[Tx_interet_M]]</f>
        <v>950.20980333720001</v>
      </c>
      <c r="O127" s="15">
        <f>Output[[#This Row],[Mensualité initial]]-Output[[#This Row],[Interet]]</f>
        <v>1549.7901966628001</v>
      </c>
      <c r="P127" s="15">
        <f>Output[[#This Row],[Capital Debut Period]]-Output[[#This Row],[Paiement Principal]]</f>
        <v>226500.5626042652</v>
      </c>
      <c r="Q127" s="15">
        <f>Output[[#This Row],[Droit Utilisation]]/Output[[#This Row],[Duree_Mois]]</f>
        <v>1578.388677857529</v>
      </c>
    </row>
    <row r="128" spans="1:17" x14ac:dyDescent="0.25">
      <c r="A128" s="11" t="s">
        <v>4</v>
      </c>
      <c r="B128" s="12">
        <v>43282</v>
      </c>
      <c r="C128">
        <v>2500</v>
      </c>
      <c r="D128">
        <v>20</v>
      </c>
      <c r="E128">
        <v>0.05</v>
      </c>
      <c r="F128">
        <v>240</v>
      </c>
      <c r="G128" s="13">
        <v>47149</v>
      </c>
      <c r="H128">
        <v>127</v>
      </c>
      <c r="I128">
        <v>127</v>
      </c>
      <c r="J128">
        <v>4.1666666666666666E-3</v>
      </c>
      <c r="K128" s="14">
        <v>1474.3591827157086</v>
      </c>
      <c r="L128" s="14">
        <v>378813.28268580697</v>
      </c>
      <c r="M128" s="36">
        <f>IF(Output[[#This Row],[Index]]=1,Output[[#This Row],[Droit Utilisation]],P127)</f>
        <v>226500.5626042652</v>
      </c>
      <c r="N128" s="15">
        <f>Output[[#This Row],[Capital Debut Period]]*Output[[#This Row],[Tx_interet_M]]</f>
        <v>943.75234418443836</v>
      </c>
      <c r="O128" s="15">
        <f>Output[[#This Row],[Mensualité initial]]-Output[[#This Row],[Interet]]</f>
        <v>1556.2476558155618</v>
      </c>
      <c r="P128" s="15">
        <f>Output[[#This Row],[Capital Debut Period]]-Output[[#This Row],[Paiement Principal]]</f>
        <v>224944.31494844964</v>
      </c>
      <c r="Q128" s="15">
        <f>Output[[#This Row],[Droit Utilisation]]/Output[[#This Row],[Duree_Mois]]</f>
        <v>1578.388677857529</v>
      </c>
    </row>
    <row r="129" spans="1:17" x14ac:dyDescent="0.25">
      <c r="A129" s="11" t="s">
        <v>4</v>
      </c>
      <c r="B129" s="12">
        <v>43282</v>
      </c>
      <c r="C129">
        <v>2500</v>
      </c>
      <c r="D129">
        <v>20</v>
      </c>
      <c r="E129">
        <v>0.05</v>
      </c>
      <c r="F129">
        <v>240</v>
      </c>
      <c r="G129" s="13">
        <v>47177</v>
      </c>
      <c r="H129">
        <v>128</v>
      </c>
      <c r="I129">
        <v>128</v>
      </c>
      <c r="J129">
        <v>4.1666666666666666E-3</v>
      </c>
      <c r="K129" s="14">
        <v>1468.2415097583821</v>
      </c>
      <c r="L129" s="14">
        <v>378813.28268580697</v>
      </c>
      <c r="M129" s="36">
        <f>IF(Output[[#This Row],[Index]]=1,Output[[#This Row],[Droit Utilisation]],P128)</f>
        <v>224944.31494844964</v>
      </c>
      <c r="N129" s="15">
        <f>Output[[#This Row],[Capital Debut Period]]*Output[[#This Row],[Tx_interet_M]]</f>
        <v>937.26797895187349</v>
      </c>
      <c r="O129" s="15">
        <f>Output[[#This Row],[Mensualité initial]]-Output[[#This Row],[Interet]]</f>
        <v>1562.7320210481266</v>
      </c>
      <c r="P129" s="15">
        <f>Output[[#This Row],[Capital Debut Period]]-Output[[#This Row],[Paiement Principal]]</f>
        <v>223381.58292740153</v>
      </c>
      <c r="Q129" s="15">
        <f>Output[[#This Row],[Droit Utilisation]]/Output[[#This Row],[Duree_Mois]]</f>
        <v>1578.388677857529</v>
      </c>
    </row>
    <row r="130" spans="1:17" x14ac:dyDescent="0.25">
      <c r="A130" s="11" t="s">
        <v>4</v>
      </c>
      <c r="B130" s="12">
        <v>43282</v>
      </c>
      <c r="C130">
        <v>2500</v>
      </c>
      <c r="D130">
        <v>20</v>
      </c>
      <c r="E130">
        <v>0.05</v>
      </c>
      <c r="F130">
        <v>240</v>
      </c>
      <c r="G130" s="13">
        <v>47208</v>
      </c>
      <c r="H130">
        <v>129</v>
      </c>
      <c r="I130">
        <v>129</v>
      </c>
      <c r="J130">
        <v>4.1666666666666666E-3</v>
      </c>
      <c r="K130" s="14">
        <v>1462.149221336148</v>
      </c>
      <c r="L130" s="14">
        <v>378813.28268580697</v>
      </c>
      <c r="M130" s="36">
        <f>IF(Output[[#This Row],[Index]]=1,Output[[#This Row],[Droit Utilisation]],P129)</f>
        <v>223381.58292740153</v>
      </c>
      <c r="N130" s="15">
        <f>Output[[#This Row],[Capital Debut Period]]*Output[[#This Row],[Tx_interet_M]]</f>
        <v>930.75659553083972</v>
      </c>
      <c r="O130" s="15">
        <f>Output[[#This Row],[Mensualité initial]]-Output[[#This Row],[Interet]]</f>
        <v>1569.2434044691604</v>
      </c>
      <c r="P130" s="15">
        <f>Output[[#This Row],[Capital Debut Period]]-Output[[#This Row],[Paiement Principal]]</f>
        <v>221812.33952293237</v>
      </c>
      <c r="Q130" s="15">
        <f>Output[[#This Row],[Droit Utilisation]]/Output[[#This Row],[Duree_Mois]]</f>
        <v>1578.388677857529</v>
      </c>
    </row>
    <row r="131" spans="1:17" x14ac:dyDescent="0.25">
      <c r="A131" s="11" t="s">
        <v>4</v>
      </c>
      <c r="B131" s="12">
        <v>43282</v>
      </c>
      <c r="C131">
        <v>2500</v>
      </c>
      <c r="D131">
        <v>20</v>
      </c>
      <c r="E131">
        <v>0.05</v>
      </c>
      <c r="F131">
        <v>240</v>
      </c>
      <c r="G131" s="13">
        <v>47238</v>
      </c>
      <c r="H131">
        <v>130</v>
      </c>
      <c r="I131">
        <v>130</v>
      </c>
      <c r="J131">
        <v>4.1666666666666666E-3</v>
      </c>
      <c r="K131" s="14">
        <v>1456.0822121189856</v>
      </c>
      <c r="L131" s="14">
        <v>378813.28268580697</v>
      </c>
      <c r="M131" s="36">
        <f>IF(Output[[#This Row],[Index]]=1,Output[[#This Row],[Droit Utilisation]],P130)</f>
        <v>221812.33952293237</v>
      </c>
      <c r="N131" s="15">
        <f>Output[[#This Row],[Capital Debut Period]]*Output[[#This Row],[Tx_interet_M]]</f>
        <v>924.21808134555147</v>
      </c>
      <c r="O131" s="15">
        <f>Output[[#This Row],[Mensualité initial]]-Output[[#This Row],[Interet]]</f>
        <v>1575.7819186544484</v>
      </c>
      <c r="P131" s="15">
        <f>Output[[#This Row],[Capital Debut Period]]-Output[[#This Row],[Paiement Principal]]</f>
        <v>220236.55760427791</v>
      </c>
      <c r="Q131" s="15">
        <f>Output[[#This Row],[Droit Utilisation]]/Output[[#This Row],[Duree_Mois]]</f>
        <v>1578.388677857529</v>
      </c>
    </row>
    <row r="132" spans="1:17" x14ac:dyDescent="0.25">
      <c r="A132" s="11" t="s">
        <v>4</v>
      </c>
      <c r="B132" s="12">
        <v>43282</v>
      </c>
      <c r="C132">
        <v>2500</v>
      </c>
      <c r="D132">
        <v>20</v>
      </c>
      <c r="E132">
        <v>0.05</v>
      </c>
      <c r="F132">
        <v>240</v>
      </c>
      <c r="G132" s="13">
        <v>47269</v>
      </c>
      <c r="H132">
        <v>131</v>
      </c>
      <c r="I132">
        <v>131</v>
      </c>
      <c r="J132">
        <v>4.1666666666666666E-3</v>
      </c>
      <c r="K132" s="14">
        <v>1450.0403772139275</v>
      </c>
      <c r="L132" s="14">
        <v>378813.28268580697</v>
      </c>
      <c r="M132" s="36">
        <f>IF(Output[[#This Row],[Index]]=1,Output[[#This Row],[Droit Utilisation]],P131)</f>
        <v>220236.55760427791</v>
      </c>
      <c r="N132" s="15">
        <f>Output[[#This Row],[Capital Debut Period]]*Output[[#This Row],[Tx_interet_M]]</f>
        <v>917.65232335115797</v>
      </c>
      <c r="O132" s="15">
        <f>Output[[#This Row],[Mensualité initial]]-Output[[#This Row],[Interet]]</f>
        <v>1582.347676648842</v>
      </c>
      <c r="P132" s="15">
        <f>Output[[#This Row],[Capital Debut Period]]-Output[[#This Row],[Paiement Principal]]</f>
        <v>218654.20992762907</v>
      </c>
      <c r="Q132" s="15">
        <f>Output[[#This Row],[Droit Utilisation]]/Output[[#This Row],[Duree_Mois]]</f>
        <v>1578.388677857529</v>
      </c>
    </row>
    <row r="133" spans="1:17" x14ac:dyDescent="0.25">
      <c r="A133" s="11" t="s">
        <v>4</v>
      </c>
      <c r="B133" s="12">
        <v>43282</v>
      </c>
      <c r="C133">
        <v>2500</v>
      </c>
      <c r="D133">
        <v>20</v>
      </c>
      <c r="E133">
        <v>0.05</v>
      </c>
      <c r="F133">
        <v>240</v>
      </c>
      <c r="G133" s="13">
        <v>47299</v>
      </c>
      <c r="H133">
        <v>132</v>
      </c>
      <c r="I133">
        <v>132</v>
      </c>
      <c r="J133">
        <v>4.1666666666666666E-3</v>
      </c>
      <c r="K133" s="14">
        <v>1444.0236121632474</v>
      </c>
      <c r="L133" s="14">
        <v>378813.28268580697</v>
      </c>
      <c r="M133" s="36">
        <f>IF(Output[[#This Row],[Index]]=1,Output[[#This Row],[Droit Utilisation]],P132)</f>
        <v>218654.20992762907</v>
      </c>
      <c r="N133" s="15">
        <f>Output[[#This Row],[Capital Debut Period]]*Output[[#This Row],[Tx_interet_M]]</f>
        <v>911.05920803178776</v>
      </c>
      <c r="O133" s="15">
        <f>Output[[#This Row],[Mensualité initial]]-Output[[#This Row],[Interet]]</f>
        <v>1588.9407919682121</v>
      </c>
      <c r="P133" s="15">
        <f>Output[[#This Row],[Capital Debut Period]]-Output[[#This Row],[Paiement Principal]]</f>
        <v>217065.26913566087</v>
      </c>
      <c r="Q133" s="15">
        <f>Output[[#This Row],[Droit Utilisation]]/Output[[#This Row],[Duree_Mois]]</f>
        <v>1578.388677857529</v>
      </c>
    </row>
    <row r="134" spans="1:17" x14ac:dyDescent="0.25">
      <c r="A134" s="11" t="s">
        <v>4</v>
      </c>
      <c r="B134" s="12">
        <v>43282</v>
      </c>
      <c r="C134">
        <v>2500</v>
      </c>
      <c r="D134">
        <v>20</v>
      </c>
      <c r="E134">
        <v>0.05</v>
      </c>
      <c r="F134">
        <v>240</v>
      </c>
      <c r="G134" s="13">
        <v>47330</v>
      </c>
      <c r="H134">
        <v>133</v>
      </c>
      <c r="I134">
        <v>133</v>
      </c>
      <c r="J134">
        <v>4.1666666666666666E-3</v>
      </c>
      <c r="K134" s="14">
        <v>1438.031812942653</v>
      </c>
      <c r="L134" s="14">
        <v>378813.28268580697</v>
      </c>
      <c r="M134" s="36">
        <f>IF(Output[[#This Row],[Index]]=1,Output[[#This Row],[Droit Utilisation]],P133)</f>
        <v>217065.26913566087</v>
      </c>
      <c r="N134" s="15">
        <f>Output[[#This Row],[Capital Debut Period]]*Output[[#This Row],[Tx_interet_M]]</f>
        <v>904.43862139858697</v>
      </c>
      <c r="O134" s="15">
        <f>Output[[#This Row],[Mensualité initial]]-Output[[#This Row],[Interet]]</f>
        <v>1595.561378601413</v>
      </c>
      <c r="P134" s="15">
        <f>Output[[#This Row],[Capital Debut Period]]-Output[[#This Row],[Paiement Principal]]</f>
        <v>215469.70775705946</v>
      </c>
      <c r="Q134" s="15">
        <f>Output[[#This Row],[Droit Utilisation]]/Output[[#This Row],[Duree_Mois]]</f>
        <v>1578.388677857529</v>
      </c>
    </row>
    <row r="135" spans="1:17" x14ac:dyDescent="0.25">
      <c r="A135" s="11" t="s">
        <v>4</v>
      </c>
      <c r="B135" s="12">
        <v>43282</v>
      </c>
      <c r="C135">
        <v>2500</v>
      </c>
      <c r="D135">
        <v>20</v>
      </c>
      <c r="E135">
        <v>0.05</v>
      </c>
      <c r="F135">
        <v>240</v>
      </c>
      <c r="G135" s="13">
        <v>47361</v>
      </c>
      <c r="H135">
        <v>134</v>
      </c>
      <c r="I135">
        <v>134</v>
      </c>
      <c r="J135">
        <v>4.1666666666666666E-3</v>
      </c>
      <c r="K135" s="14">
        <v>1432.0648759594887</v>
      </c>
      <c r="L135" s="14">
        <v>378813.28268580697</v>
      </c>
      <c r="M135" s="36">
        <f>IF(Output[[#This Row],[Index]]=1,Output[[#This Row],[Droit Utilisation]],P134)</f>
        <v>215469.70775705946</v>
      </c>
      <c r="N135" s="15">
        <f>Output[[#This Row],[Capital Debut Period]]*Output[[#This Row],[Tx_interet_M]]</f>
        <v>897.79044898774771</v>
      </c>
      <c r="O135" s="15">
        <f>Output[[#This Row],[Mensualité initial]]-Output[[#This Row],[Interet]]</f>
        <v>1602.2095510122522</v>
      </c>
      <c r="P135" s="15">
        <f>Output[[#This Row],[Capital Debut Period]]-Output[[#This Row],[Paiement Principal]]</f>
        <v>213867.4982060472</v>
      </c>
      <c r="Q135" s="15">
        <f>Output[[#This Row],[Droit Utilisation]]/Output[[#This Row],[Duree_Mois]]</f>
        <v>1578.388677857529</v>
      </c>
    </row>
    <row r="136" spans="1:17" x14ac:dyDescent="0.25">
      <c r="A136" s="11" t="s">
        <v>4</v>
      </c>
      <c r="B136" s="12">
        <v>43282</v>
      </c>
      <c r="C136">
        <v>2500</v>
      </c>
      <c r="D136">
        <v>20</v>
      </c>
      <c r="E136">
        <v>0.05</v>
      </c>
      <c r="F136">
        <v>240</v>
      </c>
      <c r="G136" s="13">
        <v>47391</v>
      </c>
      <c r="H136">
        <v>135</v>
      </c>
      <c r="I136">
        <v>135</v>
      </c>
      <c r="J136">
        <v>4.1666666666666666E-3</v>
      </c>
      <c r="K136" s="14">
        <v>1426.1226980509432</v>
      </c>
      <c r="L136" s="14">
        <v>378813.28268580697</v>
      </c>
      <c r="M136" s="36">
        <f>IF(Output[[#This Row],[Index]]=1,Output[[#This Row],[Droit Utilisation]],P135)</f>
        <v>213867.4982060472</v>
      </c>
      <c r="N136" s="15">
        <f>Output[[#This Row],[Capital Debut Period]]*Output[[#This Row],[Tx_interet_M]]</f>
        <v>891.11457585852997</v>
      </c>
      <c r="O136" s="15">
        <f>Output[[#This Row],[Mensualité initial]]-Output[[#This Row],[Interet]]</f>
        <v>1608.8854241414701</v>
      </c>
      <c r="P136" s="15">
        <f>Output[[#This Row],[Capital Debut Period]]-Output[[#This Row],[Paiement Principal]]</f>
        <v>212258.61278190571</v>
      </c>
      <c r="Q136" s="15">
        <f>Output[[#This Row],[Droit Utilisation]]/Output[[#This Row],[Duree_Mois]]</f>
        <v>1578.388677857529</v>
      </c>
    </row>
    <row r="137" spans="1:17" x14ac:dyDescent="0.25">
      <c r="A137" s="11" t="s">
        <v>4</v>
      </c>
      <c r="B137" s="12">
        <v>43282</v>
      </c>
      <c r="C137">
        <v>2500</v>
      </c>
      <c r="D137">
        <v>20</v>
      </c>
      <c r="E137">
        <v>0.05</v>
      </c>
      <c r="F137">
        <v>240</v>
      </c>
      <c r="G137" s="13">
        <v>47422</v>
      </c>
      <c r="H137">
        <v>136</v>
      </c>
      <c r="I137">
        <v>136</v>
      </c>
      <c r="J137">
        <v>4.1666666666666666E-3</v>
      </c>
      <c r="K137" s="14">
        <v>1420.2051764822668</v>
      </c>
      <c r="L137" s="14">
        <v>378813.28268580697</v>
      </c>
      <c r="M137" s="36">
        <f>IF(Output[[#This Row],[Index]]=1,Output[[#This Row],[Droit Utilisation]],P136)</f>
        <v>212258.61278190571</v>
      </c>
      <c r="N137" s="15">
        <f>Output[[#This Row],[Capital Debut Period]]*Output[[#This Row],[Tx_interet_M]]</f>
        <v>884.41088659127377</v>
      </c>
      <c r="O137" s="15">
        <f>Output[[#This Row],[Mensualité initial]]-Output[[#This Row],[Interet]]</f>
        <v>1615.5891134087262</v>
      </c>
      <c r="P137" s="15">
        <f>Output[[#This Row],[Capital Debut Period]]-Output[[#This Row],[Paiement Principal]]</f>
        <v>210643.02366849699</v>
      </c>
      <c r="Q137" s="15">
        <f>Output[[#This Row],[Droit Utilisation]]/Output[[#This Row],[Duree_Mois]]</f>
        <v>1578.388677857529</v>
      </c>
    </row>
    <row r="138" spans="1:17" x14ac:dyDescent="0.25">
      <c r="A138" s="11" t="s">
        <v>4</v>
      </c>
      <c r="B138" s="12">
        <v>43282</v>
      </c>
      <c r="C138">
        <v>2500</v>
      </c>
      <c r="D138">
        <v>20</v>
      </c>
      <c r="E138">
        <v>0.05</v>
      </c>
      <c r="F138">
        <v>240</v>
      </c>
      <c r="G138" s="13">
        <v>47452</v>
      </c>
      <c r="H138">
        <v>137</v>
      </c>
      <c r="I138">
        <v>137</v>
      </c>
      <c r="J138">
        <v>4.1666666666666666E-3</v>
      </c>
      <c r="K138" s="14">
        <v>1414.3122089449962</v>
      </c>
      <c r="L138" s="14">
        <v>378813.28268580697</v>
      </c>
      <c r="M138" s="36">
        <f>IF(Output[[#This Row],[Index]]=1,Output[[#This Row],[Droit Utilisation]],P137)</f>
        <v>210643.02366849699</v>
      </c>
      <c r="N138" s="15">
        <f>Output[[#This Row],[Capital Debut Period]]*Output[[#This Row],[Tx_interet_M]]</f>
        <v>877.67926528540409</v>
      </c>
      <c r="O138" s="15">
        <f>Output[[#This Row],[Mensualité initial]]-Output[[#This Row],[Interet]]</f>
        <v>1622.3207347145958</v>
      </c>
      <c r="P138" s="15">
        <f>Output[[#This Row],[Capital Debut Period]]-Output[[#This Row],[Paiement Principal]]</f>
        <v>209020.70293378239</v>
      </c>
      <c r="Q138" s="15">
        <f>Output[[#This Row],[Droit Utilisation]]/Output[[#This Row],[Duree_Mois]]</f>
        <v>1578.388677857529</v>
      </c>
    </row>
    <row r="139" spans="1:17" x14ac:dyDescent="0.25">
      <c r="A139" s="11" t="s">
        <v>4</v>
      </c>
      <c r="B139" s="12">
        <v>43282</v>
      </c>
      <c r="C139">
        <v>2500</v>
      </c>
      <c r="D139">
        <v>20</v>
      </c>
      <c r="E139">
        <v>0.05</v>
      </c>
      <c r="F139">
        <v>240</v>
      </c>
      <c r="G139" s="13">
        <v>47483</v>
      </c>
      <c r="H139">
        <v>138</v>
      </c>
      <c r="I139">
        <v>138</v>
      </c>
      <c r="J139">
        <v>4.1666666666666666E-3</v>
      </c>
      <c r="K139" s="14">
        <v>1408.4436935551828</v>
      </c>
      <c r="L139" s="14">
        <v>378813.28268580697</v>
      </c>
      <c r="M139" s="36">
        <f>IF(Output[[#This Row],[Index]]=1,Output[[#This Row],[Droit Utilisation]],P138)</f>
        <v>209020.70293378239</v>
      </c>
      <c r="N139" s="15">
        <f>Output[[#This Row],[Capital Debut Period]]*Output[[#This Row],[Tx_interet_M]]</f>
        <v>870.91959555742665</v>
      </c>
      <c r="O139" s="15">
        <f>Output[[#This Row],[Mensualité initial]]-Output[[#This Row],[Interet]]</f>
        <v>1629.0804044425734</v>
      </c>
      <c r="P139" s="15">
        <f>Output[[#This Row],[Capital Debut Period]]-Output[[#This Row],[Paiement Principal]]</f>
        <v>207391.62252933983</v>
      </c>
      <c r="Q139" s="15">
        <f>Output[[#This Row],[Droit Utilisation]]/Output[[#This Row],[Duree_Mois]]</f>
        <v>1578.388677857529</v>
      </c>
    </row>
    <row r="140" spans="1:17" x14ac:dyDescent="0.25">
      <c r="A140" s="11" t="s">
        <v>4</v>
      </c>
      <c r="B140" s="12">
        <v>43282</v>
      </c>
      <c r="C140">
        <v>2500</v>
      </c>
      <c r="D140">
        <v>20</v>
      </c>
      <c r="E140">
        <v>0.05</v>
      </c>
      <c r="F140">
        <v>240</v>
      </c>
      <c r="G140" s="13">
        <v>47514</v>
      </c>
      <c r="H140">
        <v>139</v>
      </c>
      <c r="I140">
        <v>139</v>
      </c>
      <c r="J140">
        <v>4.1666666666666666E-3</v>
      </c>
      <c r="K140" s="14">
        <v>1402.5995288516344</v>
      </c>
      <c r="L140" s="14">
        <v>378813.28268580697</v>
      </c>
      <c r="M140" s="36">
        <f>IF(Output[[#This Row],[Index]]=1,Output[[#This Row],[Droit Utilisation]],P139)</f>
        <v>207391.62252933983</v>
      </c>
      <c r="N140" s="15">
        <f>Output[[#This Row],[Capital Debut Period]]*Output[[#This Row],[Tx_interet_M]]</f>
        <v>864.13176053891596</v>
      </c>
      <c r="O140" s="15">
        <f>Output[[#This Row],[Mensualité initial]]-Output[[#This Row],[Interet]]</f>
        <v>1635.8682394610842</v>
      </c>
      <c r="P140" s="15">
        <f>Output[[#This Row],[Capital Debut Period]]-Output[[#This Row],[Paiement Principal]]</f>
        <v>205755.75428987874</v>
      </c>
      <c r="Q140" s="15">
        <f>Output[[#This Row],[Droit Utilisation]]/Output[[#This Row],[Duree_Mois]]</f>
        <v>1578.388677857529</v>
      </c>
    </row>
    <row r="141" spans="1:17" x14ac:dyDescent="0.25">
      <c r="A141" s="11" t="s">
        <v>4</v>
      </c>
      <c r="B141" s="12">
        <v>43282</v>
      </c>
      <c r="C141">
        <v>2500</v>
      </c>
      <c r="D141">
        <v>20</v>
      </c>
      <c r="E141">
        <v>0.05</v>
      </c>
      <c r="F141">
        <v>240</v>
      </c>
      <c r="G141" s="13">
        <v>47542</v>
      </c>
      <c r="H141">
        <v>140</v>
      </c>
      <c r="I141">
        <v>140</v>
      </c>
      <c r="J141">
        <v>4.1666666666666666E-3</v>
      </c>
      <c r="K141" s="14">
        <v>1396.7796137941589</v>
      </c>
      <c r="L141" s="14">
        <v>378813.28268580697</v>
      </c>
      <c r="M141" s="36">
        <f>IF(Output[[#This Row],[Index]]=1,Output[[#This Row],[Droit Utilisation]],P140)</f>
        <v>205755.75428987874</v>
      </c>
      <c r="N141" s="15">
        <f>Output[[#This Row],[Capital Debut Period]]*Output[[#This Row],[Tx_interet_M]]</f>
        <v>857.31564287449476</v>
      </c>
      <c r="O141" s="15">
        <f>Output[[#This Row],[Mensualité initial]]-Output[[#This Row],[Interet]]</f>
        <v>1642.6843571255054</v>
      </c>
      <c r="P141" s="15">
        <f>Output[[#This Row],[Capital Debut Period]]-Output[[#This Row],[Paiement Principal]]</f>
        <v>204113.06993275322</v>
      </c>
      <c r="Q141" s="15">
        <f>Output[[#This Row],[Droit Utilisation]]/Output[[#This Row],[Duree_Mois]]</f>
        <v>1578.388677857529</v>
      </c>
    </row>
    <row r="142" spans="1:17" x14ac:dyDescent="0.25">
      <c r="A142" s="11" t="s">
        <v>4</v>
      </c>
      <c r="B142" s="12">
        <v>43282</v>
      </c>
      <c r="C142">
        <v>2500</v>
      </c>
      <c r="D142">
        <v>20</v>
      </c>
      <c r="E142">
        <v>0.05</v>
      </c>
      <c r="F142">
        <v>240</v>
      </c>
      <c r="G142" s="13">
        <v>47573</v>
      </c>
      <c r="H142">
        <v>141</v>
      </c>
      <c r="I142">
        <v>141</v>
      </c>
      <c r="J142">
        <v>4.1666666666666666E-3</v>
      </c>
      <c r="K142" s="14">
        <v>1390.983847761818</v>
      </c>
      <c r="L142" s="14">
        <v>378813.28268580697</v>
      </c>
      <c r="M142" s="36">
        <f>IF(Output[[#This Row],[Index]]=1,Output[[#This Row],[Droit Utilisation]],P141)</f>
        <v>204113.06993275322</v>
      </c>
      <c r="N142" s="15">
        <f>Output[[#This Row],[Capital Debut Period]]*Output[[#This Row],[Tx_interet_M]]</f>
        <v>850.47112471980506</v>
      </c>
      <c r="O142" s="15">
        <f>Output[[#This Row],[Mensualité initial]]-Output[[#This Row],[Interet]]</f>
        <v>1649.5288752801948</v>
      </c>
      <c r="P142" s="15">
        <f>Output[[#This Row],[Capital Debut Period]]-Output[[#This Row],[Paiement Principal]]</f>
        <v>202463.54105747302</v>
      </c>
      <c r="Q142" s="15">
        <f>Output[[#This Row],[Droit Utilisation]]/Output[[#This Row],[Duree_Mois]]</f>
        <v>1578.388677857529</v>
      </c>
    </row>
    <row r="143" spans="1:17" x14ac:dyDescent="0.25">
      <c r="A143" s="11" t="s">
        <v>4</v>
      </c>
      <c r="B143" s="12">
        <v>43282</v>
      </c>
      <c r="C143">
        <v>2500</v>
      </c>
      <c r="D143">
        <v>20</v>
      </c>
      <c r="E143">
        <v>0.05</v>
      </c>
      <c r="F143">
        <v>240</v>
      </c>
      <c r="G143" s="13">
        <v>47603</v>
      </c>
      <c r="H143">
        <v>142</v>
      </c>
      <c r="I143">
        <v>142</v>
      </c>
      <c r="J143">
        <v>4.1666666666666666E-3</v>
      </c>
      <c r="K143" s="14">
        <v>1385.212130551188</v>
      </c>
      <c r="L143" s="14">
        <v>378813.28268580697</v>
      </c>
      <c r="M143" s="36">
        <f>IF(Output[[#This Row],[Index]]=1,Output[[#This Row],[Droit Utilisation]],P142)</f>
        <v>202463.54105747302</v>
      </c>
      <c r="N143" s="15">
        <f>Output[[#This Row],[Capital Debut Period]]*Output[[#This Row],[Tx_interet_M]]</f>
        <v>843.59808773947088</v>
      </c>
      <c r="O143" s="15">
        <f>Output[[#This Row],[Mensualité initial]]-Output[[#This Row],[Interet]]</f>
        <v>1656.4019122605291</v>
      </c>
      <c r="P143" s="15">
        <f>Output[[#This Row],[Capital Debut Period]]-Output[[#This Row],[Paiement Principal]]</f>
        <v>200807.13914521248</v>
      </c>
      <c r="Q143" s="15">
        <f>Output[[#This Row],[Droit Utilisation]]/Output[[#This Row],[Duree_Mois]]</f>
        <v>1578.388677857529</v>
      </c>
    </row>
    <row r="144" spans="1:17" x14ac:dyDescent="0.25">
      <c r="A144" s="11" t="s">
        <v>4</v>
      </c>
      <c r="B144" s="12">
        <v>43282</v>
      </c>
      <c r="C144">
        <v>2500</v>
      </c>
      <c r="D144">
        <v>20</v>
      </c>
      <c r="E144">
        <v>0.05</v>
      </c>
      <c r="F144">
        <v>240</v>
      </c>
      <c r="G144" s="13">
        <v>47634</v>
      </c>
      <c r="H144">
        <v>143</v>
      </c>
      <c r="I144">
        <v>143</v>
      </c>
      <c r="J144">
        <v>4.1666666666666666E-3</v>
      </c>
      <c r="K144" s="14">
        <v>1379.4643623746269</v>
      </c>
      <c r="L144" s="14">
        <v>378813.28268580697</v>
      </c>
      <c r="M144" s="36">
        <f>IF(Output[[#This Row],[Index]]=1,Output[[#This Row],[Droit Utilisation]],P143)</f>
        <v>200807.13914521248</v>
      </c>
      <c r="N144" s="15">
        <f>Output[[#This Row],[Capital Debut Period]]*Output[[#This Row],[Tx_interet_M]]</f>
        <v>836.69641310505199</v>
      </c>
      <c r="O144" s="15">
        <f>Output[[#This Row],[Mensualité initial]]-Output[[#This Row],[Interet]]</f>
        <v>1663.303586894948</v>
      </c>
      <c r="P144" s="15">
        <f>Output[[#This Row],[Capital Debut Period]]-Output[[#This Row],[Paiement Principal]]</f>
        <v>199143.83555831754</v>
      </c>
      <c r="Q144" s="15">
        <f>Output[[#This Row],[Droit Utilisation]]/Output[[#This Row],[Duree_Mois]]</f>
        <v>1578.388677857529</v>
      </c>
    </row>
    <row r="145" spans="1:17" x14ac:dyDescent="0.25">
      <c r="A145" s="11" t="s">
        <v>4</v>
      </c>
      <c r="B145" s="12">
        <v>43282</v>
      </c>
      <c r="C145">
        <v>2500</v>
      </c>
      <c r="D145">
        <v>20</v>
      </c>
      <c r="E145">
        <v>0.05</v>
      </c>
      <c r="F145">
        <v>240</v>
      </c>
      <c r="G145" s="13">
        <v>47664</v>
      </c>
      <c r="H145">
        <v>144</v>
      </c>
      <c r="I145">
        <v>144</v>
      </c>
      <c r="J145">
        <v>4.1666666666666666E-3</v>
      </c>
      <c r="K145" s="14">
        <v>1373.74044385855</v>
      </c>
      <c r="L145" s="14">
        <v>378813.28268580697</v>
      </c>
      <c r="M145" s="36">
        <f>IF(Output[[#This Row],[Index]]=1,Output[[#This Row],[Droit Utilisation]],P144)</f>
        <v>199143.83555831754</v>
      </c>
      <c r="N145" s="15">
        <f>Output[[#This Row],[Capital Debut Period]]*Output[[#This Row],[Tx_interet_M]]</f>
        <v>829.76598149298979</v>
      </c>
      <c r="O145" s="15">
        <f>Output[[#This Row],[Mensualité initial]]-Output[[#This Row],[Interet]]</f>
        <v>1670.2340185070102</v>
      </c>
      <c r="P145" s="15">
        <f>Output[[#This Row],[Capital Debut Period]]-Output[[#This Row],[Paiement Principal]]</f>
        <v>197473.60153981054</v>
      </c>
      <c r="Q145" s="15">
        <f>Output[[#This Row],[Droit Utilisation]]/Output[[#This Row],[Duree_Mois]]</f>
        <v>1578.388677857529</v>
      </c>
    </row>
    <row r="146" spans="1:17" x14ac:dyDescent="0.25">
      <c r="A146" s="11" t="s">
        <v>4</v>
      </c>
      <c r="B146" s="12">
        <v>43282</v>
      </c>
      <c r="C146">
        <v>2500</v>
      </c>
      <c r="D146">
        <v>20</v>
      </c>
      <c r="E146">
        <v>0.05</v>
      </c>
      <c r="F146">
        <v>240</v>
      </c>
      <c r="G146" s="13">
        <v>47695</v>
      </c>
      <c r="H146">
        <v>145</v>
      </c>
      <c r="I146">
        <v>145</v>
      </c>
      <c r="J146">
        <v>4.1666666666666666E-3</v>
      </c>
      <c r="K146" s="14">
        <v>1368.0402760417094</v>
      </c>
      <c r="L146" s="14">
        <v>378813.28268580697</v>
      </c>
      <c r="M146" s="36">
        <f>IF(Output[[#This Row],[Index]]=1,Output[[#This Row],[Droit Utilisation]],P145)</f>
        <v>197473.60153981054</v>
      </c>
      <c r="N146" s="15">
        <f>Output[[#This Row],[Capital Debut Period]]*Output[[#This Row],[Tx_interet_M]]</f>
        <v>822.80667308254385</v>
      </c>
      <c r="O146" s="15">
        <f>Output[[#This Row],[Mensualité initial]]-Output[[#This Row],[Interet]]</f>
        <v>1677.193326917456</v>
      </c>
      <c r="P146" s="15">
        <f>Output[[#This Row],[Capital Debut Period]]-Output[[#This Row],[Paiement Principal]]</f>
        <v>195796.40821289309</v>
      </c>
      <c r="Q146" s="15">
        <f>Output[[#This Row],[Droit Utilisation]]/Output[[#This Row],[Duree_Mois]]</f>
        <v>1578.388677857529</v>
      </c>
    </row>
    <row r="147" spans="1:17" x14ac:dyDescent="0.25">
      <c r="A147" s="11" t="s">
        <v>4</v>
      </c>
      <c r="B147" s="12">
        <v>43282</v>
      </c>
      <c r="C147">
        <v>2500</v>
      </c>
      <c r="D147">
        <v>20</v>
      </c>
      <c r="E147">
        <v>0.05</v>
      </c>
      <c r="F147">
        <v>240</v>
      </c>
      <c r="G147" s="13">
        <v>47726</v>
      </c>
      <c r="H147">
        <v>146</v>
      </c>
      <c r="I147">
        <v>146</v>
      </c>
      <c r="J147">
        <v>4.1666666666666666E-3</v>
      </c>
      <c r="K147" s="14">
        <v>1362.3637603734865</v>
      </c>
      <c r="L147" s="14">
        <v>378813.28268580697</v>
      </c>
      <c r="M147" s="36">
        <f>IF(Output[[#This Row],[Index]]=1,Output[[#This Row],[Droit Utilisation]],P146)</f>
        <v>195796.40821289309</v>
      </c>
      <c r="N147" s="15">
        <f>Output[[#This Row],[Capital Debut Period]]*Output[[#This Row],[Tx_interet_M]]</f>
        <v>815.81836755372115</v>
      </c>
      <c r="O147" s="15">
        <f>Output[[#This Row],[Mensualité initial]]-Output[[#This Row],[Interet]]</f>
        <v>1684.1816324462789</v>
      </c>
      <c r="P147" s="15">
        <f>Output[[#This Row],[Capital Debut Period]]-Output[[#This Row],[Paiement Principal]]</f>
        <v>194112.22658044682</v>
      </c>
      <c r="Q147" s="15">
        <f>Output[[#This Row],[Droit Utilisation]]/Output[[#This Row],[Duree_Mois]]</f>
        <v>1578.388677857529</v>
      </c>
    </row>
    <row r="148" spans="1:17" x14ac:dyDescent="0.25">
      <c r="A148" s="11" t="s">
        <v>4</v>
      </c>
      <c r="B148" s="12">
        <v>43282</v>
      </c>
      <c r="C148">
        <v>2500</v>
      </c>
      <c r="D148">
        <v>20</v>
      </c>
      <c r="E148">
        <v>0.05</v>
      </c>
      <c r="F148">
        <v>240</v>
      </c>
      <c r="G148" s="13">
        <v>47756</v>
      </c>
      <c r="H148">
        <v>147</v>
      </c>
      <c r="I148">
        <v>147</v>
      </c>
      <c r="J148">
        <v>4.1666666666666666E-3</v>
      </c>
      <c r="K148" s="14">
        <v>1356.7107987121858</v>
      </c>
      <c r="L148" s="14">
        <v>378813.28268580697</v>
      </c>
      <c r="M148" s="36">
        <f>IF(Output[[#This Row],[Index]]=1,Output[[#This Row],[Droit Utilisation]],P147)</f>
        <v>194112.22658044682</v>
      </c>
      <c r="N148" s="15">
        <f>Output[[#This Row],[Capital Debut Period]]*Output[[#This Row],[Tx_interet_M]]</f>
        <v>808.80094408519506</v>
      </c>
      <c r="O148" s="15">
        <f>Output[[#This Row],[Mensualité initial]]-Output[[#This Row],[Interet]]</f>
        <v>1691.1990559148048</v>
      </c>
      <c r="P148" s="15">
        <f>Output[[#This Row],[Capital Debut Period]]-Output[[#This Row],[Paiement Principal]]</f>
        <v>192421.02752453202</v>
      </c>
      <c r="Q148" s="15">
        <f>Output[[#This Row],[Droit Utilisation]]/Output[[#This Row],[Duree_Mois]]</f>
        <v>1578.388677857529</v>
      </c>
    </row>
    <row r="149" spans="1:17" x14ac:dyDescent="0.25">
      <c r="A149" s="11" t="s">
        <v>4</v>
      </c>
      <c r="B149" s="12">
        <v>43282</v>
      </c>
      <c r="C149">
        <v>2500</v>
      </c>
      <c r="D149">
        <v>20</v>
      </c>
      <c r="E149">
        <v>0.05</v>
      </c>
      <c r="F149">
        <v>240</v>
      </c>
      <c r="G149" s="13">
        <v>47787</v>
      </c>
      <c r="H149">
        <v>148</v>
      </c>
      <c r="I149">
        <v>148</v>
      </c>
      <c r="J149">
        <v>4.1666666666666666E-3</v>
      </c>
      <c r="K149" s="14">
        <v>1351.0812933233385</v>
      </c>
      <c r="L149" s="14">
        <v>378813.28268580697</v>
      </c>
      <c r="M149" s="36">
        <f>IF(Output[[#This Row],[Index]]=1,Output[[#This Row],[Droit Utilisation]],P148)</f>
        <v>192421.02752453202</v>
      </c>
      <c r="N149" s="15">
        <f>Output[[#This Row],[Capital Debut Period]]*Output[[#This Row],[Tx_interet_M]]</f>
        <v>801.75428135221671</v>
      </c>
      <c r="O149" s="15">
        <f>Output[[#This Row],[Mensualité initial]]-Output[[#This Row],[Interet]]</f>
        <v>1698.2457186477832</v>
      </c>
      <c r="P149" s="15">
        <f>Output[[#This Row],[Capital Debut Period]]-Output[[#This Row],[Paiement Principal]]</f>
        <v>190722.78180588424</v>
      </c>
      <c r="Q149" s="15">
        <f>Output[[#This Row],[Droit Utilisation]]/Output[[#This Row],[Duree_Mois]]</f>
        <v>1578.388677857529</v>
      </c>
    </row>
    <row r="150" spans="1:17" x14ac:dyDescent="0.25">
      <c r="A150" s="11" t="s">
        <v>4</v>
      </c>
      <c r="B150" s="12">
        <v>43282</v>
      </c>
      <c r="C150">
        <v>2500</v>
      </c>
      <c r="D150">
        <v>20</v>
      </c>
      <c r="E150">
        <v>0.05</v>
      </c>
      <c r="F150">
        <v>240</v>
      </c>
      <c r="G150" s="13">
        <v>47817</v>
      </c>
      <c r="H150">
        <v>149</v>
      </c>
      <c r="I150">
        <v>149</v>
      </c>
      <c r="J150">
        <v>4.1666666666666666E-3</v>
      </c>
      <c r="K150" s="14">
        <v>1345.4751468780134</v>
      </c>
      <c r="L150" s="14">
        <v>378813.28268580697</v>
      </c>
      <c r="M150" s="36">
        <f>IF(Output[[#This Row],[Index]]=1,Output[[#This Row],[Droit Utilisation]],P149)</f>
        <v>190722.78180588424</v>
      </c>
      <c r="N150" s="15">
        <f>Output[[#This Row],[Capital Debut Period]]*Output[[#This Row],[Tx_interet_M]]</f>
        <v>794.67825752451768</v>
      </c>
      <c r="O150" s="15">
        <f>Output[[#This Row],[Mensualité initial]]-Output[[#This Row],[Interet]]</f>
        <v>1705.3217424754823</v>
      </c>
      <c r="P150" s="15">
        <f>Output[[#This Row],[Capital Debut Period]]-Output[[#This Row],[Paiement Principal]]</f>
        <v>189017.46006340877</v>
      </c>
      <c r="Q150" s="15">
        <f>Output[[#This Row],[Droit Utilisation]]/Output[[#This Row],[Duree_Mois]]</f>
        <v>1578.388677857529</v>
      </c>
    </row>
    <row r="151" spans="1:17" x14ac:dyDescent="0.25">
      <c r="A151" s="11" t="s">
        <v>4</v>
      </c>
      <c r="B151" s="12">
        <v>43282</v>
      </c>
      <c r="C151">
        <v>2500</v>
      </c>
      <c r="D151">
        <v>20</v>
      </c>
      <c r="E151">
        <v>0.05</v>
      </c>
      <c r="F151">
        <v>240</v>
      </c>
      <c r="G151" s="13">
        <v>47848</v>
      </c>
      <c r="H151">
        <v>150</v>
      </c>
      <c r="I151">
        <v>150</v>
      </c>
      <c r="J151">
        <v>4.1666666666666666E-3</v>
      </c>
      <c r="K151" s="14">
        <v>1339.892262451134</v>
      </c>
      <c r="L151" s="14">
        <v>378813.28268580697</v>
      </c>
      <c r="M151" s="36">
        <f>IF(Output[[#This Row],[Index]]=1,Output[[#This Row],[Droit Utilisation]],P150)</f>
        <v>189017.46006340877</v>
      </c>
      <c r="N151" s="15">
        <f>Output[[#This Row],[Capital Debut Period]]*Output[[#This Row],[Tx_interet_M]]</f>
        <v>787.57275026420325</v>
      </c>
      <c r="O151" s="15">
        <f>Output[[#This Row],[Mensualité initial]]-Output[[#This Row],[Interet]]</f>
        <v>1712.4272497357967</v>
      </c>
      <c r="P151" s="15">
        <f>Output[[#This Row],[Capital Debut Period]]-Output[[#This Row],[Paiement Principal]]</f>
        <v>187305.03281367297</v>
      </c>
      <c r="Q151" s="15">
        <f>Output[[#This Row],[Droit Utilisation]]/Output[[#This Row],[Duree_Mois]]</f>
        <v>1578.388677857529</v>
      </c>
    </row>
    <row r="152" spans="1:17" x14ac:dyDescent="0.25">
      <c r="A152" s="11" t="s">
        <v>4</v>
      </c>
      <c r="B152" s="12">
        <v>43282</v>
      </c>
      <c r="C152">
        <v>2500</v>
      </c>
      <c r="D152">
        <v>20</v>
      </c>
      <c r="E152">
        <v>0.05</v>
      </c>
      <c r="F152">
        <v>240</v>
      </c>
      <c r="G152" s="13">
        <v>47879</v>
      </c>
      <c r="H152">
        <v>151</v>
      </c>
      <c r="I152">
        <v>151</v>
      </c>
      <c r="J152">
        <v>4.1666666666666666E-3</v>
      </c>
      <c r="K152" s="14">
        <v>1334.3325435198014</v>
      </c>
      <c r="L152" s="14">
        <v>378813.28268580697</v>
      </c>
      <c r="M152" s="36">
        <f>IF(Output[[#This Row],[Index]]=1,Output[[#This Row],[Droit Utilisation]],P151)</f>
        <v>187305.03281367297</v>
      </c>
      <c r="N152" s="15">
        <f>Output[[#This Row],[Capital Debut Period]]*Output[[#This Row],[Tx_interet_M]]</f>
        <v>780.4376367236373</v>
      </c>
      <c r="O152" s="15">
        <f>Output[[#This Row],[Mensualité initial]]-Output[[#This Row],[Interet]]</f>
        <v>1719.5623632763627</v>
      </c>
      <c r="P152" s="15">
        <f>Output[[#This Row],[Capital Debut Period]]-Output[[#This Row],[Paiement Principal]]</f>
        <v>185585.47045039659</v>
      </c>
      <c r="Q152" s="15">
        <f>Output[[#This Row],[Droit Utilisation]]/Output[[#This Row],[Duree_Mois]]</f>
        <v>1578.388677857529</v>
      </c>
    </row>
    <row r="153" spans="1:17" x14ac:dyDescent="0.25">
      <c r="A153" s="11" t="s">
        <v>4</v>
      </c>
      <c r="B153" s="12">
        <v>43282</v>
      </c>
      <c r="C153">
        <v>2500</v>
      </c>
      <c r="D153">
        <v>20</v>
      </c>
      <c r="E153">
        <v>0.05</v>
      </c>
      <c r="F153">
        <v>240</v>
      </c>
      <c r="G153" s="13">
        <v>47907</v>
      </c>
      <c r="H153">
        <v>152</v>
      </c>
      <c r="I153">
        <v>152</v>
      </c>
      <c r="J153">
        <v>4.1666666666666666E-3</v>
      </c>
      <c r="K153" s="14">
        <v>1328.7958939616278</v>
      </c>
      <c r="L153" s="14">
        <v>378813.28268580697</v>
      </c>
      <c r="M153" s="36">
        <f>IF(Output[[#This Row],[Index]]=1,Output[[#This Row],[Droit Utilisation]],P152)</f>
        <v>185585.47045039659</v>
      </c>
      <c r="N153" s="15">
        <f>Output[[#This Row],[Capital Debut Period]]*Output[[#This Row],[Tx_interet_M]]</f>
        <v>773.27279354331915</v>
      </c>
      <c r="O153" s="15">
        <f>Output[[#This Row],[Mensualité initial]]-Output[[#This Row],[Interet]]</f>
        <v>1726.727206456681</v>
      </c>
      <c r="P153" s="15">
        <f>Output[[#This Row],[Capital Debut Period]]-Output[[#This Row],[Paiement Principal]]</f>
        <v>183858.74324393991</v>
      </c>
      <c r="Q153" s="15">
        <f>Output[[#This Row],[Droit Utilisation]]/Output[[#This Row],[Duree_Mois]]</f>
        <v>1578.388677857529</v>
      </c>
    </row>
    <row r="154" spans="1:17" x14ac:dyDescent="0.25">
      <c r="A154" s="11" t="s">
        <v>4</v>
      </c>
      <c r="B154" s="12">
        <v>43282</v>
      </c>
      <c r="C154">
        <v>2500</v>
      </c>
      <c r="D154">
        <v>20</v>
      </c>
      <c r="E154">
        <v>0.05</v>
      </c>
      <c r="F154">
        <v>240</v>
      </c>
      <c r="G154" s="13">
        <v>47938</v>
      </c>
      <c r="H154">
        <v>153</v>
      </c>
      <c r="I154">
        <v>153</v>
      </c>
      <c r="J154">
        <v>4.1666666666666666E-3</v>
      </c>
      <c r="K154" s="14">
        <v>1323.2822180530734</v>
      </c>
      <c r="L154" s="14">
        <v>378813.28268580697</v>
      </c>
      <c r="M154" s="36">
        <f>IF(Output[[#This Row],[Index]]=1,Output[[#This Row],[Droit Utilisation]],P153)</f>
        <v>183858.74324393991</v>
      </c>
      <c r="N154" s="15">
        <f>Output[[#This Row],[Capital Debut Period]]*Output[[#This Row],[Tx_interet_M]]</f>
        <v>766.07809684974961</v>
      </c>
      <c r="O154" s="15">
        <f>Output[[#This Row],[Mensualité initial]]-Output[[#This Row],[Interet]]</f>
        <v>1733.9219031502503</v>
      </c>
      <c r="P154" s="15">
        <f>Output[[#This Row],[Capital Debut Period]]-Output[[#This Row],[Paiement Principal]]</f>
        <v>182124.82134078967</v>
      </c>
      <c r="Q154" s="15">
        <f>Output[[#This Row],[Droit Utilisation]]/Output[[#This Row],[Duree_Mois]]</f>
        <v>1578.388677857529</v>
      </c>
    </row>
    <row r="155" spans="1:17" x14ac:dyDescent="0.25">
      <c r="A155" s="11" t="s">
        <v>4</v>
      </c>
      <c r="B155" s="12">
        <v>43282</v>
      </c>
      <c r="C155">
        <v>2500</v>
      </c>
      <c r="D155">
        <v>20</v>
      </c>
      <c r="E155">
        <v>0.05</v>
      </c>
      <c r="F155">
        <v>240</v>
      </c>
      <c r="G155" s="13">
        <v>47968</v>
      </c>
      <c r="H155">
        <v>154</v>
      </c>
      <c r="I155">
        <v>154</v>
      </c>
      <c r="J155">
        <v>4.1666666666666666E-3</v>
      </c>
      <c r="K155" s="14">
        <v>1317.7914204677909</v>
      </c>
      <c r="L155" s="14">
        <v>378813.28268580697</v>
      </c>
      <c r="M155" s="36">
        <f>IF(Output[[#This Row],[Index]]=1,Output[[#This Row],[Droit Utilisation]],P154)</f>
        <v>182124.82134078967</v>
      </c>
      <c r="N155" s="15">
        <f>Output[[#This Row],[Capital Debut Period]]*Output[[#This Row],[Tx_interet_M]]</f>
        <v>758.85342225329032</v>
      </c>
      <c r="O155" s="15">
        <f>Output[[#This Row],[Mensualité initial]]-Output[[#This Row],[Interet]]</f>
        <v>1741.1465777467097</v>
      </c>
      <c r="P155" s="15">
        <f>Output[[#This Row],[Capital Debut Period]]-Output[[#This Row],[Paiement Principal]]</f>
        <v>180383.67476304295</v>
      </c>
      <c r="Q155" s="15">
        <f>Output[[#This Row],[Droit Utilisation]]/Output[[#This Row],[Duree_Mois]]</f>
        <v>1578.388677857529</v>
      </c>
    </row>
    <row r="156" spans="1:17" x14ac:dyDescent="0.25">
      <c r="A156" s="11" t="s">
        <v>4</v>
      </c>
      <c r="B156" s="12">
        <v>43282</v>
      </c>
      <c r="C156">
        <v>2500</v>
      </c>
      <c r="D156">
        <v>20</v>
      </c>
      <c r="E156">
        <v>0.05</v>
      </c>
      <c r="F156">
        <v>240</v>
      </c>
      <c r="G156" s="13">
        <v>47999</v>
      </c>
      <c r="H156">
        <v>155</v>
      </c>
      <c r="I156">
        <v>155</v>
      </c>
      <c r="J156">
        <v>4.1666666666666666E-3</v>
      </c>
      <c r="K156" s="14">
        <v>1312.3234062749787</v>
      </c>
      <c r="L156" s="14">
        <v>378813.28268580697</v>
      </c>
      <c r="M156" s="36">
        <f>IF(Output[[#This Row],[Index]]=1,Output[[#This Row],[Droit Utilisation]],P155)</f>
        <v>180383.67476304295</v>
      </c>
      <c r="N156" s="15">
        <f>Output[[#This Row],[Capital Debut Period]]*Output[[#This Row],[Tx_interet_M]]</f>
        <v>751.59864484601223</v>
      </c>
      <c r="O156" s="15">
        <f>Output[[#This Row],[Mensualité initial]]-Output[[#This Row],[Interet]]</f>
        <v>1748.4013551539879</v>
      </c>
      <c r="P156" s="15">
        <f>Output[[#This Row],[Capital Debut Period]]-Output[[#This Row],[Paiement Principal]]</f>
        <v>178635.27340788895</v>
      </c>
      <c r="Q156" s="15">
        <f>Output[[#This Row],[Droit Utilisation]]/Output[[#This Row],[Duree_Mois]]</f>
        <v>1578.388677857529</v>
      </c>
    </row>
    <row r="157" spans="1:17" x14ac:dyDescent="0.25">
      <c r="A157" s="11" t="s">
        <v>4</v>
      </c>
      <c r="B157" s="12">
        <v>43282</v>
      </c>
      <c r="C157">
        <v>2500</v>
      </c>
      <c r="D157">
        <v>20</v>
      </c>
      <c r="E157">
        <v>0.05</v>
      </c>
      <c r="F157">
        <v>240</v>
      </c>
      <c r="G157" s="13">
        <v>48029</v>
      </c>
      <c r="H157">
        <v>156</v>
      </c>
      <c r="I157">
        <v>156</v>
      </c>
      <c r="J157">
        <v>4.1666666666666666E-3</v>
      </c>
      <c r="K157" s="14">
        <v>1306.8780809377381</v>
      </c>
      <c r="L157" s="14">
        <v>378813.28268580697</v>
      </c>
      <c r="M157" s="36">
        <f>IF(Output[[#This Row],[Index]]=1,Output[[#This Row],[Droit Utilisation]],P156)</f>
        <v>178635.27340788895</v>
      </c>
      <c r="N157" s="15">
        <f>Output[[#This Row],[Capital Debut Period]]*Output[[#This Row],[Tx_interet_M]]</f>
        <v>744.31363919953731</v>
      </c>
      <c r="O157" s="15">
        <f>Output[[#This Row],[Mensualité initial]]-Output[[#This Row],[Interet]]</f>
        <v>1755.6863608004628</v>
      </c>
      <c r="P157" s="15">
        <f>Output[[#This Row],[Capital Debut Period]]-Output[[#This Row],[Paiement Principal]]</f>
        <v>176879.58704708848</v>
      </c>
      <c r="Q157" s="15">
        <f>Output[[#This Row],[Droit Utilisation]]/Output[[#This Row],[Duree_Mois]]</f>
        <v>1578.388677857529</v>
      </c>
    </row>
    <row r="158" spans="1:17" x14ac:dyDescent="0.25">
      <c r="A158" s="11" t="s">
        <v>4</v>
      </c>
      <c r="B158" s="12">
        <v>43282</v>
      </c>
      <c r="C158">
        <v>2500</v>
      </c>
      <c r="D158">
        <v>20</v>
      </c>
      <c r="E158">
        <v>0.05</v>
      </c>
      <c r="F158">
        <v>240</v>
      </c>
      <c r="G158" s="13">
        <v>48060</v>
      </c>
      <c r="H158">
        <v>157</v>
      </c>
      <c r="I158">
        <v>157</v>
      </c>
      <c r="J158">
        <v>4.1666666666666666E-3</v>
      </c>
      <c r="K158" s="14">
        <v>1301.4553503114405</v>
      </c>
      <c r="L158" s="14">
        <v>378813.28268580697</v>
      </c>
      <c r="M158" s="36">
        <f>IF(Output[[#This Row],[Index]]=1,Output[[#This Row],[Droit Utilisation]],P157)</f>
        <v>176879.58704708848</v>
      </c>
      <c r="N158" s="15">
        <f>Output[[#This Row],[Capital Debut Period]]*Output[[#This Row],[Tx_interet_M]]</f>
        <v>736.99827936286863</v>
      </c>
      <c r="O158" s="15">
        <f>Output[[#This Row],[Mensualité initial]]-Output[[#This Row],[Interet]]</f>
        <v>1763.0017206371313</v>
      </c>
      <c r="P158" s="15">
        <f>Output[[#This Row],[Capital Debut Period]]-Output[[#This Row],[Paiement Principal]]</f>
        <v>175116.58532645134</v>
      </c>
      <c r="Q158" s="15">
        <f>Output[[#This Row],[Droit Utilisation]]/Output[[#This Row],[Duree_Mois]]</f>
        <v>1578.388677857529</v>
      </c>
    </row>
    <row r="159" spans="1:17" x14ac:dyDescent="0.25">
      <c r="A159" s="11" t="s">
        <v>4</v>
      </c>
      <c r="B159" s="12">
        <v>43282</v>
      </c>
      <c r="C159">
        <v>2500</v>
      </c>
      <c r="D159">
        <v>20</v>
      </c>
      <c r="E159">
        <v>0.05</v>
      </c>
      <c r="F159">
        <v>240</v>
      </c>
      <c r="G159" s="13">
        <v>48091</v>
      </c>
      <c r="H159">
        <v>158</v>
      </c>
      <c r="I159">
        <v>158</v>
      </c>
      <c r="J159">
        <v>4.1666666666666666E-3</v>
      </c>
      <c r="K159" s="14">
        <v>1296.0551206420985</v>
      </c>
      <c r="L159" s="14">
        <v>378813.28268580697</v>
      </c>
      <c r="M159" s="36">
        <f>IF(Output[[#This Row],[Index]]=1,Output[[#This Row],[Droit Utilisation]],P158)</f>
        <v>175116.58532645134</v>
      </c>
      <c r="N159" s="15">
        <f>Output[[#This Row],[Capital Debut Period]]*Output[[#This Row],[Tx_interet_M]]</f>
        <v>729.65243886021392</v>
      </c>
      <c r="O159" s="15">
        <f>Output[[#This Row],[Mensualité initial]]-Output[[#This Row],[Interet]]</f>
        <v>1770.3475611397862</v>
      </c>
      <c r="P159" s="15">
        <f>Output[[#This Row],[Capital Debut Period]]-Output[[#This Row],[Paiement Principal]]</f>
        <v>173346.23776531155</v>
      </c>
      <c r="Q159" s="15">
        <f>Output[[#This Row],[Droit Utilisation]]/Output[[#This Row],[Duree_Mois]]</f>
        <v>1578.388677857529</v>
      </c>
    </row>
    <row r="160" spans="1:17" x14ac:dyDescent="0.25">
      <c r="A160" s="11" t="s">
        <v>4</v>
      </c>
      <c r="B160" s="12">
        <v>43282</v>
      </c>
      <c r="C160">
        <v>2500</v>
      </c>
      <c r="D160">
        <v>20</v>
      </c>
      <c r="E160">
        <v>0.05</v>
      </c>
      <c r="F160">
        <v>240</v>
      </c>
      <c r="G160" s="13">
        <v>48121</v>
      </c>
      <c r="H160">
        <v>159</v>
      </c>
      <c r="I160">
        <v>159</v>
      </c>
      <c r="J160">
        <v>4.1666666666666666E-3</v>
      </c>
      <c r="K160" s="14">
        <v>1290.6772985647451</v>
      </c>
      <c r="L160" s="14">
        <v>378813.28268580697</v>
      </c>
      <c r="M160" s="36">
        <f>IF(Output[[#This Row],[Index]]=1,Output[[#This Row],[Droit Utilisation]],P159)</f>
        <v>173346.23776531155</v>
      </c>
      <c r="N160" s="15">
        <f>Output[[#This Row],[Capital Debut Period]]*Output[[#This Row],[Tx_interet_M]]</f>
        <v>722.27599068879817</v>
      </c>
      <c r="O160" s="15">
        <f>Output[[#This Row],[Mensualité initial]]-Output[[#This Row],[Interet]]</f>
        <v>1777.7240093112018</v>
      </c>
      <c r="P160" s="15">
        <f>Output[[#This Row],[Capital Debut Period]]-Output[[#This Row],[Paiement Principal]]</f>
        <v>171568.51375600035</v>
      </c>
      <c r="Q160" s="15">
        <f>Output[[#This Row],[Droit Utilisation]]/Output[[#This Row],[Duree_Mois]]</f>
        <v>1578.388677857529</v>
      </c>
    </row>
    <row r="161" spans="1:17" x14ac:dyDescent="0.25">
      <c r="A161" s="11" t="s">
        <v>4</v>
      </c>
      <c r="B161" s="12">
        <v>43282</v>
      </c>
      <c r="C161">
        <v>2500</v>
      </c>
      <c r="D161">
        <v>20</v>
      </c>
      <c r="E161">
        <v>0.05</v>
      </c>
      <c r="F161">
        <v>240</v>
      </c>
      <c r="G161" s="13">
        <v>48152</v>
      </c>
      <c r="H161">
        <v>160</v>
      </c>
      <c r="I161">
        <v>160</v>
      </c>
      <c r="J161">
        <v>4.1666666666666666E-3</v>
      </c>
      <c r="K161" s="14">
        <v>1285.3217911018212</v>
      </c>
      <c r="L161" s="14">
        <v>378813.28268580697</v>
      </c>
      <c r="M161" s="36">
        <f>IF(Output[[#This Row],[Index]]=1,Output[[#This Row],[Droit Utilisation]],P160)</f>
        <v>171568.51375600035</v>
      </c>
      <c r="N161" s="15">
        <f>Output[[#This Row],[Capital Debut Period]]*Output[[#This Row],[Tx_interet_M]]</f>
        <v>714.86880731666815</v>
      </c>
      <c r="O161" s="15">
        <f>Output[[#This Row],[Mensualité initial]]-Output[[#This Row],[Interet]]</f>
        <v>1785.1311926833318</v>
      </c>
      <c r="P161" s="15">
        <f>Output[[#This Row],[Capital Debut Period]]-Output[[#This Row],[Paiement Principal]]</f>
        <v>169783.38256331702</v>
      </c>
      <c r="Q161" s="15">
        <f>Output[[#This Row],[Droit Utilisation]]/Output[[#This Row],[Duree_Mois]]</f>
        <v>1578.388677857529</v>
      </c>
    </row>
    <row r="162" spans="1:17" x14ac:dyDescent="0.25">
      <c r="A162" s="11" t="s">
        <v>4</v>
      </c>
      <c r="B162" s="12">
        <v>43282</v>
      </c>
      <c r="C162">
        <v>2500</v>
      </c>
      <c r="D162">
        <v>20</v>
      </c>
      <c r="E162">
        <v>0.05</v>
      </c>
      <c r="F162">
        <v>240</v>
      </c>
      <c r="G162" s="13">
        <v>48182</v>
      </c>
      <c r="H162">
        <v>161</v>
      </c>
      <c r="I162">
        <v>161</v>
      </c>
      <c r="J162">
        <v>4.1666666666666666E-3</v>
      </c>
      <c r="K162" s="14">
        <v>1279.9885056615644</v>
      </c>
      <c r="L162" s="14">
        <v>378813.28268580697</v>
      </c>
      <c r="M162" s="36">
        <f>IF(Output[[#This Row],[Index]]=1,Output[[#This Row],[Droit Utilisation]],P161)</f>
        <v>169783.38256331702</v>
      </c>
      <c r="N162" s="15">
        <f>Output[[#This Row],[Capital Debut Period]]*Output[[#This Row],[Tx_interet_M]]</f>
        <v>707.43076068048754</v>
      </c>
      <c r="O162" s="15">
        <f>Output[[#This Row],[Mensualité initial]]-Output[[#This Row],[Interet]]</f>
        <v>1792.5692393195125</v>
      </c>
      <c r="P162" s="15">
        <f>Output[[#This Row],[Capital Debut Period]]-Output[[#This Row],[Paiement Principal]]</f>
        <v>167990.81332399751</v>
      </c>
      <c r="Q162" s="15">
        <f>Output[[#This Row],[Droit Utilisation]]/Output[[#This Row],[Duree_Mois]]</f>
        <v>1578.388677857529</v>
      </c>
    </row>
    <row r="163" spans="1:17" x14ac:dyDescent="0.25">
      <c r="A163" s="11" t="s">
        <v>4</v>
      </c>
      <c r="B163" s="12">
        <v>43282</v>
      </c>
      <c r="C163">
        <v>2500</v>
      </c>
      <c r="D163">
        <v>20</v>
      </c>
      <c r="E163">
        <v>0.05</v>
      </c>
      <c r="F163">
        <v>240</v>
      </c>
      <c r="G163" s="13">
        <v>48213</v>
      </c>
      <c r="H163">
        <v>162</v>
      </c>
      <c r="I163">
        <v>162</v>
      </c>
      <c r="J163">
        <v>4.1666666666666666E-3</v>
      </c>
      <c r="K163" s="14">
        <v>1274.6773500364129</v>
      </c>
      <c r="L163" s="14">
        <v>378813.28268580697</v>
      </c>
      <c r="M163" s="36">
        <f>IF(Output[[#This Row],[Index]]=1,Output[[#This Row],[Droit Utilisation]],P162)</f>
        <v>167990.81332399751</v>
      </c>
      <c r="N163" s="15">
        <f>Output[[#This Row],[Capital Debut Period]]*Output[[#This Row],[Tx_interet_M]]</f>
        <v>699.96172218332299</v>
      </c>
      <c r="O163" s="15">
        <f>Output[[#This Row],[Mensualité initial]]-Output[[#This Row],[Interet]]</f>
        <v>1800.038277816677</v>
      </c>
      <c r="P163" s="15">
        <f>Output[[#This Row],[Capital Debut Period]]-Output[[#This Row],[Paiement Principal]]</f>
        <v>166190.77504618085</v>
      </c>
      <c r="Q163" s="15">
        <f>Output[[#This Row],[Droit Utilisation]]/Output[[#This Row],[Duree_Mois]]</f>
        <v>1578.388677857529</v>
      </c>
    </row>
    <row r="164" spans="1:17" x14ac:dyDescent="0.25">
      <c r="A164" s="11" t="s">
        <v>4</v>
      </c>
      <c r="B164" s="12">
        <v>43282</v>
      </c>
      <c r="C164">
        <v>2500</v>
      </c>
      <c r="D164">
        <v>20</v>
      </c>
      <c r="E164">
        <v>0.05</v>
      </c>
      <c r="F164">
        <v>240</v>
      </c>
      <c r="G164" s="13">
        <v>48244</v>
      </c>
      <c r="H164">
        <v>163</v>
      </c>
      <c r="I164">
        <v>163</v>
      </c>
      <c r="J164">
        <v>4.1666666666666666E-3</v>
      </c>
      <c r="K164" s="14">
        <v>1269.3882324014069</v>
      </c>
      <c r="L164" s="14">
        <v>378813.28268580697</v>
      </c>
      <c r="M164" s="36">
        <f>IF(Output[[#This Row],[Index]]=1,Output[[#This Row],[Droit Utilisation]],P163)</f>
        <v>166190.77504618085</v>
      </c>
      <c r="N164" s="15">
        <f>Output[[#This Row],[Capital Debut Period]]*Output[[#This Row],[Tx_interet_M]]</f>
        <v>692.46156269242022</v>
      </c>
      <c r="O164" s="15">
        <f>Output[[#This Row],[Mensualité initial]]-Output[[#This Row],[Interet]]</f>
        <v>1807.5384373075799</v>
      </c>
      <c r="P164" s="15">
        <f>Output[[#This Row],[Capital Debut Period]]-Output[[#This Row],[Paiement Principal]]</f>
        <v>164383.23660887327</v>
      </c>
      <c r="Q164" s="15">
        <f>Output[[#This Row],[Droit Utilisation]]/Output[[#This Row],[Duree_Mois]]</f>
        <v>1578.388677857529</v>
      </c>
    </row>
    <row r="165" spans="1:17" x14ac:dyDescent="0.25">
      <c r="A165" s="11" t="s">
        <v>4</v>
      </c>
      <c r="B165" s="12">
        <v>43282</v>
      </c>
      <c r="C165">
        <v>2500</v>
      </c>
      <c r="D165">
        <v>20</v>
      </c>
      <c r="E165">
        <v>0.05</v>
      </c>
      <c r="F165">
        <v>240</v>
      </c>
      <c r="G165" s="13">
        <v>48273</v>
      </c>
      <c r="H165">
        <v>164</v>
      </c>
      <c r="I165">
        <v>164</v>
      </c>
      <c r="J165">
        <v>4.1666666666666666E-3</v>
      </c>
      <c r="K165" s="14">
        <v>1264.1210613126045</v>
      </c>
      <c r="L165" s="14">
        <v>378813.28268580697</v>
      </c>
      <c r="M165" s="36">
        <f>IF(Output[[#This Row],[Index]]=1,Output[[#This Row],[Droit Utilisation]],P164)</f>
        <v>164383.23660887327</v>
      </c>
      <c r="N165" s="15">
        <f>Output[[#This Row],[Capital Debut Period]]*Output[[#This Row],[Tx_interet_M]]</f>
        <v>684.93015253697195</v>
      </c>
      <c r="O165" s="15">
        <f>Output[[#This Row],[Mensualité initial]]-Output[[#This Row],[Interet]]</f>
        <v>1815.0698474630281</v>
      </c>
      <c r="P165" s="15">
        <f>Output[[#This Row],[Capital Debut Period]]-Output[[#This Row],[Paiement Principal]]</f>
        <v>162568.16676141025</v>
      </c>
      <c r="Q165" s="15">
        <f>Output[[#This Row],[Droit Utilisation]]/Output[[#This Row],[Duree_Mois]]</f>
        <v>1578.388677857529</v>
      </c>
    </row>
    <row r="166" spans="1:17" x14ac:dyDescent="0.25">
      <c r="A166" s="11" t="s">
        <v>4</v>
      </c>
      <c r="B166" s="12">
        <v>43282</v>
      </c>
      <c r="C166">
        <v>2500</v>
      </c>
      <c r="D166">
        <v>20</v>
      </c>
      <c r="E166">
        <v>0.05</v>
      </c>
      <c r="F166">
        <v>240</v>
      </c>
      <c r="G166" s="13">
        <v>48304</v>
      </c>
      <c r="H166">
        <v>165</v>
      </c>
      <c r="I166">
        <v>165</v>
      </c>
      <c r="J166">
        <v>4.1666666666666666E-3</v>
      </c>
      <c r="K166" s="14">
        <v>1258.8757457054983</v>
      </c>
      <c r="L166" s="14">
        <v>378813.28268580697</v>
      </c>
      <c r="M166" s="36">
        <f>IF(Output[[#This Row],[Index]]=1,Output[[#This Row],[Droit Utilisation]],P165)</f>
        <v>162568.16676141025</v>
      </c>
      <c r="N166" s="15">
        <f>Output[[#This Row],[Capital Debut Period]]*Output[[#This Row],[Tx_interet_M]]</f>
        <v>677.36736150587603</v>
      </c>
      <c r="O166" s="15">
        <f>Output[[#This Row],[Mensualité initial]]-Output[[#This Row],[Interet]]</f>
        <v>1822.632638494124</v>
      </c>
      <c r="P166" s="15">
        <f>Output[[#This Row],[Capital Debut Period]]-Output[[#This Row],[Paiement Principal]]</f>
        <v>160745.53412291611</v>
      </c>
      <c r="Q166" s="15">
        <f>Output[[#This Row],[Droit Utilisation]]/Output[[#This Row],[Duree_Mois]]</f>
        <v>1578.388677857529</v>
      </c>
    </row>
    <row r="167" spans="1:17" x14ac:dyDescent="0.25">
      <c r="A167" s="11" t="s">
        <v>4</v>
      </c>
      <c r="B167" s="12">
        <v>43282</v>
      </c>
      <c r="C167">
        <v>2500</v>
      </c>
      <c r="D167">
        <v>20</v>
      </c>
      <c r="E167">
        <v>0.05</v>
      </c>
      <c r="F167">
        <v>240</v>
      </c>
      <c r="G167" s="13">
        <v>48334</v>
      </c>
      <c r="H167">
        <v>166</v>
      </c>
      <c r="I167">
        <v>166</v>
      </c>
      <c r="J167">
        <v>4.1666666666666666E-3</v>
      </c>
      <c r="K167" s="14">
        <v>1253.6521948934424</v>
      </c>
      <c r="L167" s="14">
        <v>378813.28268580697</v>
      </c>
      <c r="M167" s="36">
        <f>IF(Output[[#This Row],[Index]]=1,Output[[#This Row],[Droit Utilisation]],P166)</f>
        <v>160745.53412291611</v>
      </c>
      <c r="N167" s="15">
        <f>Output[[#This Row],[Capital Debut Period]]*Output[[#This Row],[Tx_interet_M]]</f>
        <v>669.77305884548377</v>
      </c>
      <c r="O167" s="15">
        <f>Output[[#This Row],[Mensualité initial]]-Output[[#This Row],[Interet]]</f>
        <v>1830.2269411545162</v>
      </c>
      <c r="P167" s="15">
        <f>Output[[#This Row],[Capital Debut Period]]-Output[[#This Row],[Paiement Principal]]</f>
        <v>158915.3071817616</v>
      </c>
      <c r="Q167" s="15">
        <f>Output[[#This Row],[Droit Utilisation]]/Output[[#This Row],[Duree_Mois]]</f>
        <v>1578.388677857529</v>
      </c>
    </row>
    <row r="168" spans="1:17" x14ac:dyDescent="0.25">
      <c r="A168" s="11" t="s">
        <v>4</v>
      </c>
      <c r="B168" s="12">
        <v>43282</v>
      </c>
      <c r="C168">
        <v>2500</v>
      </c>
      <c r="D168">
        <v>20</v>
      </c>
      <c r="E168">
        <v>0.05</v>
      </c>
      <c r="F168">
        <v>240</v>
      </c>
      <c r="G168" s="13">
        <v>48365</v>
      </c>
      <c r="H168">
        <v>167</v>
      </c>
      <c r="I168">
        <v>167</v>
      </c>
      <c r="J168">
        <v>4.1666666666666666E-3</v>
      </c>
      <c r="K168" s="14">
        <v>1248.4503185660835</v>
      </c>
      <c r="L168" s="14">
        <v>378813.28268580697</v>
      </c>
      <c r="M168" s="36">
        <f>IF(Output[[#This Row],[Index]]=1,Output[[#This Row],[Droit Utilisation]],P167)</f>
        <v>158915.3071817616</v>
      </c>
      <c r="N168" s="15">
        <f>Output[[#This Row],[Capital Debut Period]]*Output[[#This Row],[Tx_interet_M]]</f>
        <v>662.14711325734004</v>
      </c>
      <c r="O168" s="15">
        <f>Output[[#This Row],[Mensualité initial]]-Output[[#This Row],[Interet]]</f>
        <v>1837.8528867426598</v>
      </c>
      <c r="P168" s="15">
        <f>Output[[#This Row],[Capital Debut Period]]-Output[[#This Row],[Paiement Principal]]</f>
        <v>157077.45429501895</v>
      </c>
      <c r="Q168" s="15">
        <f>Output[[#This Row],[Droit Utilisation]]/Output[[#This Row],[Duree_Mois]]</f>
        <v>1578.388677857529</v>
      </c>
    </row>
    <row r="169" spans="1:17" x14ac:dyDescent="0.25">
      <c r="A169" s="11" t="s">
        <v>4</v>
      </c>
      <c r="B169" s="12">
        <v>43282</v>
      </c>
      <c r="C169">
        <v>2500</v>
      </c>
      <c r="D169">
        <v>20</v>
      </c>
      <c r="E169">
        <v>0.05</v>
      </c>
      <c r="F169">
        <v>240</v>
      </c>
      <c r="G169" s="13">
        <v>48395</v>
      </c>
      <c r="H169">
        <v>168</v>
      </c>
      <c r="I169">
        <v>168</v>
      </c>
      <c r="J169">
        <v>4.1666666666666666E-3</v>
      </c>
      <c r="K169" s="14">
        <v>1243.270026787801</v>
      </c>
      <c r="L169" s="14">
        <v>378813.28268580697</v>
      </c>
      <c r="M169" s="36">
        <f>IF(Output[[#This Row],[Index]]=1,Output[[#This Row],[Droit Utilisation]],P168)</f>
        <v>157077.45429501895</v>
      </c>
      <c r="N169" s="15">
        <f>Output[[#This Row],[Capital Debut Period]]*Output[[#This Row],[Tx_interet_M]]</f>
        <v>654.48939289591226</v>
      </c>
      <c r="O169" s="15">
        <f>Output[[#This Row],[Mensualité initial]]-Output[[#This Row],[Interet]]</f>
        <v>1845.5106071040877</v>
      </c>
      <c r="P169" s="15">
        <f>Output[[#This Row],[Capital Debut Period]]-Output[[#This Row],[Paiement Principal]]</f>
        <v>155231.94368791487</v>
      </c>
      <c r="Q169" s="15">
        <f>Output[[#This Row],[Droit Utilisation]]/Output[[#This Row],[Duree_Mois]]</f>
        <v>1578.388677857529</v>
      </c>
    </row>
    <row r="170" spans="1:17" x14ac:dyDescent="0.25">
      <c r="A170" s="11" t="s">
        <v>4</v>
      </c>
      <c r="B170" s="12">
        <v>43282</v>
      </c>
      <c r="C170">
        <v>2500</v>
      </c>
      <c r="D170">
        <v>20</v>
      </c>
      <c r="E170">
        <v>0.05</v>
      </c>
      <c r="F170">
        <v>240</v>
      </c>
      <c r="G170" s="13">
        <v>48426</v>
      </c>
      <c r="H170">
        <v>169</v>
      </c>
      <c r="I170">
        <v>169</v>
      </c>
      <c r="J170">
        <v>4.1666666666666666E-3</v>
      </c>
      <c r="K170" s="14">
        <v>1238.1112299961505</v>
      </c>
      <c r="L170" s="14">
        <v>378813.28268580697</v>
      </c>
      <c r="M170" s="36">
        <f>IF(Output[[#This Row],[Index]]=1,Output[[#This Row],[Droit Utilisation]],P169)</f>
        <v>155231.94368791487</v>
      </c>
      <c r="N170" s="15">
        <f>Output[[#This Row],[Capital Debut Period]]*Output[[#This Row],[Tx_interet_M]]</f>
        <v>646.79976536631193</v>
      </c>
      <c r="O170" s="15">
        <f>Output[[#This Row],[Mensualité initial]]-Output[[#This Row],[Interet]]</f>
        <v>1853.2002346336881</v>
      </c>
      <c r="P170" s="15">
        <f>Output[[#This Row],[Capital Debut Period]]-Output[[#This Row],[Paiement Principal]]</f>
        <v>153378.74345328117</v>
      </c>
      <c r="Q170" s="15">
        <f>Output[[#This Row],[Droit Utilisation]]/Output[[#This Row],[Duree_Mois]]</f>
        <v>1578.388677857529</v>
      </c>
    </row>
    <row r="171" spans="1:17" x14ac:dyDescent="0.25">
      <c r="A171" s="11" t="s">
        <v>4</v>
      </c>
      <c r="B171" s="12">
        <v>43282</v>
      </c>
      <c r="C171">
        <v>2500</v>
      </c>
      <c r="D171">
        <v>20</v>
      </c>
      <c r="E171">
        <v>0.05</v>
      </c>
      <c r="F171">
        <v>240</v>
      </c>
      <c r="G171" s="13">
        <v>48457</v>
      </c>
      <c r="H171">
        <v>170</v>
      </c>
      <c r="I171">
        <v>170</v>
      </c>
      <c r="J171">
        <v>4.1666666666666666E-3</v>
      </c>
      <c r="K171" s="14">
        <v>1232.9738390003158</v>
      </c>
      <c r="L171" s="14">
        <v>378813.28268580697</v>
      </c>
      <c r="M171" s="36">
        <f>IF(Output[[#This Row],[Index]]=1,Output[[#This Row],[Droit Utilisation]],P170)</f>
        <v>153378.74345328117</v>
      </c>
      <c r="N171" s="15">
        <f>Output[[#This Row],[Capital Debut Period]]*Output[[#This Row],[Tx_interet_M]]</f>
        <v>639.07809772200494</v>
      </c>
      <c r="O171" s="15">
        <f>Output[[#This Row],[Mensualité initial]]-Output[[#This Row],[Interet]]</f>
        <v>1860.9219022779951</v>
      </c>
      <c r="P171" s="15">
        <f>Output[[#This Row],[Capital Debut Period]]-Output[[#This Row],[Paiement Principal]]</f>
        <v>151517.82155100317</v>
      </c>
      <c r="Q171" s="15">
        <f>Output[[#This Row],[Droit Utilisation]]/Output[[#This Row],[Duree_Mois]]</f>
        <v>1578.388677857529</v>
      </c>
    </row>
    <row r="172" spans="1:17" x14ac:dyDescent="0.25">
      <c r="A172" s="11" t="s">
        <v>4</v>
      </c>
      <c r="B172" s="12">
        <v>43282</v>
      </c>
      <c r="C172">
        <v>2500</v>
      </c>
      <c r="D172">
        <v>20</v>
      </c>
      <c r="E172">
        <v>0.05</v>
      </c>
      <c r="F172">
        <v>240</v>
      </c>
      <c r="G172" s="13">
        <v>48487</v>
      </c>
      <c r="H172">
        <v>171</v>
      </c>
      <c r="I172">
        <v>171</v>
      </c>
      <c r="J172">
        <v>4.1666666666666666E-3</v>
      </c>
      <c r="K172" s="14">
        <v>1227.8577649795677</v>
      </c>
      <c r="L172" s="14">
        <v>378813.28268580697</v>
      </c>
      <c r="M172" s="36">
        <f>IF(Output[[#This Row],[Index]]=1,Output[[#This Row],[Droit Utilisation]],P171)</f>
        <v>151517.82155100317</v>
      </c>
      <c r="N172" s="15">
        <f>Output[[#This Row],[Capital Debut Period]]*Output[[#This Row],[Tx_interet_M]]</f>
        <v>631.32425646251318</v>
      </c>
      <c r="O172" s="15">
        <f>Output[[#This Row],[Mensualité initial]]-Output[[#This Row],[Interet]]</f>
        <v>1868.6757435374868</v>
      </c>
      <c r="P172" s="15">
        <f>Output[[#This Row],[Capital Debut Period]]-Output[[#This Row],[Paiement Principal]]</f>
        <v>149649.14580746568</v>
      </c>
      <c r="Q172" s="15">
        <f>Output[[#This Row],[Droit Utilisation]]/Output[[#This Row],[Duree_Mois]]</f>
        <v>1578.388677857529</v>
      </c>
    </row>
    <row r="173" spans="1:17" x14ac:dyDescent="0.25">
      <c r="A173" s="11" t="s">
        <v>4</v>
      </c>
      <c r="B173" s="12">
        <v>43282</v>
      </c>
      <c r="C173">
        <v>2500</v>
      </c>
      <c r="D173">
        <v>20</v>
      </c>
      <c r="E173">
        <v>0.05</v>
      </c>
      <c r="F173">
        <v>240</v>
      </c>
      <c r="G173" s="13">
        <v>48518</v>
      </c>
      <c r="H173">
        <v>172</v>
      </c>
      <c r="I173">
        <v>172</v>
      </c>
      <c r="J173">
        <v>4.1666666666666666E-3</v>
      </c>
      <c r="K173" s="14">
        <v>1222.7629194817271</v>
      </c>
      <c r="L173" s="14">
        <v>378813.28268580697</v>
      </c>
      <c r="M173" s="36">
        <f>IF(Output[[#This Row],[Index]]=1,Output[[#This Row],[Droit Utilisation]],P172)</f>
        <v>149649.14580746568</v>
      </c>
      <c r="N173" s="15">
        <f>Output[[#This Row],[Capital Debut Period]]*Output[[#This Row],[Tx_interet_M]]</f>
        <v>623.53810753110702</v>
      </c>
      <c r="O173" s="15">
        <f>Output[[#This Row],[Mensualité initial]]-Output[[#This Row],[Interet]]</f>
        <v>1876.461892468893</v>
      </c>
      <c r="P173" s="15">
        <f>Output[[#This Row],[Capital Debut Period]]-Output[[#This Row],[Paiement Principal]]</f>
        <v>147772.6839149968</v>
      </c>
      <c r="Q173" s="15">
        <f>Output[[#This Row],[Droit Utilisation]]/Output[[#This Row],[Duree_Mois]]</f>
        <v>1578.388677857529</v>
      </c>
    </row>
    <row r="174" spans="1:17" x14ac:dyDescent="0.25">
      <c r="A174" s="11" t="s">
        <v>4</v>
      </c>
      <c r="B174" s="12">
        <v>43282</v>
      </c>
      <c r="C174">
        <v>2500</v>
      </c>
      <c r="D174">
        <v>20</v>
      </c>
      <c r="E174">
        <v>0.05</v>
      </c>
      <c r="F174">
        <v>240</v>
      </c>
      <c r="G174" s="13">
        <v>48548</v>
      </c>
      <c r="H174">
        <v>173</v>
      </c>
      <c r="I174">
        <v>173</v>
      </c>
      <c r="J174">
        <v>4.1666666666666666E-3</v>
      </c>
      <c r="K174" s="14">
        <v>1217.689214421637</v>
      </c>
      <c r="L174" s="14">
        <v>378813.28268580697</v>
      </c>
      <c r="M174" s="36">
        <f>IF(Output[[#This Row],[Index]]=1,Output[[#This Row],[Droit Utilisation]],P173)</f>
        <v>147772.6839149968</v>
      </c>
      <c r="N174" s="15">
        <f>Output[[#This Row],[Capital Debut Period]]*Output[[#This Row],[Tx_interet_M]]</f>
        <v>615.71951631248669</v>
      </c>
      <c r="O174" s="15">
        <f>Output[[#This Row],[Mensualité initial]]-Output[[#This Row],[Interet]]</f>
        <v>1884.2804836875134</v>
      </c>
      <c r="P174" s="15">
        <f>Output[[#This Row],[Capital Debut Period]]-Output[[#This Row],[Paiement Principal]]</f>
        <v>145888.4034313093</v>
      </c>
      <c r="Q174" s="15">
        <f>Output[[#This Row],[Droit Utilisation]]/Output[[#This Row],[Duree_Mois]]</f>
        <v>1578.388677857529</v>
      </c>
    </row>
    <row r="175" spans="1:17" x14ac:dyDescent="0.25">
      <c r="A175" s="11" t="s">
        <v>4</v>
      </c>
      <c r="B175" s="12">
        <v>43282</v>
      </c>
      <c r="C175">
        <v>2500</v>
      </c>
      <c r="D175">
        <v>20</v>
      </c>
      <c r="E175">
        <v>0.05</v>
      </c>
      <c r="F175">
        <v>240</v>
      </c>
      <c r="G175" s="13">
        <v>48579</v>
      </c>
      <c r="H175">
        <v>174</v>
      </c>
      <c r="I175">
        <v>174</v>
      </c>
      <c r="J175">
        <v>4.1666666666666666E-3</v>
      </c>
      <c r="K175" s="14">
        <v>1212.6365620796385</v>
      </c>
      <c r="L175" s="14">
        <v>378813.28268580697</v>
      </c>
      <c r="M175" s="36">
        <f>IF(Output[[#This Row],[Index]]=1,Output[[#This Row],[Droit Utilisation]],P174)</f>
        <v>145888.4034313093</v>
      </c>
      <c r="N175" s="15">
        <f>Output[[#This Row],[Capital Debut Period]]*Output[[#This Row],[Tx_interet_M]]</f>
        <v>607.86834763045545</v>
      </c>
      <c r="O175" s="15">
        <f>Output[[#This Row],[Mensualité initial]]-Output[[#This Row],[Interet]]</f>
        <v>1892.1316523695446</v>
      </c>
      <c r="P175" s="15">
        <f>Output[[#This Row],[Capital Debut Period]]-Output[[#This Row],[Paiement Principal]]</f>
        <v>143996.27177893976</v>
      </c>
      <c r="Q175" s="15">
        <f>Output[[#This Row],[Droit Utilisation]]/Output[[#This Row],[Duree_Mois]]</f>
        <v>1578.388677857529</v>
      </c>
    </row>
    <row r="176" spans="1:17" x14ac:dyDescent="0.25">
      <c r="A176" s="11" t="s">
        <v>4</v>
      </c>
      <c r="B176" s="12">
        <v>43282</v>
      </c>
      <c r="C176">
        <v>2500</v>
      </c>
      <c r="D176">
        <v>20</v>
      </c>
      <c r="E176">
        <v>0.05</v>
      </c>
      <c r="F176">
        <v>240</v>
      </c>
      <c r="G176" s="13">
        <v>48610</v>
      </c>
      <c r="H176">
        <v>175</v>
      </c>
      <c r="I176">
        <v>175</v>
      </c>
      <c r="J176">
        <v>4.1666666666666666E-3</v>
      </c>
      <c r="K176" s="14">
        <v>1207.6048751000549</v>
      </c>
      <c r="L176" s="14">
        <v>378813.28268580697</v>
      </c>
      <c r="M176" s="36">
        <f>IF(Output[[#This Row],[Index]]=1,Output[[#This Row],[Droit Utilisation]],P175)</f>
        <v>143996.27177893976</v>
      </c>
      <c r="N176" s="15">
        <f>Output[[#This Row],[Capital Debut Period]]*Output[[#This Row],[Tx_interet_M]]</f>
        <v>599.98446574558227</v>
      </c>
      <c r="O176" s="15">
        <f>Output[[#This Row],[Mensualité initial]]-Output[[#This Row],[Interet]]</f>
        <v>1900.0155342544176</v>
      </c>
      <c r="P176" s="15">
        <f>Output[[#This Row],[Capital Debut Period]]-Output[[#This Row],[Paiement Principal]]</f>
        <v>142096.25624468533</v>
      </c>
      <c r="Q176" s="15">
        <f>Output[[#This Row],[Droit Utilisation]]/Output[[#This Row],[Duree_Mois]]</f>
        <v>1578.388677857529</v>
      </c>
    </row>
    <row r="177" spans="1:17" x14ac:dyDescent="0.25">
      <c r="A177" s="11" t="s">
        <v>4</v>
      </c>
      <c r="B177" s="12">
        <v>43282</v>
      </c>
      <c r="C177">
        <v>2500</v>
      </c>
      <c r="D177">
        <v>20</v>
      </c>
      <c r="E177">
        <v>0.05</v>
      </c>
      <c r="F177">
        <v>240</v>
      </c>
      <c r="G177" s="13">
        <v>48638</v>
      </c>
      <c r="H177">
        <v>176</v>
      </c>
      <c r="I177">
        <v>176</v>
      </c>
      <c r="J177">
        <v>4.1666666666666666E-3</v>
      </c>
      <c r="K177" s="14">
        <v>1202.5940664896814</v>
      </c>
      <c r="L177" s="14">
        <v>378813.28268580697</v>
      </c>
      <c r="M177" s="36">
        <f>IF(Output[[#This Row],[Index]]=1,Output[[#This Row],[Droit Utilisation]],P176)</f>
        <v>142096.25624468533</v>
      </c>
      <c r="N177" s="15">
        <f>Output[[#This Row],[Capital Debut Period]]*Output[[#This Row],[Tx_interet_M]]</f>
        <v>592.0677343528555</v>
      </c>
      <c r="O177" s="15">
        <f>Output[[#This Row],[Mensualité initial]]-Output[[#This Row],[Interet]]</f>
        <v>1907.9322656471445</v>
      </c>
      <c r="P177" s="15">
        <f>Output[[#This Row],[Capital Debut Period]]-Output[[#This Row],[Paiement Principal]]</f>
        <v>140188.32397903819</v>
      </c>
      <c r="Q177" s="15">
        <f>Output[[#This Row],[Droit Utilisation]]/Output[[#This Row],[Duree_Mois]]</f>
        <v>1578.388677857529</v>
      </c>
    </row>
    <row r="178" spans="1:17" x14ac:dyDescent="0.25">
      <c r="A178" s="11" t="s">
        <v>4</v>
      </c>
      <c r="B178" s="12">
        <v>43282</v>
      </c>
      <c r="C178">
        <v>2500</v>
      </c>
      <c r="D178">
        <v>20</v>
      </c>
      <c r="E178">
        <v>0.05</v>
      </c>
      <c r="F178">
        <v>240</v>
      </c>
      <c r="G178" s="13">
        <v>48669</v>
      </c>
      <c r="H178">
        <v>177</v>
      </c>
      <c r="I178">
        <v>177</v>
      </c>
      <c r="J178">
        <v>4.1666666666666666E-3</v>
      </c>
      <c r="K178" s="14">
        <v>1197.6040496162802</v>
      </c>
      <c r="L178" s="14">
        <v>378813.28268580697</v>
      </c>
      <c r="M178" s="36">
        <f>IF(Output[[#This Row],[Index]]=1,Output[[#This Row],[Droit Utilisation]],P177)</f>
        <v>140188.32397903819</v>
      </c>
      <c r="N178" s="15">
        <f>Output[[#This Row],[Capital Debut Period]]*Output[[#This Row],[Tx_interet_M]]</f>
        <v>584.11801657932574</v>
      </c>
      <c r="O178" s="15">
        <f>Output[[#This Row],[Mensualité initial]]-Output[[#This Row],[Interet]]</f>
        <v>1915.8819834206743</v>
      </c>
      <c r="P178" s="15">
        <f>Output[[#This Row],[Capital Debut Period]]-Output[[#This Row],[Paiement Principal]]</f>
        <v>138272.44199561753</v>
      </c>
      <c r="Q178" s="15">
        <f>Output[[#This Row],[Droit Utilisation]]/Output[[#This Row],[Duree_Mois]]</f>
        <v>1578.388677857529</v>
      </c>
    </row>
    <row r="179" spans="1:17" x14ac:dyDescent="0.25">
      <c r="A179" s="11" t="s">
        <v>4</v>
      </c>
      <c r="B179" s="12">
        <v>43282</v>
      </c>
      <c r="C179">
        <v>2500</v>
      </c>
      <c r="D179">
        <v>20</v>
      </c>
      <c r="E179">
        <v>0.05</v>
      </c>
      <c r="F179">
        <v>240</v>
      </c>
      <c r="G179" s="13">
        <v>48699</v>
      </c>
      <c r="H179">
        <v>178</v>
      </c>
      <c r="I179">
        <v>178</v>
      </c>
      <c r="J179">
        <v>4.1666666666666666E-3</v>
      </c>
      <c r="K179" s="14">
        <v>1192.634738207084</v>
      </c>
      <c r="L179" s="14">
        <v>378813.28268580697</v>
      </c>
      <c r="M179" s="36">
        <f>IF(Output[[#This Row],[Index]]=1,Output[[#This Row],[Droit Utilisation]],P178)</f>
        <v>138272.44199561753</v>
      </c>
      <c r="N179" s="15">
        <f>Output[[#This Row],[Capital Debut Period]]*Output[[#This Row],[Tx_interet_M]]</f>
        <v>576.13517498173974</v>
      </c>
      <c r="O179" s="15">
        <f>Output[[#This Row],[Mensualité initial]]-Output[[#This Row],[Interet]]</f>
        <v>1923.8648250182603</v>
      </c>
      <c r="P179" s="15">
        <f>Output[[#This Row],[Capital Debut Period]]-Output[[#This Row],[Paiement Principal]]</f>
        <v>136348.57717059925</v>
      </c>
      <c r="Q179" s="15">
        <f>Output[[#This Row],[Droit Utilisation]]/Output[[#This Row],[Duree_Mois]]</f>
        <v>1578.388677857529</v>
      </c>
    </row>
    <row r="180" spans="1:17" x14ac:dyDescent="0.25">
      <c r="A180" s="11" t="s">
        <v>4</v>
      </c>
      <c r="B180" s="12">
        <v>43282</v>
      </c>
      <c r="C180">
        <v>2500</v>
      </c>
      <c r="D180">
        <v>20</v>
      </c>
      <c r="E180">
        <v>0.05</v>
      </c>
      <c r="F180">
        <v>240</v>
      </c>
      <c r="G180" s="13">
        <v>48730</v>
      </c>
      <c r="H180">
        <v>179</v>
      </c>
      <c r="I180">
        <v>179</v>
      </c>
      <c r="J180">
        <v>4.1666666666666666E-3</v>
      </c>
      <c r="K180" s="14">
        <v>1187.6860463473035</v>
      </c>
      <c r="L180" s="14">
        <v>378813.28268580697</v>
      </c>
      <c r="M180" s="36">
        <f>IF(Output[[#This Row],[Index]]=1,Output[[#This Row],[Droit Utilisation]],P179)</f>
        <v>136348.57717059925</v>
      </c>
      <c r="N180" s="15">
        <f>Output[[#This Row],[Capital Debut Period]]*Output[[#This Row],[Tx_interet_M]]</f>
        <v>568.11907154416349</v>
      </c>
      <c r="O180" s="15">
        <f>Output[[#This Row],[Mensualité initial]]-Output[[#This Row],[Interet]]</f>
        <v>1931.8809284558365</v>
      </c>
      <c r="P180" s="15">
        <f>Output[[#This Row],[Capital Debut Period]]-Output[[#This Row],[Paiement Principal]]</f>
        <v>134416.69624214343</v>
      </c>
      <c r="Q180" s="15">
        <f>Output[[#This Row],[Droit Utilisation]]/Output[[#This Row],[Duree_Mois]]</f>
        <v>1578.388677857529</v>
      </c>
    </row>
    <row r="181" spans="1:17" x14ac:dyDescent="0.25">
      <c r="A181" s="11" t="s">
        <v>4</v>
      </c>
      <c r="B181" s="12">
        <v>43282</v>
      </c>
      <c r="C181">
        <v>2500</v>
      </c>
      <c r="D181">
        <v>20</v>
      </c>
      <c r="E181">
        <v>0.05</v>
      </c>
      <c r="F181">
        <v>240</v>
      </c>
      <c r="G181" s="13">
        <v>48760</v>
      </c>
      <c r="H181">
        <v>180</v>
      </c>
      <c r="I181">
        <v>180</v>
      </c>
      <c r="J181">
        <v>4.1666666666666666E-3</v>
      </c>
      <c r="K181" s="14">
        <v>1182.7578884786426</v>
      </c>
      <c r="L181" s="14">
        <v>378813.28268580697</v>
      </c>
      <c r="M181" s="36">
        <f>IF(Output[[#This Row],[Index]]=1,Output[[#This Row],[Droit Utilisation]],P180)</f>
        <v>134416.69624214343</v>
      </c>
      <c r="N181" s="15">
        <f>Output[[#This Row],[Capital Debut Period]]*Output[[#This Row],[Tx_interet_M]]</f>
        <v>560.06956767559757</v>
      </c>
      <c r="O181" s="15">
        <f>Output[[#This Row],[Mensualité initial]]-Output[[#This Row],[Interet]]</f>
        <v>1939.9304323244023</v>
      </c>
      <c r="P181" s="15">
        <f>Output[[#This Row],[Capital Debut Period]]-Output[[#This Row],[Paiement Principal]]</f>
        <v>132476.76580981901</v>
      </c>
      <c r="Q181" s="15">
        <f>Output[[#This Row],[Droit Utilisation]]/Output[[#This Row],[Duree_Mois]]</f>
        <v>1578.388677857529</v>
      </c>
    </row>
    <row r="182" spans="1:17" x14ac:dyDescent="0.25">
      <c r="A182" s="11" t="s">
        <v>4</v>
      </c>
      <c r="B182" s="12">
        <v>43282</v>
      </c>
      <c r="C182">
        <v>2500</v>
      </c>
      <c r="D182">
        <v>20</v>
      </c>
      <c r="E182">
        <v>0.05</v>
      </c>
      <c r="F182">
        <v>240</v>
      </c>
      <c r="G182" s="13">
        <v>48791</v>
      </c>
      <c r="H182">
        <v>181</v>
      </c>
      <c r="I182">
        <v>181</v>
      </c>
      <c r="J182">
        <v>4.1666666666666666E-3</v>
      </c>
      <c r="K182" s="14">
        <v>1177.8501793978185</v>
      </c>
      <c r="L182" s="14">
        <v>378813.28268580697</v>
      </c>
      <c r="M182" s="36">
        <f>IF(Output[[#This Row],[Index]]=1,Output[[#This Row],[Droit Utilisation]],P181)</f>
        <v>132476.76580981901</v>
      </c>
      <c r="N182" s="15">
        <f>Output[[#This Row],[Capital Debut Period]]*Output[[#This Row],[Tx_interet_M]]</f>
        <v>551.98652420757924</v>
      </c>
      <c r="O182" s="15">
        <f>Output[[#This Row],[Mensualité initial]]-Output[[#This Row],[Interet]]</f>
        <v>1948.0134757924206</v>
      </c>
      <c r="P182" s="15">
        <f>Output[[#This Row],[Capital Debut Period]]-Output[[#This Row],[Paiement Principal]]</f>
        <v>130528.75233402659</v>
      </c>
      <c r="Q182" s="15">
        <f>Output[[#This Row],[Droit Utilisation]]/Output[[#This Row],[Duree_Mois]]</f>
        <v>1578.388677857529</v>
      </c>
    </row>
    <row r="183" spans="1:17" x14ac:dyDescent="0.25">
      <c r="A183" s="11" t="s">
        <v>4</v>
      </c>
      <c r="B183" s="12">
        <v>43282</v>
      </c>
      <c r="C183">
        <v>2500</v>
      </c>
      <c r="D183">
        <v>20</v>
      </c>
      <c r="E183">
        <v>0.05</v>
      </c>
      <c r="F183">
        <v>240</v>
      </c>
      <c r="G183" s="13">
        <v>48822</v>
      </c>
      <c r="H183">
        <v>182</v>
      </c>
      <c r="I183">
        <v>182</v>
      </c>
      <c r="J183">
        <v>4.1666666666666666E-3</v>
      </c>
      <c r="K183" s="14">
        <v>1172.9628342550889</v>
      </c>
      <c r="L183" s="14">
        <v>378813.28268580697</v>
      </c>
      <c r="M183" s="36">
        <f>IF(Output[[#This Row],[Index]]=1,Output[[#This Row],[Droit Utilisation]],P182)</f>
        <v>130528.75233402659</v>
      </c>
      <c r="N183" s="15">
        <f>Output[[#This Row],[Capital Debut Period]]*Output[[#This Row],[Tx_interet_M]]</f>
        <v>543.8698013917774</v>
      </c>
      <c r="O183" s="15">
        <f>Output[[#This Row],[Mensualité initial]]-Output[[#This Row],[Interet]]</f>
        <v>1956.1301986082226</v>
      </c>
      <c r="P183" s="15">
        <f>Output[[#This Row],[Capital Debut Period]]-Output[[#This Row],[Paiement Principal]]</f>
        <v>128572.62213541837</v>
      </c>
      <c r="Q183" s="15">
        <f>Output[[#This Row],[Droit Utilisation]]/Output[[#This Row],[Duree_Mois]]</f>
        <v>1578.388677857529</v>
      </c>
    </row>
    <row r="184" spans="1:17" x14ac:dyDescent="0.25">
      <c r="A184" s="11" t="s">
        <v>4</v>
      </c>
      <c r="B184" s="12">
        <v>43282</v>
      </c>
      <c r="C184">
        <v>2500</v>
      </c>
      <c r="D184">
        <v>20</v>
      </c>
      <c r="E184">
        <v>0.05</v>
      </c>
      <c r="F184">
        <v>240</v>
      </c>
      <c r="G184" s="13">
        <v>48852</v>
      </c>
      <c r="H184">
        <v>183</v>
      </c>
      <c r="I184">
        <v>183</v>
      </c>
      <c r="J184">
        <v>4.1666666666666666E-3</v>
      </c>
      <c r="K184" s="14">
        <v>1168.0957685527858</v>
      </c>
      <c r="L184" s="14">
        <v>378813.28268580697</v>
      </c>
      <c r="M184" s="36">
        <f>IF(Output[[#This Row],[Index]]=1,Output[[#This Row],[Droit Utilisation]],P183)</f>
        <v>128572.62213541837</v>
      </c>
      <c r="N184" s="15">
        <f>Output[[#This Row],[Capital Debut Period]]*Output[[#This Row],[Tx_interet_M]]</f>
        <v>535.71925889757654</v>
      </c>
      <c r="O184" s="15">
        <f>Output[[#This Row],[Mensualité initial]]-Output[[#This Row],[Interet]]</f>
        <v>1964.2807411024235</v>
      </c>
      <c r="P184" s="15">
        <f>Output[[#This Row],[Capital Debut Period]]-Output[[#This Row],[Paiement Principal]]</f>
        <v>126608.34139431594</v>
      </c>
      <c r="Q184" s="15">
        <f>Output[[#This Row],[Droit Utilisation]]/Output[[#This Row],[Duree_Mois]]</f>
        <v>1578.388677857529</v>
      </c>
    </row>
    <row r="185" spans="1:17" x14ac:dyDescent="0.25">
      <c r="A185" s="11" t="s">
        <v>4</v>
      </c>
      <c r="B185" s="12">
        <v>43282</v>
      </c>
      <c r="C185">
        <v>2500</v>
      </c>
      <c r="D185">
        <v>20</v>
      </c>
      <c r="E185">
        <v>0.05</v>
      </c>
      <c r="F185">
        <v>240</v>
      </c>
      <c r="G185" s="13">
        <v>48883</v>
      </c>
      <c r="H185">
        <v>184</v>
      </c>
      <c r="I185">
        <v>184</v>
      </c>
      <c r="J185">
        <v>4.1666666666666666E-3</v>
      </c>
      <c r="K185" s="14">
        <v>1163.248898143853</v>
      </c>
      <c r="L185" s="14">
        <v>378813.28268580697</v>
      </c>
      <c r="M185" s="36">
        <f>IF(Output[[#This Row],[Index]]=1,Output[[#This Row],[Droit Utilisation]],P184)</f>
        <v>126608.34139431594</v>
      </c>
      <c r="N185" s="15">
        <f>Output[[#This Row],[Capital Debut Period]]*Output[[#This Row],[Tx_interet_M]]</f>
        <v>527.53475580964971</v>
      </c>
      <c r="O185" s="15">
        <f>Output[[#This Row],[Mensualité initial]]-Output[[#This Row],[Interet]]</f>
        <v>1972.4652441903504</v>
      </c>
      <c r="P185" s="15">
        <f>Output[[#This Row],[Capital Debut Period]]-Output[[#This Row],[Paiement Principal]]</f>
        <v>124635.87615012559</v>
      </c>
      <c r="Q185" s="15">
        <f>Output[[#This Row],[Droit Utilisation]]/Output[[#This Row],[Duree_Mois]]</f>
        <v>1578.388677857529</v>
      </c>
    </row>
    <row r="186" spans="1:17" x14ac:dyDescent="0.25">
      <c r="A186" s="11" t="s">
        <v>4</v>
      </c>
      <c r="B186" s="12">
        <v>43282</v>
      </c>
      <c r="C186">
        <v>2500</v>
      </c>
      <c r="D186">
        <v>20</v>
      </c>
      <c r="E186">
        <v>0.05</v>
      </c>
      <c r="F186">
        <v>240</v>
      </c>
      <c r="G186" s="13">
        <v>48913</v>
      </c>
      <c r="H186">
        <v>185</v>
      </c>
      <c r="I186">
        <v>185</v>
      </c>
      <c r="J186">
        <v>4.1666666666666666E-3</v>
      </c>
      <c r="K186" s="14">
        <v>1158.422139230393</v>
      </c>
      <c r="L186" s="14">
        <v>378813.28268580697</v>
      </c>
      <c r="M186" s="36">
        <f>IF(Output[[#This Row],[Index]]=1,Output[[#This Row],[Droit Utilisation]],P185)</f>
        <v>124635.87615012559</v>
      </c>
      <c r="N186" s="15">
        <f>Output[[#This Row],[Capital Debut Period]]*Output[[#This Row],[Tx_interet_M]]</f>
        <v>519.31615062552328</v>
      </c>
      <c r="O186" s="15">
        <f>Output[[#This Row],[Mensualité initial]]-Output[[#This Row],[Interet]]</f>
        <v>1980.6838493744767</v>
      </c>
      <c r="P186" s="15">
        <f>Output[[#This Row],[Capital Debut Period]]-Output[[#This Row],[Paiement Principal]]</f>
        <v>122655.19230075112</v>
      </c>
      <c r="Q186" s="15">
        <f>Output[[#This Row],[Droit Utilisation]]/Output[[#This Row],[Duree_Mois]]</f>
        <v>1578.388677857529</v>
      </c>
    </row>
    <row r="187" spans="1:17" x14ac:dyDescent="0.25">
      <c r="A187" s="11" t="s">
        <v>4</v>
      </c>
      <c r="B187" s="12">
        <v>43282</v>
      </c>
      <c r="C187">
        <v>2500</v>
      </c>
      <c r="D187">
        <v>20</v>
      </c>
      <c r="E187">
        <v>0.05</v>
      </c>
      <c r="F187">
        <v>240</v>
      </c>
      <c r="G187" s="13">
        <v>48944</v>
      </c>
      <c r="H187">
        <v>186</v>
      </c>
      <c r="I187">
        <v>186</v>
      </c>
      <c r="J187">
        <v>4.1666666666666666E-3</v>
      </c>
      <c r="K187" s="14">
        <v>1153.6154083622171</v>
      </c>
      <c r="L187" s="14">
        <v>378813.28268580697</v>
      </c>
      <c r="M187" s="36">
        <f>IF(Output[[#This Row],[Index]]=1,Output[[#This Row],[Droit Utilisation]],P186)</f>
        <v>122655.19230075112</v>
      </c>
      <c r="N187" s="15">
        <f>Output[[#This Row],[Capital Debut Period]]*Output[[#This Row],[Tx_interet_M]]</f>
        <v>511.06330125312968</v>
      </c>
      <c r="O187" s="15">
        <f>Output[[#This Row],[Mensualité initial]]-Output[[#This Row],[Interet]]</f>
        <v>1988.9366987468702</v>
      </c>
      <c r="P187" s="15">
        <f>Output[[#This Row],[Capital Debut Period]]-Output[[#This Row],[Paiement Principal]]</f>
        <v>120666.25560200425</v>
      </c>
      <c r="Q187" s="15">
        <f>Output[[#This Row],[Droit Utilisation]]/Output[[#This Row],[Duree_Mois]]</f>
        <v>1578.388677857529</v>
      </c>
    </row>
    <row r="188" spans="1:17" x14ac:dyDescent="0.25">
      <c r="A188" s="11" t="s">
        <v>4</v>
      </c>
      <c r="B188" s="12">
        <v>43282</v>
      </c>
      <c r="C188">
        <v>2500</v>
      </c>
      <c r="D188">
        <v>20</v>
      </c>
      <c r="E188">
        <v>0.05</v>
      </c>
      <c r="F188">
        <v>240</v>
      </c>
      <c r="G188" s="13">
        <v>48975</v>
      </c>
      <c r="H188">
        <v>187</v>
      </c>
      <c r="I188">
        <v>187</v>
      </c>
      <c r="J188">
        <v>4.1666666666666666E-3</v>
      </c>
      <c r="K188" s="14">
        <v>1148.8286224354028</v>
      </c>
      <c r="L188" s="14">
        <v>378813.28268580697</v>
      </c>
      <c r="M188" s="36">
        <f>IF(Output[[#This Row],[Index]]=1,Output[[#This Row],[Droit Utilisation]],P187)</f>
        <v>120666.25560200425</v>
      </c>
      <c r="N188" s="15">
        <f>Output[[#This Row],[Capital Debut Period]]*Output[[#This Row],[Tx_interet_M]]</f>
        <v>502.77606500835105</v>
      </c>
      <c r="O188" s="15">
        <f>Output[[#This Row],[Mensualité initial]]-Output[[#This Row],[Interet]]</f>
        <v>1997.223934991649</v>
      </c>
      <c r="P188" s="15">
        <f>Output[[#This Row],[Capital Debut Period]]-Output[[#This Row],[Paiement Principal]]</f>
        <v>118669.0316670126</v>
      </c>
      <c r="Q188" s="15">
        <f>Output[[#This Row],[Droit Utilisation]]/Output[[#This Row],[Duree_Mois]]</f>
        <v>1578.388677857529</v>
      </c>
    </row>
    <row r="189" spans="1:17" x14ac:dyDescent="0.25">
      <c r="A189" s="11" t="s">
        <v>4</v>
      </c>
      <c r="B189" s="12">
        <v>43282</v>
      </c>
      <c r="C189">
        <v>2500</v>
      </c>
      <c r="D189">
        <v>20</v>
      </c>
      <c r="E189">
        <v>0.05</v>
      </c>
      <c r="F189">
        <v>240</v>
      </c>
      <c r="G189" s="13">
        <v>49003</v>
      </c>
      <c r="H189">
        <v>188</v>
      </c>
      <c r="I189">
        <v>188</v>
      </c>
      <c r="J189">
        <v>4.1666666666666666E-3</v>
      </c>
      <c r="K189" s="14">
        <v>1144.0616986908576</v>
      </c>
      <c r="L189" s="14">
        <v>378813.28268580697</v>
      </c>
      <c r="M189" s="36">
        <f>IF(Output[[#This Row],[Index]]=1,Output[[#This Row],[Droit Utilisation]],P188)</f>
        <v>118669.0316670126</v>
      </c>
      <c r="N189" s="15">
        <f>Output[[#This Row],[Capital Debut Period]]*Output[[#This Row],[Tx_interet_M]]</f>
        <v>494.45429861255252</v>
      </c>
      <c r="O189" s="15">
        <f>Output[[#This Row],[Mensualité initial]]-Output[[#This Row],[Interet]]</f>
        <v>2005.5457013874475</v>
      </c>
      <c r="P189" s="15">
        <f>Output[[#This Row],[Capital Debut Period]]-Output[[#This Row],[Paiement Principal]]</f>
        <v>116663.48596562515</v>
      </c>
      <c r="Q189" s="15">
        <f>Output[[#This Row],[Droit Utilisation]]/Output[[#This Row],[Duree_Mois]]</f>
        <v>1578.388677857529</v>
      </c>
    </row>
    <row r="190" spans="1:17" x14ac:dyDescent="0.25">
      <c r="A190" s="11" t="s">
        <v>4</v>
      </c>
      <c r="B190" s="12">
        <v>43282</v>
      </c>
      <c r="C190">
        <v>2500</v>
      </c>
      <c r="D190">
        <v>20</v>
      </c>
      <c r="E190">
        <v>0.05</v>
      </c>
      <c r="F190">
        <v>240</v>
      </c>
      <c r="G190" s="13">
        <v>49034</v>
      </c>
      <c r="H190">
        <v>189</v>
      </c>
      <c r="I190">
        <v>189</v>
      </c>
      <c r="J190">
        <v>4.1666666666666666E-3</v>
      </c>
      <c r="K190" s="14">
        <v>1139.3145547128872</v>
      </c>
      <c r="L190" s="14">
        <v>378813.28268580697</v>
      </c>
      <c r="M190" s="36">
        <f>IF(Output[[#This Row],[Index]]=1,Output[[#This Row],[Droit Utilisation]],P189)</f>
        <v>116663.48596562515</v>
      </c>
      <c r="N190" s="15">
        <f>Output[[#This Row],[Capital Debut Period]]*Output[[#This Row],[Tx_interet_M]]</f>
        <v>486.09785819010477</v>
      </c>
      <c r="O190" s="15">
        <f>Output[[#This Row],[Mensualité initial]]-Output[[#This Row],[Interet]]</f>
        <v>2013.9021418098953</v>
      </c>
      <c r="P190" s="15">
        <f>Output[[#This Row],[Capital Debut Period]]-Output[[#This Row],[Paiement Principal]]</f>
        <v>114649.58382381525</v>
      </c>
      <c r="Q190" s="15">
        <f>Output[[#This Row],[Droit Utilisation]]/Output[[#This Row],[Duree_Mois]]</f>
        <v>1578.388677857529</v>
      </c>
    </row>
    <row r="191" spans="1:17" x14ac:dyDescent="0.25">
      <c r="A191" s="11" t="s">
        <v>4</v>
      </c>
      <c r="B191" s="12">
        <v>43282</v>
      </c>
      <c r="C191">
        <v>2500</v>
      </c>
      <c r="D191">
        <v>20</v>
      </c>
      <c r="E191">
        <v>0.05</v>
      </c>
      <c r="F191">
        <v>240</v>
      </c>
      <c r="G191" s="13">
        <v>49064</v>
      </c>
      <c r="H191">
        <v>190</v>
      </c>
      <c r="I191">
        <v>190</v>
      </c>
      <c r="J191">
        <v>4.1666666666666666E-3</v>
      </c>
      <c r="K191" s="14">
        <v>1134.5871084277717</v>
      </c>
      <c r="L191" s="14">
        <v>378813.28268580697</v>
      </c>
      <c r="M191" s="36">
        <f>IF(Output[[#This Row],[Index]]=1,Output[[#This Row],[Droit Utilisation]],P190)</f>
        <v>114649.58382381525</v>
      </c>
      <c r="N191" s="15">
        <f>Output[[#This Row],[Capital Debut Period]]*Output[[#This Row],[Tx_interet_M]]</f>
        <v>477.70659926589684</v>
      </c>
      <c r="O191" s="15">
        <f>Output[[#This Row],[Mensualité initial]]-Output[[#This Row],[Interet]]</f>
        <v>2022.2934007341032</v>
      </c>
      <c r="P191" s="15">
        <f>Output[[#This Row],[Capital Debut Period]]-Output[[#This Row],[Paiement Principal]]</f>
        <v>112627.29042308114</v>
      </c>
      <c r="Q191" s="15">
        <f>Output[[#This Row],[Droit Utilisation]]/Output[[#This Row],[Duree_Mois]]</f>
        <v>1578.388677857529</v>
      </c>
    </row>
    <row r="192" spans="1:17" x14ac:dyDescent="0.25">
      <c r="A192" s="11" t="s">
        <v>4</v>
      </c>
      <c r="B192" s="12">
        <v>43282</v>
      </c>
      <c r="C192">
        <v>2500</v>
      </c>
      <c r="D192">
        <v>20</v>
      </c>
      <c r="E192">
        <v>0.05</v>
      </c>
      <c r="F192">
        <v>240</v>
      </c>
      <c r="G192" s="13">
        <v>49095</v>
      </c>
      <c r="H192">
        <v>191</v>
      </c>
      <c r="I192">
        <v>191</v>
      </c>
      <c r="J192">
        <v>4.1666666666666666E-3</v>
      </c>
      <c r="K192" s="14">
        <v>1129.8792781023451</v>
      </c>
      <c r="L192" s="14">
        <v>378813.28268580697</v>
      </c>
      <c r="M192" s="36">
        <f>IF(Output[[#This Row],[Index]]=1,Output[[#This Row],[Droit Utilisation]],P191)</f>
        <v>112627.29042308114</v>
      </c>
      <c r="N192" s="15">
        <f>Output[[#This Row],[Capital Debut Period]]*Output[[#This Row],[Tx_interet_M]]</f>
        <v>469.2803767628381</v>
      </c>
      <c r="O192" s="15">
        <f>Output[[#This Row],[Mensualité initial]]-Output[[#This Row],[Interet]]</f>
        <v>2030.7196232371618</v>
      </c>
      <c r="P192" s="15">
        <f>Output[[#This Row],[Capital Debut Period]]-Output[[#This Row],[Paiement Principal]]</f>
        <v>110596.57079984398</v>
      </c>
      <c r="Q192" s="15">
        <f>Output[[#This Row],[Droit Utilisation]]/Output[[#This Row],[Duree_Mois]]</f>
        <v>1578.388677857529</v>
      </c>
    </row>
    <row r="193" spans="1:17" x14ac:dyDescent="0.25">
      <c r="A193" s="11" t="s">
        <v>4</v>
      </c>
      <c r="B193" s="12">
        <v>43282</v>
      </c>
      <c r="C193">
        <v>2500</v>
      </c>
      <c r="D193">
        <v>20</v>
      </c>
      <c r="E193">
        <v>0.05</v>
      </c>
      <c r="F193">
        <v>240</v>
      </c>
      <c r="G193" s="13">
        <v>49125</v>
      </c>
      <c r="H193">
        <v>192</v>
      </c>
      <c r="I193">
        <v>192</v>
      </c>
      <c r="J193">
        <v>4.1666666666666666E-3</v>
      </c>
      <c r="K193" s="14">
        <v>1125.1909823425844</v>
      </c>
      <c r="L193" s="14">
        <v>378813.28268580697</v>
      </c>
      <c r="M193" s="36">
        <f>IF(Output[[#This Row],[Index]]=1,Output[[#This Row],[Droit Utilisation]],P192)</f>
        <v>110596.57079984398</v>
      </c>
      <c r="N193" s="15">
        <f>Output[[#This Row],[Capital Debut Period]]*Output[[#This Row],[Tx_interet_M]]</f>
        <v>460.8190449993499</v>
      </c>
      <c r="O193" s="15">
        <f>Output[[#This Row],[Mensualité initial]]-Output[[#This Row],[Interet]]</f>
        <v>2039.1809550006501</v>
      </c>
      <c r="P193" s="15">
        <f>Output[[#This Row],[Capital Debut Period]]-Output[[#This Row],[Paiement Principal]]</f>
        <v>108557.38984484333</v>
      </c>
      <c r="Q193" s="15">
        <f>Output[[#This Row],[Droit Utilisation]]/Output[[#This Row],[Duree_Mois]]</f>
        <v>1578.388677857529</v>
      </c>
    </row>
    <row r="194" spans="1:17" x14ac:dyDescent="0.25">
      <c r="A194" s="11" t="s">
        <v>4</v>
      </c>
      <c r="B194" s="12">
        <v>43282</v>
      </c>
      <c r="C194">
        <v>2500</v>
      </c>
      <c r="D194">
        <v>20</v>
      </c>
      <c r="E194">
        <v>0.05</v>
      </c>
      <c r="F194">
        <v>240</v>
      </c>
      <c r="G194" s="13">
        <v>49156</v>
      </c>
      <c r="H194">
        <v>193</v>
      </c>
      <c r="I194">
        <v>193</v>
      </c>
      <c r="J194">
        <v>4.1666666666666666E-3</v>
      </c>
      <c r="K194" s="14">
        <v>1120.5221400922003</v>
      </c>
      <c r="L194" s="14">
        <v>378813.28268580697</v>
      </c>
      <c r="M194" s="36">
        <f>IF(Output[[#This Row],[Index]]=1,Output[[#This Row],[Droit Utilisation]],P193)</f>
        <v>108557.38984484333</v>
      </c>
      <c r="N194" s="15">
        <f>Output[[#This Row],[Capital Debut Period]]*Output[[#This Row],[Tx_interet_M]]</f>
        <v>452.3224576868472</v>
      </c>
      <c r="O194" s="15">
        <f>Output[[#This Row],[Mensualité initial]]-Output[[#This Row],[Interet]]</f>
        <v>2047.6775423131528</v>
      </c>
      <c r="P194" s="15">
        <f>Output[[#This Row],[Capital Debut Period]]-Output[[#This Row],[Paiement Principal]]</f>
        <v>106509.71230253018</v>
      </c>
      <c r="Q194" s="15">
        <f>Output[[#This Row],[Droit Utilisation]]/Output[[#This Row],[Duree_Mois]]</f>
        <v>1578.388677857529</v>
      </c>
    </row>
    <row r="195" spans="1:17" x14ac:dyDescent="0.25">
      <c r="A195" s="11" t="s">
        <v>4</v>
      </c>
      <c r="B195" s="12">
        <v>43282</v>
      </c>
      <c r="C195">
        <v>2500</v>
      </c>
      <c r="D195">
        <v>20</v>
      </c>
      <c r="E195">
        <v>0.05</v>
      </c>
      <c r="F195">
        <v>240</v>
      </c>
      <c r="G195" s="13">
        <v>49187</v>
      </c>
      <c r="H195">
        <v>194</v>
      </c>
      <c r="I195">
        <v>194</v>
      </c>
      <c r="J195">
        <v>4.1666666666666666E-3</v>
      </c>
      <c r="K195" s="14">
        <v>1115.8726706312368</v>
      </c>
      <c r="L195" s="14">
        <v>378813.28268580697</v>
      </c>
      <c r="M195" s="36">
        <f>IF(Output[[#This Row],[Index]]=1,Output[[#This Row],[Droit Utilisation]],P194)</f>
        <v>106509.71230253018</v>
      </c>
      <c r="N195" s="15">
        <f>Output[[#This Row],[Capital Debut Period]]*Output[[#This Row],[Tx_interet_M]]</f>
        <v>443.79046792720908</v>
      </c>
      <c r="O195" s="15">
        <f>Output[[#This Row],[Mensualité initial]]-Output[[#This Row],[Interet]]</f>
        <v>2056.2095320727908</v>
      </c>
      <c r="P195" s="15">
        <f>Output[[#This Row],[Capital Debut Period]]-Output[[#This Row],[Paiement Principal]]</f>
        <v>104453.50277045739</v>
      </c>
      <c r="Q195" s="15">
        <f>Output[[#This Row],[Droit Utilisation]]/Output[[#This Row],[Duree_Mois]]</f>
        <v>1578.388677857529</v>
      </c>
    </row>
    <row r="196" spans="1:17" x14ac:dyDescent="0.25">
      <c r="A196" s="11" t="s">
        <v>4</v>
      </c>
      <c r="B196" s="12">
        <v>43282</v>
      </c>
      <c r="C196">
        <v>2500</v>
      </c>
      <c r="D196">
        <v>20</v>
      </c>
      <c r="E196">
        <v>0.05</v>
      </c>
      <c r="F196">
        <v>240</v>
      </c>
      <c r="G196" s="13">
        <v>49217</v>
      </c>
      <c r="H196">
        <v>195</v>
      </c>
      <c r="I196">
        <v>195</v>
      </c>
      <c r="J196">
        <v>4.1666666666666666E-3</v>
      </c>
      <c r="K196" s="14">
        <v>1111.2424935746758</v>
      </c>
      <c r="L196" s="14">
        <v>378813.28268580697</v>
      </c>
      <c r="M196" s="36">
        <f>IF(Output[[#This Row],[Index]]=1,Output[[#This Row],[Droit Utilisation]],P195)</f>
        <v>104453.50277045739</v>
      </c>
      <c r="N196" s="15">
        <f>Output[[#This Row],[Capital Debut Period]]*Output[[#This Row],[Tx_interet_M]]</f>
        <v>435.2229282102391</v>
      </c>
      <c r="O196" s="15">
        <f>Output[[#This Row],[Mensualité initial]]-Output[[#This Row],[Interet]]</f>
        <v>2064.7770717897611</v>
      </c>
      <c r="P196" s="15">
        <f>Output[[#This Row],[Capital Debut Period]]-Output[[#This Row],[Paiement Principal]]</f>
        <v>102388.72569866762</v>
      </c>
      <c r="Q196" s="15">
        <f>Output[[#This Row],[Droit Utilisation]]/Output[[#This Row],[Duree_Mois]]</f>
        <v>1578.388677857529</v>
      </c>
    </row>
    <row r="197" spans="1:17" x14ac:dyDescent="0.25">
      <c r="A197" s="11" t="s">
        <v>4</v>
      </c>
      <c r="B197" s="12">
        <v>43282</v>
      </c>
      <c r="C197">
        <v>2500</v>
      </c>
      <c r="D197">
        <v>20</v>
      </c>
      <c r="E197">
        <v>0.05</v>
      </c>
      <c r="F197">
        <v>240</v>
      </c>
      <c r="G197" s="13">
        <v>49248</v>
      </c>
      <c r="H197">
        <v>196</v>
      </c>
      <c r="I197">
        <v>196</v>
      </c>
      <c r="J197">
        <v>4.1666666666666666E-3</v>
      </c>
      <c r="K197" s="14">
        <v>1106.6315288710464</v>
      </c>
      <c r="L197" s="14">
        <v>378813.28268580697</v>
      </c>
      <c r="M197" s="36">
        <f>IF(Output[[#This Row],[Index]]=1,Output[[#This Row],[Droit Utilisation]],P196)</f>
        <v>102388.72569866762</v>
      </c>
      <c r="N197" s="15">
        <f>Output[[#This Row],[Capital Debut Period]]*Output[[#This Row],[Tx_interet_M]]</f>
        <v>426.61969041111507</v>
      </c>
      <c r="O197" s="15">
        <f>Output[[#This Row],[Mensualité initial]]-Output[[#This Row],[Interet]]</f>
        <v>2073.3803095888848</v>
      </c>
      <c r="P197" s="15">
        <f>Output[[#This Row],[Capital Debut Period]]-Output[[#This Row],[Paiement Principal]]</f>
        <v>100315.34538907874</v>
      </c>
      <c r="Q197" s="15">
        <f>Output[[#This Row],[Droit Utilisation]]/Output[[#This Row],[Duree_Mois]]</f>
        <v>1578.388677857529</v>
      </c>
    </row>
    <row r="198" spans="1:17" x14ac:dyDescent="0.25">
      <c r="A198" s="11" t="s">
        <v>4</v>
      </c>
      <c r="B198" s="12">
        <v>43282</v>
      </c>
      <c r="C198">
        <v>2500</v>
      </c>
      <c r="D198">
        <v>20</v>
      </c>
      <c r="E198">
        <v>0.05</v>
      </c>
      <c r="F198">
        <v>240</v>
      </c>
      <c r="G198" s="13">
        <v>49278</v>
      </c>
      <c r="H198">
        <v>197</v>
      </c>
      <c r="I198">
        <v>197</v>
      </c>
      <c r="J198">
        <v>4.1666666666666666E-3</v>
      </c>
      <c r="K198" s="14">
        <v>1102.0396968010421</v>
      </c>
      <c r="L198" s="14">
        <v>378813.28268580697</v>
      </c>
      <c r="M198" s="36">
        <f>IF(Output[[#This Row],[Index]]=1,Output[[#This Row],[Droit Utilisation]],P197)</f>
        <v>100315.34538907874</v>
      </c>
      <c r="N198" s="15">
        <f>Output[[#This Row],[Capital Debut Period]]*Output[[#This Row],[Tx_interet_M]]</f>
        <v>417.98060578782804</v>
      </c>
      <c r="O198" s="15">
        <f>Output[[#This Row],[Mensualité initial]]-Output[[#This Row],[Interet]]</f>
        <v>2082.0193942121718</v>
      </c>
      <c r="P198" s="15">
        <f>Output[[#This Row],[Capital Debut Period]]-Output[[#This Row],[Paiement Principal]]</f>
        <v>98233.325994866565</v>
      </c>
      <c r="Q198" s="15">
        <f>Output[[#This Row],[Droit Utilisation]]/Output[[#This Row],[Duree_Mois]]</f>
        <v>1578.388677857529</v>
      </c>
    </row>
    <row r="199" spans="1:17" x14ac:dyDescent="0.25">
      <c r="A199" s="11" t="s">
        <v>4</v>
      </c>
      <c r="B199" s="12">
        <v>43282</v>
      </c>
      <c r="C199">
        <v>2500</v>
      </c>
      <c r="D199">
        <v>20</v>
      </c>
      <c r="E199">
        <v>0.05</v>
      </c>
      <c r="F199">
        <v>240</v>
      </c>
      <c r="G199" s="13">
        <v>49309</v>
      </c>
      <c r="H199">
        <v>198</v>
      </c>
      <c r="I199">
        <v>198</v>
      </c>
      <c r="J199">
        <v>4.1666666666666666E-3</v>
      </c>
      <c r="K199" s="14">
        <v>1097.4669179761415</v>
      </c>
      <c r="L199" s="14">
        <v>378813.28268580697</v>
      </c>
      <c r="M199" s="36">
        <f>IF(Output[[#This Row],[Index]]=1,Output[[#This Row],[Droit Utilisation]],P198)</f>
        <v>98233.325994866565</v>
      </c>
      <c r="N199" s="15">
        <f>Output[[#This Row],[Capital Debut Period]]*Output[[#This Row],[Tx_interet_M]]</f>
        <v>409.30552497861066</v>
      </c>
      <c r="O199" s="15">
        <f>Output[[#This Row],[Mensualité initial]]-Output[[#This Row],[Interet]]</f>
        <v>2090.6944750213893</v>
      </c>
      <c r="P199" s="15">
        <f>Output[[#This Row],[Capital Debut Period]]-Output[[#This Row],[Paiement Principal]]</f>
        <v>96142.631519845178</v>
      </c>
      <c r="Q199" s="15">
        <f>Output[[#This Row],[Droit Utilisation]]/Output[[#This Row],[Duree_Mois]]</f>
        <v>1578.388677857529</v>
      </c>
    </row>
    <row r="200" spans="1:17" x14ac:dyDescent="0.25">
      <c r="A200" s="11" t="s">
        <v>4</v>
      </c>
      <c r="B200" s="12">
        <v>43282</v>
      </c>
      <c r="C200">
        <v>2500</v>
      </c>
      <c r="D200">
        <v>20</v>
      </c>
      <c r="E200">
        <v>0.05</v>
      </c>
      <c r="F200">
        <v>240</v>
      </c>
      <c r="G200" s="13">
        <v>49340</v>
      </c>
      <c r="H200">
        <v>199</v>
      </c>
      <c r="I200">
        <v>199</v>
      </c>
      <c r="J200">
        <v>4.1666666666666666E-3</v>
      </c>
      <c r="K200" s="14">
        <v>1092.9131133372364</v>
      </c>
      <c r="L200" s="14">
        <v>378813.28268580697</v>
      </c>
      <c r="M200" s="36">
        <f>IF(Output[[#This Row],[Index]]=1,Output[[#This Row],[Droit Utilisation]],P199)</f>
        <v>96142.631519845178</v>
      </c>
      <c r="N200" s="15">
        <f>Output[[#This Row],[Capital Debut Period]]*Output[[#This Row],[Tx_interet_M]]</f>
        <v>400.59429799935492</v>
      </c>
      <c r="O200" s="15">
        <f>Output[[#This Row],[Mensualité initial]]-Output[[#This Row],[Interet]]</f>
        <v>2099.4057020006449</v>
      </c>
      <c r="P200" s="15">
        <f>Output[[#This Row],[Capital Debut Period]]-Output[[#This Row],[Paiement Principal]]</f>
        <v>94043.225817844534</v>
      </c>
      <c r="Q200" s="15">
        <f>Output[[#This Row],[Droit Utilisation]]/Output[[#This Row],[Duree_Mois]]</f>
        <v>1578.388677857529</v>
      </c>
    </row>
    <row r="201" spans="1:17" x14ac:dyDescent="0.25">
      <c r="A201" s="11" t="s">
        <v>4</v>
      </c>
      <c r="B201" s="12">
        <v>43282</v>
      </c>
      <c r="C201">
        <v>2500</v>
      </c>
      <c r="D201">
        <v>20</v>
      </c>
      <c r="E201">
        <v>0.05</v>
      </c>
      <c r="F201">
        <v>240</v>
      </c>
      <c r="G201" s="13">
        <v>49368</v>
      </c>
      <c r="H201">
        <v>200</v>
      </c>
      <c r="I201">
        <v>200</v>
      </c>
      <c r="J201">
        <v>4.1666666666666666E-3</v>
      </c>
      <c r="K201" s="14">
        <v>1088.3782041532645</v>
      </c>
      <c r="L201" s="14">
        <v>378813.28268580697</v>
      </c>
      <c r="M201" s="36">
        <f>IF(Output[[#This Row],[Index]]=1,Output[[#This Row],[Droit Utilisation]],P200)</f>
        <v>94043.225817844534</v>
      </c>
      <c r="N201" s="15">
        <f>Output[[#This Row],[Capital Debut Period]]*Output[[#This Row],[Tx_interet_M]]</f>
        <v>391.84677424101886</v>
      </c>
      <c r="O201" s="15">
        <f>Output[[#This Row],[Mensualité initial]]-Output[[#This Row],[Interet]]</f>
        <v>2108.1532257589811</v>
      </c>
      <c r="P201" s="15">
        <f>Output[[#This Row],[Capital Debut Period]]-Output[[#This Row],[Paiement Principal]]</f>
        <v>91935.072592085548</v>
      </c>
      <c r="Q201" s="15">
        <f>Output[[#This Row],[Droit Utilisation]]/Output[[#This Row],[Duree_Mois]]</f>
        <v>1578.388677857529</v>
      </c>
    </row>
    <row r="202" spans="1:17" x14ac:dyDescent="0.25">
      <c r="A202" s="11" t="s">
        <v>4</v>
      </c>
      <c r="B202" s="12">
        <v>43282</v>
      </c>
      <c r="C202">
        <v>2500</v>
      </c>
      <c r="D202">
        <v>20</v>
      </c>
      <c r="E202">
        <v>0.05</v>
      </c>
      <c r="F202">
        <v>240</v>
      </c>
      <c r="G202" s="13">
        <v>49399</v>
      </c>
      <c r="H202">
        <v>201</v>
      </c>
      <c r="I202">
        <v>201</v>
      </c>
      <c r="J202">
        <v>4.1666666666666666E-3</v>
      </c>
      <c r="K202" s="14">
        <v>1083.8621120198484</v>
      </c>
      <c r="L202" s="14">
        <v>378813.28268580697</v>
      </c>
      <c r="M202" s="36">
        <f>IF(Output[[#This Row],[Index]]=1,Output[[#This Row],[Droit Utilisation]],P201)</f>
        <v>91935.072592085548</v>
      </c>
      <c r="N202" s="15">
        <f>Output[[#This Row],[Capital Debut Period]]*Output[[#This Row],[Tx_interet_M]]</f>
        <v>383.06280246702312</v>
      </c>
      <c r="O202" s="15">
        <f>Output[[#This Row],[Mensualité initial]]-Output[[#This Row],[Interet]]</f>
        <v>2116.9371975329768</v>
      </c>
      <c r="P202" s="15">
        <f>Output[[#This Row],[Capital Debut Period]]-Output[[#This Row],[Paiement Principal]]</f>
        <v>89818.135394552577</v>
      </c>
      <c r="Q202" s="15">
        <f>Output[[#This Row],[Droit Utilisation]]/Output[[#This Row],[Duree_Mois]]</f>
        <v>1578.388677857529</v>
      </c>
    </row>
    <row r="203" spans="1:17" x14ac:dyDescent="0.25">
      <c r="A203" s="11" t="s">
        <v>4</v>
      </c>
      <c r="B203" s="12">
        <v>43282</v>
      </c>
      <c r="C203">
        <v>2500</v>
      </c>
      <c r="D203">
        <v>20</v>
      </c>
      <c r="E203">
        <v>0.05</v>
      </c>
      <c r="F203">
        <v>240</v>
      </c>
      <c r="G203" s="13">
        <v>49429</v>
      </c>
      <c r="H203">
        <v>202</v>
      </c>
      <c r="I203">
        <v>202</v>
      </c>
      <c r="J203">
        <v>4.1666666666666666E-3</v>
      </c>
      <c r="K203" s="14">
        <v>1079.3647588579404</v>
      </c>
      <c r="L203" s="14">
        <v>378813.28268580697</v>
      </c>
      <c r="M203" s="36">
        <f>IF(Output[[#This Row],[Index]]=1,Output[[#This Row],[Droit Utilisation]],P202)</f>
        <v>89818.135394552577</v>
      </c>
      <c r="N203" s="15">
        <f>Output[[#This Row],[Capital Debut Period]]*Output[[#This Row],[Tx_interet_M]]</f>
        <v>374.24223081063576</v>
      </c>
      <c r="O203" s="15">
        <f>Output[[#This Row],[Mensualité initial]]-Output[[#This Row],[Interet]]</f>
        <v>2125.7577691893644</v>
      </c>
      <c r="P203" s="15">
        <f>Output[[#This Row],[Capital Debut Period]]-Output[[#This Row],[Paiement Principal]]</f>
        <v>87692.37762536321</v>
      </c>
      <c r="Q203" s="15">
        <f>Output[[#This Row],[Droit Utilisation]]/Output[[#This Row],[Duree_Mois]]</f>
        <v>1578.388677857529</v>
      </c>
    </row>
    <row r="204" spans="1:17" x14ac:dyDescent="0.25">
      <c r="A204" s="11" t="s">
        <v>4</v>
      </c>
      <c r="B204" s="12">
        <v>43282</v>
      </c>
      <c r="C204">
        <v>2500</v>
      </c>
      <c r="D204">
        <v>20</v>
      </c>
      <c r="E204">
        <v>0.05</v>
      </c>
      <c r="F204">
        <v>240</v>
      </c>
      <c r="G204" s="13">
        <v>49460</v>
      </c>
      <c r="H204">
        <v>203</v>
      </c>
      <c r="I204">
        <v>203</v>
      </c>
      <c r="J204">
        <v>4.1666666666666666E-3</v>
      </c>
      <c r="K204" s="14">
        <v>1074.8860669124717</v>
      </c>
      <c r="L204" s="14">
        <v>378813.28268580697</v>
      </c>
      <c r="M204" s="36">
        <f>IF(Output[[#This Row],[Index]]=1,Output[[#This Row],[Droit Utilisation]],P203)</f>
        <v>87692.37762536321</v>
      </c>
      <c r="N204" s="15">
        <f>Output[[#This Row],[Capital Debut Period]]*Output[[#This Row],[Tx_interet_M]]</f>
        <v>365.38490677234671</v>
      </c>
      <c r="O204" s="15">
        <f>Output[[#This Row],[Mensualité initial]]-Output[[#This Row],[Interet]]</f>
        <v>2134.6150932276532</v>
      </c>
      <c r="P204" s="15">
        <f>Output[[#This Row],[Capital Debut Period]]-Output[[#This Row],[Paiement Principal]]</f>
        <v>85557.762532135559</v>
      </c>
      <c r="Q204" s="15">
        <f>Output[[#This Row],[Droit Utilisation]]/Output[[#This Row],[Duree_Mois]]</f>
        <v>1578.388677857529</v>
      </c>
    </row>
    <row r="205" spans="1:17" x14ac:dyDescent="0.25">
      <c r="A205" s="11" t="s">
        <v>4</v>
      </c>
      <c r="B205" s="12">
        <v>43282</v>
      </c>
      <c r="C205">
        <v>2500</v>
      </c>
      <c r="D205">
        <v>20</v>
      </c>
      <c r="E205">
        <v>0.05</v>
      </c>
      <c r="F205">
        <v>240</v>
      </c>
      <c r="G205" s="13">
        <v>49490</v>
      </c>
      <c r="H205">
        <v>204</v>
      </c>
      <c r="I205">
        <v>204</v>
      </c>
      <c r="J205">
        <v>4.1666666666666666E-3</v>
      </c>
      <c r="K205" s="14">
        <v>1070.4259587510094</v>
      </c>
      <c r="L205" s="14">
        <v>378813.28268580697</v>
      </c>
      <c r="M205" s="36">
        <f>IF(Output[[#This Row],[Index]]=1,Output[[#This Row],[Droit Utilisation]],P204)</f>
        <v>85557.762532135559</v>
      </c>
      <c r="N205" s="15">
        <f>Output[[#This Row],[Capital Debut Period]]*Output[[#This Row],[Tx_interet_M]]</f>
        <v>356.49067721723151</v>
      </c>
      <c r="O205" s="15">
        <f>Output[[#This Row],[Mensualité initial]]-Output[[#This Row],[Interet]]</f>
        <v>2143.5093227827683</v>
      </c>
      <c r="P205" s="15">
        <f>Output[[#This Row],[Capital Debut Period]]-Output[[#This Row],[Paiement Principal]]</f>
        <v>83414.253209352784</v>
      </c>
      <c r="Q205" s="15">
        <f>Output[[#This Row],[Droit Utilisation]]/Output[[#This Row],[Duree_Mois]]</f>
        <v>1578.388677857529</v>
      </c>
    </row>
    <row r="206" spans="1:17" x14ac:dyDescent="0.25">
      <c r="A206" s="11" t="s">
        <v>4</v>
      </c>
      <c r="B206" s="12">
        <v>43282</v>
      </c>
      <c r="C206">
        <v>2500</v>
      </c>
      <c r="D206">
        <v>20</v>
      </c>
      <c r="E206">
        <v>0.05</v>
      </c>
      <c r="F206">
        <v>240</v>
      </c>
      <c r="G206" s="13">
        <v>49521</v>
      </c>
      <c r="H206">
        <v>205</v>
      </c>
      <c r="I206">
        <v>205</v>
      </c>
      <c r="J206">
        <v>4.1666666666666666E-3</v>
      </c>
      <c r="K206" s="14">
        <v>1065.9843572624159</v>
      </c>
      <c r="L206" s="14">
        <v>378813.28268580697</v>
      </c>
      <c r="M206" s="36">
        <f>IF(Output[[#This Row],[Index]]=1,Output[[#This Row],[Droit Utilisation]],P205)</f>
        <v>83414.253209352784</v>
      </c>
      <c r="N206" s="15">
        <f>Output[[#This Row],[Capital Debut Period]]*Output[[#This Row],[Tx_interet_M]]</f>
        <v>347.55938837230326</v>
      </c>
      <c r="O206" s="15">
        <f>Output[[#This Row],[Mensualité initial]]-Output[[#This Row],[Interet]]</f>
        <v>2152.4406116276969</v>
      </c>
      <c r="P206" s="15">
        <f>Output[[#This Row],[Capital Debut Period]]-Output[[#This Row],[Paiement Principal]]</f>
        <v>81261.812597725089</v>
      </c>
      <c r="Q206" s="15">
        <f>Output[[#This Row],[Droit Utilisation]]/Output[[#This Row],[Duree_Mois]]</f>
        <v>1578.388677857529</v>
      </c>
    </row>
    <row r="207" spans="1:17" x14ac:dyDescent="0.25">
      <c r="A207" s="11" t="s">
        <v>4</v>
      </c>
      <c r="B207" s="12">
        <v>43282</v>
      </c>
      <c r="C207">
        <v>2500</v>
      </c>
      <c r="D207">
        <v>20</v>
      </c>
      <c r="E207">
        <v>0.05</v>
      </c>
      <c r="F207">
        <v>240</v>
      </c>
      <c r="G207" s="13">
        <v>49552</v>
      </c>
      <c r="H207">
        <v>206</v>
      </c>
      <c r="I207">
        <v>206</v>
      </c>
      <c r="J207">
        <v>4.1666666666666666E-3</v>
      </c>
      <c r="K207" s="14">
        <v>1061.5611856555179</v>
      </c>
      <c r="L207" s="14">
        <v>378813.28268580697</v>
      </c>
      <c r="M207" s="36">
        <f>IF(Output[[#This Row],[Index]]=1,Output[[#This Row],[Droit Utilisation]],P206)</f>
        <v>81261.812597725089</v>
      </c>
      <c r="N207" s="15">
        <f>Output[[#This Row],[Capital Debut Period]]*Output[[#This Row],[Tx_interet_M]]</f>
        <v>338.59088582385453</v>
      </c>
      <c r="O207" s="15">
        <f>Output[[#This Row],[Mensualité initial]]-Output[[#This Row],[Interet]]</f>
        <v>2161.4091141761455</v>
      </c>
      <c r="P207" s="15">
        <f>Output[[#This Row],[Capital Debut Period]]-Output[[#This Row],[Paiement Principal]]</f>
        <v>79100.403483548944</v>
      </c>
      <c r="Q207" s="15">
        <f>Output[[#This Row],[Droit Utilisation]]/Output[[#This Row],[Duree_Mois]]</f>
        <v>1578.388677857529</v>
      </c>
    </row>
    <row r="208" spans="1:17" x14ac:dyDescent="0.25">
      <c r="A208" s="11" t="s">
        <v>4</v>
      </c>
      <c r="B208" s="12">
        <v>43282</v>
      </c>
      <c r="C208">
        <v>2500</v>
      </c>
      <c r="D208">
        <v>20</v>
      </c>
      <c r="E208">
        <v>0.05</v>
      </c>
      <c r="F208">
        <v>240</v>
      </c>
      <c r="G208" s="13">
        <v>49582</v>
      </c>
      <c r="H208">
        <v>207</v>
      </c>
      <c r="I208">
        <v>207</v>
      </c>
      <c r="J208">
        <v>4.1666666666666666E-3</v>
      </c>
      <c r="K208" s="14">
        <v>1057.1563674577772</v>
      </c>
      <c r="L208" s="14">
        <v>378813.28268580697</v>
      </c>
      <c r="M208" s="36">
        <f>IF(Output[[#This Row],[Index]]=1,Output[[#This Row],[Droit Utilisation]],P207)</f>
        <v>79100.403483548944</v>
      </c>
      <c r="N208" s="15">
        <f>Output[[#This Row],[Capital Debut Period]]*Output[[#This Row],[Tx_interet_M]]</f>
        <v>329.58501451478725</v>
      </c>
      <c r="O208" s="15">
        <f>Output[[#This Row],[Mensualité initial]]-Output[[#This Row],[Interet]]</f>
        <v>2170.4149854852126</v>
      </c>
      <c r="P208" s="15">
        <f>Output[[#This Row],[Capital Debut Period]]-Output[[#This Row],[Paiement Principal]]</f>
        <v>76929.988498063729</v>
      </c>
      <c r="Q208" s="15">
        <f>Output[[#This Row],[Droit Utilisation]]/Output[[#This Row],[Duree_Mois]]</f>
        <v>1578.388677857529</v>
      </c>
    </row>
    <row r="209" spans="1:17" x14ac:dyDescent="0.25">
      <c r="A209" s="11" t="s">
        <v>4</v>
      </c>
      <c r="B209" s="12">
        <v>43282</v>
      </c>
      <c r="C209">
        <v>2500</v>
      </c>
      <c r="D209">
        <v>20</v>
      </c>
      <c r="E209">
        <v>0.05</v>
      </c>
      <c r="F209">
        <v>240</v>
      </c>
      <c r="G209" s="13">
        <v>49613</v>
      </c>
      <c r="H209">
        <v>208</v>
      </c>
      <c r="I209">
        <v>208</v>
      </c>
      <c r="J209">
        <v>4.1666666666666666E-3</v>
      </c>
      <c r="K209" s="14">
        <v>1052.7698265139691</v>
      </c>
      <c r="L209" s="14">
        <v>378813.28268580697</v>
      </c>
      <c r="M209" s="36">
        <f>IF(Output[[#This Row],[Index]]=1,Output[[#This Row],[Droit Utilisation]],P208)</f>
        <v>76929.988498063729</v>
      </c>
      <c r="N209" s="15">
        <f>Output[[#This Row],[Capital Debut Period]]*Output[[#This Row],[Tx_interet_M]]</f>
        <v>320.54161874193221</v>
      </c>
      <c r="O209" s="15">
        <f>Output[[#This Row],[Mensualité initial]]-Output[[#This Row],[Interet]]</f>
        <v>2179.4583812580677</v>
      </c>
      <c r="P209" s="15">
        <f>Output[[#This Row],[Capital Debut Period]]-Output[[#This Row],[Paiement Principal]]</f>
        <v>74750.530116805661</v>
      </c>
      <c r="Q209" s="15">
        <f>Output[[#This Row],[Droit Utilisation]]/Output[[#This Row],[Duree_Mois]]</f>
        <v>1578.388677857529</v>
      </c>
    </row>
    <row r="210" spans="1:17" x14ac:dyDescent="0.25">
      <c r="A210" s="11" t="s">
        <v>4</v>
      </c>
      <c r="B210" s="12">
        <v>43282</v>
      </c>
      <c r="C210">
        <v>2500</v>
      </c>
      <c r="D210">
        <v>20</v>
      </c>
      <c r="E210">
        <v>0.05</v>
      </c>
      <c r="F210">
        <v>240</v>
      </c>
      <c r="G210" s="13">
        <v>49643</v>
      </c>
      <c r="H210">
        <v>209</v>
      </c>
      <c r="I210">
        <v>209</v>
      </c>
      <c r="J210">
        <v>4.1666666666666666E-3</v>
      </c>
      <c r="K210" s="14">
        <v>1048.4014869848654</v>
      </c>
      <c r="L210" s="14">
        <v>378813.28268580697</v>
      </c>
      <c r="M210" s="36">
        <f>IF(Output[[#This Row],[Index]]=1,Output[[#This Row],[Droit Utilisation]],P209)</f>
        <v>74750.530116805661</v>
      </c>
      <c r="N210" s="15">
        <f>Output[[#This Row],[Capital Debut Period]]*Output[[#This Row],[Tx_interet_M]]</f>
        <v>311.46054215335693</v>
      </c>
      <c r="O210" s="15">
        <f>Output[[#This Row],[Mensualité initial]]-Output[[#This Row],[Interet]]</f>
        <v>2188.539457846643</v>
      </c>
      <c r="P210" s="15">
        <f>Output[[#This Row],[Capital Debut Period]]-Output[[#This Row],[Paiement Principal]]</f>
        <v>72561.990658959025</v>
      </c>
      <c r="Q210" s="15">
        <f>Output[[#This Row],[Droit Utilisation]]/Output[[#This Row],[Duree_Mois]]</f>
        <v>1578.388677857529</v>
      </c>
    </row>
    <row r="211" spans="1:17" x14ac:dyDescent="0.25">
      <c r="A211" s="11" t="s">
        <v>4</v>
      </c>
      <c r="B211" s="12">
        <v>43282</v>
      </c>
      <c r="C211">
        <v>2500</v>
      </c>
      <c r="D211">
        <v>20</v>
      </c>
      <c r="E211">
        <v>0.05</v>
      </c>
      <c r="F211">
        <v>240</v>
      </c>
      <c r="G211" s="13">
        <v>49674</v>
      </c>
      <c r="H211">
        <v>210</v>
      </c>
      <c r="I211">
        <v>210</v>
      </c>
      <c r="J211">
        <v>4.1666666666666666E-3</v>
      </c>
      <c r="K211" s="14">
        <v>1044.0512733459238</v>
      </c>
      <c r="L211" s="14">
        <v>378813.28268580697</v>
      </c>
      <c r="M211" s="36">
        <f>IF(Output[[#This Row],[Index]]=1,Output[[#This Row],[Droit Utilisation]],P210)</f>
        <v>72561.990658959025</v>
      </c>
      <c r="N211" s="15">
        <f>Output[[#This Row],[Capital Debut Period]]*Output[[#This Row],[Tx_interet_M]]</f>
        <v>302.34162774566261</v>
      </c>
      <c r="O211" s="15">
        <f>Output[[#This Row],[Mensualité initial]]-Output[[#This Row],[Interet]]</f>
        <v>2197.6583722543373</v>
      </c>
      <c r="P211" s="15">
        <f>Output[[#This Row],[Capital Debut Period]]-Output[[#This Row],[Paiement Principal]]</f>
        <v>70364.332286704681</v>
      </c>
      <c r="Q211" s="15">
        <f>Output[[#This Row],[Droit Utilisation]]/Output[[#This Row],[Duree_Mois]]</f>
        <v>1578.388677857529</v>
      </c>
    </row>
    <row r="212" spans="1:17" x14ac:dyDescent="0.25">
      <c r="A212" s="11" t="s">
        <v>4</v>
      </c>
      <c r="B212" s="12">
        <v>43282</v>
      </c>
      <c r="C212">
        <v>2500</v>
      </c>
      <c r="D212">
        <v>20</v>
      </c>
      <c r="E212">
        <v>0.05</v>
      </c>
      <c r="F212">
        <v>240</v>
      </c>
      <c r="G212" s="13">
        <v>49705</v>
      </c>
      <c r="H212">
        <v>211</v>
      </c>
      <c r="I212">
        <v>211</v>
      </c>
      <c r="J212">
        <v>4.1666666666666666E-3</v>
      </c>
      <c r="K212" s="14">
        <v>1039.7191103859825</v>
      </c>
      <c r="L212" s="14">
        <v>378813.28268580697</v>
      </c>
      <c r="M212" s="36">
        <f>IF(Output[[#This Row],[Index]]=1,Output[[#This Row],[Droit Utilisation]],P211)</f>
        <v>70364.332286704681</v>
      </c>
      <c r="N212" s="15">
        <f>Output[[#This Row],[Capital Debut Period]]*Output[[#This Row],[Tx_interet_M]]</f>
        <v>293.18471786126952</v>
      </c>
      <c r="O212" s="15">
        <f>Output[[#This Row],[Mensualité initial]]-Output[[#This Row],[Interet]]</f>
        <v>2206.8152821387303</v>
      </c>
      <c r="P212" s="15">
        <f>Output[[#This Row],[Capital Debut Period]]-Output[[#This Row],[Paiement Principal]]</f>
        <v>68157.517004565947</v>
      </c>
      <c r="Q212" s="15">
        <f>Output[[#This Row],[Droit Utilisation]]/Output[[#This Row],[Duree_Mois]]</f>
        <v>1578.388677857529</v>
      </c>
    </row>
    <row r="213" spans="1:17" x14ac:dyDescent="0.25">
      <c r="A213" s="11" t="s">
        <v>4</v>
      </c>
      <c r="B213" s="12">
        <v>43282</v>
      </c>
      <c r="C213">
        <v>2500</v>
      </c>
      <c r="D213">
        <v>20</v>
      </c>
      <c r="E213">
        <v>0.05</v>
      </c>
      <c r="F213">
        <v>240</v>
      </c>
      <c r="G213" s="13">
        <v>49734</v>
      </c>
      <c r="H213">
        <v>212</v>
      </c>
      <c r="I213">
        <v>212</v>
      </c>
      <c r="J213">
        <v>4.1666666666666666E-3</v>
      </c>
      <c r="K213" s="14">
        <v>1035.4049232059576</v>
      </c>
      <c r="L213" s="14">
        <v>378813.28268580697</v>
      </c>
      <c r="M213" s="36">
        <f>IF(Output[[#This Row],[Index]]=1,Output[[#This Row],[Droit Utilisation]],P212)</f>
        <v>68157.517004565947</v>
      </c>
      <c r="N213" s="15">
        <f>Output[[#This Row],[Capital Debut Period]]*Output[[#This Row],[Tx_interet_M]]</f>
        <v>283.98965418569145</v>
      </c>
      <c r="O213" s="15">
        <f>Output[[#This Row],[Mensualité initial]]-Output[[#This Row],[Interet]]</f>
        <v>2216.0103458143085</v>
      </c>
      <c r="P213" s="15">
        <f>Output[[#This Row],[Capital Debut Period]]-Output[[#This Row],[Paiement Principal]]</f>
        <v>65941.506658751634</v>
      </c>
      <c r="Q213" s="15">
        <f>Output[[#This Row],[Droit Utilisation]]/Output[[#This Row],[Duree_Mois]]</f>
        <v>1578.388677857529</v>
      </c>
    </row>
    <row r="214" spans="1:17" x14ac:dyDescent="0.25">
      <c r="A214" s="11" t="s">
        <v>4</v>
      </c>
      <c r="B214" s="12">
        <v>43282</v>
      </c>
      <c r="C214">
        <v>2500</v>
      </c>
      <c r="D214">
        <v>20</v>
      </c>
      <c r="E214">
        <v>0.05</v>
      </c>
      <c r="F214">
        <v>240</v>
      </c>
      <c r="G214" s="13">
        <v>49765</v>
      </c>
      <c r="H214">
        <v>213</v>
      </c>
      <c r="I214">
        <v>213</v>
      </c>
      <c r="J214">
        <v>4.1666666666666666E-3</v>
      </c>
      <c r="K214" s="14">
        <v>1031.1086372175512</v>
      </c>
      <c r="L214" s="14">
        <v>378813.28268580697</v>
      </c>
      <c r="M214" s="36">
        <f>IF(Output[[#This Row],[Index]]=1,Output[[#This Row],[Droit Utilisation]],P213)</f>
        <v>65941.506658751634</v>
      </c>
      <c r="N214" s="15">
        <f>Output[[#This Row],[Capital Debut Period]]*Output[[#This Row],[Tx_interet_M]]</f>
        <v>274.75627774479847</v>
      </c>
      <c r="O214" s="15">
        <f>Output[[#This Row],[Mensualité initial]]-Output[[#This Row],[Interet]]</f>
        <v>2225.2437222552016</v>
      </c>
      <c r="P214" s="15">
        <f>Output[[#This Row],[Capital Debut Period]]-Output[[#This Row],[Paiement Principal]]</f>
        <v>63716.26293649643</v>
      </c>
      <c r="Q214" s="15">
        <f>Output[[#This Row],[Droit Utilisation]]/Output[[#This Row],[Duree_Mois]]</f>
        <v>1578.388677857529</v>
      </c>
    </row>
    <row r="215" spans="1:17" x14ac:dyDescent="0.25">
      <c r="A215" s="11" t="s">
        <v>4</v>
      </c>
      <c r="B215" s="12">
        <v>43282</v>
      </c>
      <c r="C215">
        <v>2500</v>
      </c>
      <c r="D215">
        <v>20</v>
      </c>
      <c r="E215">
        <v>0.05</v>
      </c>
      <c r="F215">
        <v>240</v>
      </c>
      <c r="G215" s="13">
        <v>49795</v>
      </c>
      <c r="H215">
        <v>214</v>
      </c>
      <c r="I215">
        <v>214</v>
      </c>
      <c r="J215">
        <v>4.1666666666666666E-3</v>
      </c>
      <c r="K215" s="14">
        <v>1026.8301781419598</v>
      </c>
      <c r="L215" s="14">
        <v>378813.28268580697</v>
      </c>
      <c r="M215" s="36">
        <f>IF(Output[[#This Row],[Index]]=1,Output[[#This Row],[Droit Utilisation]],P214)</f>
        <v>63716.26293649643</v>
      </c>
      <c r="N215" s="15">
        <f>Output[[#This Row],[Capital Debut Period]]*Output[[#This Row],[Tx_interet_M]]</f>
        <v>265.48442890206843</v>
      </c>
      <c r="O215" s="15">
        <f>Output[[#This Row],[Mensualité initial]]-Output[[#This Row],[Interet]]</f>
        <v>2234.5155710979316</v>
      </c>
      <c r="P215" s="15">
        <f>Output[[#This Row],[Capital Debut Period]]-Output[[#This Row],[Paiement Principal]]</f>
        <v>61481.7473653985</v>
      </c>
      <c r="Q215" s="15">
        <f>Output[[#This Row],[Droit Utilisation]]/Output[[#This Row],[Duree_Mois]]</f>
        <v>1578.388677857529</v>
      </c>
    </row>
    <row r="216" spans="1:17" x14ac:dyDescent="0.25">
      <c r="A216" s="11" t="s">
        <v>4</v>
      </c>
      <c r="B216" s="12">
        <v>43282</v>
      </c>
      <c r="C216">
        <v>2500</v>
      </c>
      <c r="D216">
        <v>20</v>
      </c>
      <c r="E216">
        <v>0.05</v>
      </c>
      <c r="F216">
        <v>240</v>
      </c>
      <c r="G216" s="13">
        <v>49826</v>
      </c>
      <c r="H216">
        <v>215</v>
      </c>
      <c r="I216">
        <v>215</v>
      </c>
      <c r="J216">
        <v>4.1666666666666666E-3</v>
      </c>
      <c r="K216" s="14">
        <v>1022.5694720085905</v>
      </c>
      <c r="L216" s="14">
        <v>378813.28268580697</v>
      </c>
      <c r="M216" s="36">
        <f>IF(Output[[#This Row],[Index]]=1,Output[[#This Row],[Droit Utilisation]],P215)</f>
        <v>61481.7473653985</v>
      </c>
      <c r="N216" s="15">
        <f>Output[[#This Row],[Capital Debut Period]]*Output[[#This Row],[Tx_interet_M]]</f>
        <v>256.17394735582707</v>
      </c>
      <c r="O216" s="15">
        <f>Output[[#This Row],[Mensualité initial]]-Output[[#This Row],[Interet]]</f>
        <v>2243.8260526441727</v>
      </c>
      <c r="P216" s="15">
        <f>Output[[#This Row],[Capital Debut Period]]-Output[[#This Row],[Paiement Principal]]</f>
        <v>59237.921312754326</v>
      </c>
      <c r="Q216" s="15">
        <f>Output[[#This Row],[Droit Utilisation]]/Output[[#This Row],[Duree_Mois]]</f>
        <v>1578.388677857529</v>
      </c>
    </row>
    <row r="217" spans="1:17" x14ac:dyDescent="0.25">
      <c r="A217" s="11" t="s">
        <v>4</v>
      </c>
      <c r="B217" s="12">
        <v>43282</v>
      </c>
      <c r="C217">
        <v>2500</v>
      </c>
      <c r="D217">
        <v>20</v>
      </c>
      <c r="E217">
        <v>0.05</v>
      </c>
      <c r="F217">
        <v>240</v>
      </c>
      <c r="G217" s="13">
        <v>49856</v>
      </c>
      <c r="H217">
        <v>216</v>
      </c>
      <c r="I217">
        <v>216</v>
      </c>
      <c r="J217">
        <v>4.1666666666666666E-3</v>
      </c>
      <c r="K217" s="14">
        <v>1018.3264451537831</v>
      </c>
      <c r="L217" s="14">
        <v>378813.28268580697</v>
      </c>
      <c r="M217" s="36">
        <f>IF(Output[[#This Row],[Index]]=1,Output[[#This Row],[Droit Utilisation]],P216)</f>
        <v>59237.921312754326</v>
      </c>
      <c r="N217" s="15">
        <f>Output[[#This Row],[Capital Debut Period]]*Output[[#This Row],[Tx_interet_M]]</f>
        <v>246.82467213647635</v>
      </c>
      <c r="O217" s="15">
        <f>Output[[#This Row],[Mensualité initial]]-Output[[#This Row],[Interet]]</f>
        <v>2253.1753278635238</v>
      </c>
      <c r="P217" s="15">
        <f>Output[[#This Row],[Capital Debut Period]]-Output[[#This Row],[Paiement Principal]]</f>
        <v>56984.745984890804</v>
      </c>
      <c r="Q217" s="15">
        <f>Output[[#This Row],[Droit Utilisation]]/Output[[#This Row],[Duree_Mois]]</f>
        <v>1578.388677857529</v>
      </c>
    </row>
    <row r="218" spans="1:17" x14ac:dyDescent="0.25">
      <c r="A218" s="11" t="s">
        <v>4</v>
      </c>
      <c r="B218" s="12">
        <v>43282</v>
      </c>
      <c r="C218">
        <v>2500</v>
      </c>
      <c r="D218">
        <v>20</v>
      </c>
      <c r="E218">
        <v>0.05</v>
      </c>
      <c r="F218">
        <v>240</v>
      </c>
      <c r="G218" s="13">
        <v>49887</v>
      </c>
      <c r="H218">
        <v>217</v>
      </c>
      <c r="I218">
        <v>217</v>
      </c>
      <c r="J218">
        <v>4.1666666666666666E-3</v>
      </c>
      <c r="K218" s="14">
        <v>1014.1010242195351</v>
      </c>
      <c r="L218" s="14">
        <v>378813.28268580697</v>
      </c>
      <c r="M218" s="36">
        <f>IF(Output[[#This Row],[Index]]=1,Output[[#This Row],[Droit Utilisation]],P217)</f>
        <v>56984.745984890804</v>
      </c>
      <c r="N218" s="15">
        <f>Output[[#This Row],[Capital Debut Period]]*Output[[#This Row],[Tx_interet_M]]</f>
        <v>237.43644160371167</v>
      </c>
      <c r="O218" s="15">
        <f>Output[[#This Row],[Mensualité initial]]-Output[[#This Row],[Interet]]</f>
        <v>2262.5635583962885</v>
      </c>
      <c r="P218" s="15">
        <f>Output[[#This Row],[Capital Debut Period]]-Output[[#This Row],[Paiement Principal]]</f>
        <v>54722.182426494517</v>
      </c>
      <c r="Q218" s="15">
        <f>Output[[#This Row],[Droit Utilisation]]/Output[[#This Row],[Duree_Mois]]</f>
        <v>1578.388677857529</v>
      </c>
    </row>
    <row r="219" spans="1:17" x14ac:dyDescent="0.25">
      <c r="A219" s="11" t="s">
        <v>4</v>
      </c>
      <c r="B219" s="12">
        <v>43282</v>
      </c>
      <c r="C219">
        <v>2500</v>
      </c>
      <c r="D219">
        <v>20</v>
      </c>
      <c r="E219">
        <v>0.05</v>
      </c>
      <c r="F219">
        <v>240</v>
      </c>
      <c r="G219" s="13">
        <v>49918</v>
      </c>
      <c r="H219">
        <v>218</v>
      </c>
      <c r="I219">
        <v>218</v>
      </c>
      <c r="J219">
        <v>4.1666666666666666E-3</v>
      </c>
      <c r="K219" s="14">
        <v>1009.8931361522341</v>
      </c>
      <c r="L219" s="14">
        <v>378813.28268580697</v>
      </c>
      <c r="M219" s="36">
        <f>IF(Output[[#This Row],[Index]]=1,Output[[#This Row],[Droit Utilisation]],P218)</f>
        <v>54722.182426494517</v>
      </c>
      <c r="N219" s="15">
        <f>Output[[#This Row],[Capital Debut Period]]*Output[[#This Row],[Tx_interet_M]]</f>
        <v>228.00909344372715</v>
      </c>
      <c r="O219" s="15">
        <f>Output[[#This Row],[Mensualité initial]]-Output[[#This Row],[Interet]]</f>
        <v>2271.9909065562729</v>
      </c>
      <c r="P219" s="15">
        <f>Output[[#This Row],[Capital Debut Period]]-Output[[#This Row],[Paiement Principal]]</f>
        <v>52450.191519938242</v>
      </c>
      <c r="Q219" s="15">
        <f>Output[[#This Row],[Droit Utilisation]]/Output[[#This Row],[Duree_Mois]]</f>
        <v>1578.388677857529</v>
      </c>
    </row>
    <row r="220" spans="1:17" x14ac:dyDescent="0.25">
      <c r="A220" s="11" t="s">
        <v>4</v>
      </c>
      <c r="B220" s="12">
        <v>43282</v>
      </c>
      <c r="C220">
        <v>2500</v>
      </c>
      <c r="D220">
        <v>20</v>
      </c>
      <c r="E220">
        <v>0.05</v>
      </c>
      <c r="F220">
        <v>240</v>
      </c>
      <c r="G220" s="13">
        <v>49948</v>
      </c>
      <c r="H220">
        <v>219</v>
      </c>
      <c r="I220">
        <v>219</v>
      </c>
      <c r="J220">
        <v>4.1666666666666666E-3</v>
      </c>
      <c r="K220" s="14">
        <v>1005.702708201395</v>
      </c>
      <c r="L220" s="14">
        <v>378813.28268580697</v>
      </c>
      <c r="M220" s="36">
        <f>IF(Output[[#This Row],[Index]]=1,Output[[#This Row],[Droit Utilisation]],P219)</f>
        <v>52450.191519938242</v>
      </c>
      <c r="N220" s="15">
        <f>Output[[#This Row],[Capital Debut Period]]*Output[[#This Row],[Tx_interet_M]]</f>
        <v>218.54246466640933</v>
      </c>
      <c r="O220" s="15">
        <f>Output[[#This Row],[Mensualité initial]]-Output[[#This Row],[Interet]]</f>
        <v>2281.4575353335908</v>
      </c>
      <c r="P220" s="15">
        <f>Output[[#This Row],[Capital Debut Period]]-Output[[#This Row],[Paiement Principal]]</f>
        <v>50168.733984604653</v>
      </c>
      <c r="Q220" s="15">
        <f>Output[[#This Row],[Droit Utilisation]]/Output[[#This Row],[Duree_Mois]]</f>
        <v>1578.388677857529</v>
      </c>
    </row>
    <row r="221" spans="1:17" x14ac:dyDescent="0.25">
      <c r="A221" s="11" t="s">
        <v>4</v>
      </c>
      <c r="B221" s="12">
        <v>43282</v>
      </c>
      <c r="C221">
        <v>2500</v>
      </c>
      <c r="D221">
        <v>20</v>
      </c>
      <c r="E221">
        <v>0.05</v>
      </c>
      <c r="F221">
        <v>240</v>
      </c>
      <c r="G221" s="13">
        <v>49979</v>
      </c>
      <c r="H221">
        <v>220</v>
      </c>
      <c r="I221">
        <v>220</v>
      </c>
      <c r="J221">
        <v>4.1666666666666666E-3</v>
      </c>
      <c r="K221" s="14">
        <v>1001.5296679184017</v>
      </c>
      <c r="L221" s="14">
        <v>378813.28268580697</v>
      </c>
      <c r="M221" s="36">
        <f>IF(Output[[#This Row],[Index]]=1,Output[[#This Row],[Droit Utilisation]],P220)</f>
        <v>50168.733984604653</v>
      </c>
      <c r="N221" s="15">
        <f>Output[[#This Row],[Capital Debut Period]]*Output[[#This Row],[Tx_interet_M]]</f>
        <v>209.03639160251939</v>
      </c>
      <c r="O221" s="15">
        <f>Output[[#This Row],[Mensualité initial]]-Output[[#This Row],[Interet]]</f>
        <v>2290.9636083974806</v>
      </c>
      <c r="P221" s="15">
        <f>Output[[#This Row],[Capital Debut Period]]-Output[[#This Row],[Paiement Principal]]</f>
        <v>47877.770376207169</v>
      </c>
      <c r="Q221" s="15">
        <f>Output[[#This Row],[Droit Utilisation]]/Output[[#This Row],[Duree_Mois]]</f>
        <v>1578.388677857529</v>
      </c>
    </row>
    <row r="222" spans="1:17" x14ac:dyDescent="0.25">
      <c r="A222" s="11" t="s">
        <v>4</v>
      </c>
      <c r="B222" s="12">
        <v>43282</v>
      </c>
      <c r="C222">
        <v>2500</v>
      </c>
      <c r="D222">
        <v>20</v>
      </c>
      <c r="E222">
        <v>0.05</v>
      </c>
      <c r="F222">
        <v>240</v>
      </c>
      <c r="G222" s="13">
        <v>50009</v>
      </c>
      <c r="H222">
        <v>221</v>
      </c>
      <c r="I222">
        <v>221</v>
      </c>
      <c r="J222">
        <v>4.1666666666666666E-3</v>
      </c>
      <c r="K222" s="14">
        <v>997.37394315525489</v>
      </c>
      <c r="L222" s="14">
        <v>378813.28268580697</v>
      </c>
      <c r="M222" s="36">
        <f>IF(Output[[#This Row],[Index]]=1,Output[[#This Row],[Droit Utilisation]],P221)</f>
        <v>47877.770376207169</v>
      </c>
      <c r="N222" s="15">
        <f>Output[[#This Row],[Capital Debut Period]]*Output[[#This Row],[Tx_interet_M]]</f>
        <v>199.49070990086321</v>
      </c>
      <c r="O222" s="15">
        <f>Output[[#This Row],[Mensualité initial]]-Output[[#This Row],[Interet]]</f>
        <v>2300.5092900991367</v>
      </c>
      <c r="P222" s="15">
        <f>Output[[#This Row],[Capital Debut Period]]-Output[[#This Row],[Paiement Principal]]</f>
        <v>45577.261086108032</v>
      </c>
      <c r="Q222" s="15">
        <f>Output[[#This Row],[Droit Utilisation]]/Output[[#This Row],[Duree_Mois]]</f>
        <v>1578.388677857529</v>
      </c>
    </row>
    <row r="223" spans="1:17" x14ac:dyDescent="0.25">
      <c r="A223" s="11" t="s">
        <v>4</v>
      </c>
      <c r="B223" s="12">
        <v>43282</v>
      </c>
      <c r="C223">
        <v>2500</v>
      </c>
      <c r="D223">
        <v>20</v>
      </c>
      <c r="E223">
        <v>0.05</v>
      </c>
      <c r="F223">
        <v>240</v>
      </c>
      <c r="G223" s="13">
        <v>50040</v>
      </c>
      <c r="H223">
        <v>222</v>
      </c>
      <c r="I223">
        <v>222</v>
      </c>
      <c r="J223">
        <v>4.1666666666666666E-3</v>
      </c>
      <c r="K223" s="14">
        <v>993.23546206332435</v>
      </c>
      <c r="L223" s="14">
        <v>378813.28268580697</v>
      </c>
      <c r="M223" s="36">
        <f>IF(Output[[#This Row],[Index]]=1,Output[[#This Row],[Droit Utilisation]],P222)</f>
        <v>45577.261086108032</v>
      </c>
      <c r="N223" s="15">
        <f>Output[[#This Row],[Capital Debut Period]]*Output[[#This Row],[Tx_interet_M]]</f>
        <v>189.90525452545012</v>
      </c>
      <c r="O223" s="15">
        <f>Output[[#This Row],[Mensualité initial]]-Output[[#This Row],[Interet]]</f>
        <v>2310.0947454745501</v>
      </c>
      <c r="P223" s="15">
        <f>Output[[#This Row],[Capital Debut Period]]-Output[[#This Row],[Paiement Principal]]</f>
        <v>43267.166340633485</v>
      </c>
      <c r="Q223" s="15">
        <f>Output[[#This Row],[Droit Utilisation]]/Output[[#This Row],[Duree_Mois]]</f>
        <v>1578.388677857529</v>
      </c>
    </row>
    <row r="224" spans="1:17" x14ac:dyDescent="0.25">
      <c r="A224" s="11" t="s">
        <v>4</v>
      </c>
      <c r="B224" s="12">
        <v>43282</v>
      </c>
      <c r="C224">
        <v>2500</v>
      </c>
      <c r="D224">
        <v>20</v>
      </c>
      <c r="E224">
        <v>0.05</v>
      </c>
      <c r="F224">
        <v>240</v>
      </c>
      <c r="G224" s="13">
        <v>50071</v>
      </c>
      <c r="H224">
        <v>223</v>
      </c>
      <c r="I224">
        <v>223</v>
      </c>
      <c r="J224">
        <v>4.1666666666666666E-3</v>
      </c>
      <c r="K224" s="14">
        <v>989.11415309210713</v>
      </c>
      <c r="L224" s="14">
        <v>378813.28268580697</v>
      </c>
      <c r="M224" s="36">
        <f>IF(Output[[#This Row],[Index]]=1,Output[[#This Row],[Droit Utilisation]],P223)</f>
        <v>43267.166340633485</v>
      </c>
      <c r="N224" s="15">
        <f>Output[[#This Row],[Capital Debut Period]]*Output[[#This Row],[Tx_interet_M]]</f>
        <v>180.27985975263951</v>
      </c>
      <c r="O224" s="15">
        <f>Output[[#This Row],[Mensualité initial]]-Output[[#This Row],[Interet]]</f>
        <v>2319.7201402473606</v>
      </c>
      <c r="P224" s="15">
        <f>Output[[#This Row],[Capital Debut Period]]-Output[[#This Row],[Paiement Principal]]</f>
        <v>40947.446200386126</v>
      </c>
      <c r="Q224" s="15">
        <f>Output[[#This Row],[Droit Utilisation]]/Output[[#This Row],[Duree_Mois]]</f>
        <v>1578.388677857529</v>
      </c>
    </row>
    <row r="225" spans="1:17" x14ac:dyDescent="0.25">
      <c r="A225" s="11" t="s">
        <v>4</v>
      </c>
      <c r="B225" s="12">
        <v>43282</v>
      </c>
      <c r="C225">
        <v>2500</v>
      </c>
      <c r="D225">
        <v>20</v>
      </c>
      <c r="E225">
        <v>0.05</v>
      </c>
      <c r="F225">
        <v>240</v>
      </c>
      <c r="G225" s="13">
        <v>50099</v>
      </c>
      <c r="H225">
        <v>224</v>
      </c>
      <c r="I225">
        <v>224</v>
      </c>
      <c r="J225">
        <v>4.1666666666666666E-3</v>
      </c>
      <c r="K225" s="14">
        <v>985.00994498799071</v>
      </c>
      <c r="L225" s="14">
        <v>378813.28268580697</v>
      </c>
      <c r="M225" s="36">
        <f>IF(Output[[#This Row],[Index]]=1,Output[[#This Row],[Droit Utilisation]],P224)</f>
        <v>40947.446200386126</v>
      </c>
      <c r="N225" s="15">
        <f>Output[[#This Row],[Capital Debut Period]]*Output[[#This Row],[Tx_interet_M]]</f>
        <v>170.61435916827551</v>
      </c>
      <c r="O225" s="15">
        <f>Output[[#This Row],[Mensualité initial]]-Output[[#This Row],[Interet]]</f>
        <v>2329.3856408317247</v>
      </c>
      <c r="P225" s="15">
        <f>Output[[#This Row],[Capital Debut Period]]-Output[[#This Row],[Paiement Principal]]</f>
        <v>38618.060559554404</v>
      </c>
      <c r="Q225" s="15">
        <f>Output[[#This Row],[Droit Utilisation]]/Output[[#This Row],[Duree_Mois]]</f>
        <v>1578.388677857529</v>
      </c>
    </row>
    <row r="226" spans="1:17" x14ac:dyDescent="0.25">
      <c r="A226" s="11" t="s">
        <v>4</v>
      </c>
      <c r="B226" s="12">
        <v>43282</v>
      </c>
      <c r="C226">
        <v>2500</v>
      </c>
      <c r="D226">
        <v>20</v>
      </c>
      <c r="E226">
        <v>0.05</v>
      </c>
      <c r="F226">
        <v>240</v>
      </c>
      <c r="G226" s="13">
        <v>50130</v>
      </c>
      <c r="H226">
        <v>225</v>
      </c>
      <c r="I226">
        <v>225</v>
      </c>
      <c r="J226">
        <v>4.1666666666666666E-3</v>
      </c>
      <c r="K226" s="14">
        <v>980.92276679301972</v>
      </c>
      <c r="L226" s="14">
        <v>378813.28268580697</v>
      </c>
      <c r="M226" s="36">
        <f>IF(Output[[#This Row],[Index]]=1,Output[[#This Row],[Droit Utilisation]],P225)</f>
        <v>38618.060559554404</v>
      </c>
      <c r="N226" s="15">
        <f>Output[[#This Row],[Capital Debut Period]]*Output[[#This Row],[Tx_interet_M]]</f>
        <v>160.90858566481</v>
      </c>
      <c r="O226" s="15">
        <f>Output[[#This Row],[Mensualité initial]]-Output[[#This Row],[Interet]]</f>
        <v>2339.0914143351902</v>
      </c>
      <c r="P226" s="15">
        <f>Output[[#This Row],[Capital Debut Period]]-Output[[#This Row],[Paiement Principal]]</f>
        <v>36278.969145219213</v>
      </c>
      <c r="Q226" s="15">
        <f>Output[[#This Row],[Droit Utilisation]]/Output[[#This Row],[Duree_Mois]]</f>
        <v>1578.388677857529</v>
      </c>
    </row>
    <row r="227" spans="1:17" x14ac:dyDescent="0.25">
      <c r="A227" s="11" t="s">
        <v>4</v>
      </c>
      <c r="B227" s="12">
        <v>43282</v>
      </c>
      <c r="C227">
        <v>2500</v>
      </c>
      <c r="D227">
        <v>20</v>
      </c>
      <c r="E227">
        <v>0.05</v>
      </c>
      <c r="F227">
        <v>240</v>
      </c>
      <c r="G227" s="13">
        <v>50160</v>
      </c>
      <c r="H227">
        <v>226</v>
      </c>
      <c r="I227">
        <v>226</v>
      </c>
      <c r="J227">
        <v>4.1666666666666666E-3</v>
      </c>
      <c r="K227" s="14">
        <v>976.85254784367112</v>
      </c>
      <c r="L227" s="14">
        <v>378813.28268580697</v>
      </c>
      <c r="M227" s="36">
        <f>IF(Output[[#This Row],[Index]]=1,Output[[#This Row],[Droit Utilisation]],P226)</f>
        <v>36278.969145219213</v>
      </c>
      <c r="N227" s="15">
        <f>Output[[#This Row],[Capital Debut Period]]*Output[[#This Row],[Tx_interet_M]]</f>
        <v>151.16237143841337</v>
      </c>
      <c r="O227" s="15">
        <f>Output[[#This Row],[Mensualité initial]]-Output[[#This Row],[Interet]]</f>
        <v>2348.8376285615868</v>
      </c>
      <c r="P227" s="15">
        <f>Output[[#This Row],[Capital Debut Period]]-Output[[#This Row],[Paiement Principal]]</f>
        <v>33930.131516657624</v>
      </c>
      <c r="Q227" s="15">
        <f>Output[[#This Row],[Droit Utilisation]]/Output[[#This Row],[Duree_Mois]]</f>
        <v>1578.388677857529</v>
      </c>
    </row>
    <row r="228" spans="1:17" x14ac:dyDescent="0.25">
      <c r="A228" s="11" t="s">
        <v>4</v>
      </c>
      <c r="B228" s="12">
        <v>43282</v>
      </c>
      <c r="C228">
        <v>2500</v>
      </c>
      <c r="D228">
        <v>20</v>
      </c>
      <c r="E228">
        <v>0.05</v>
      </c>
      <c r="F228">
        <v>240</v>
      </c>
      <c r="G228" s="13">
        <v>50191</v>
      </c>
      <c r="H228">
        <v>227</v>
      </c>
      <c r="I228">
        <v>227</v>
      </c>
      <c r="J228">
        <v>4.1666666666666666E-3</v>
      </c>
      <c r="K228" s="14">
        <v>972.79921776963101</v>
      </c>
      <c r="L228" s="14">
        <v>378813.28268580697</v>
      </c>
      <c r="M228" s="36">
        <f>IF(Output[[#This Row],[Index]]=1,Output[[#This Row],[Droit Utilisation]],P227)</f>
        <v>33930.131516657624</v>
      </c>
      <c r="N228" s="15">
        <f>Output[[#This Row],[Capital Debut Period]]*Output[[#This Row],[Tx_interet_M]]</f>
        <v>141.37554798607343</v>
      </c>
      <c r="O228" s="15">
        <f>Output[[#This Row],[Mensualité initial]]-Output[[#This Row],[Interet]]</f>
        <v>2358.6244520139267</v>
      </c>
      <c r="P228" s="15">
        <f>Output[[#This Row],[Capital Debut Period]]-Output[[#This Row],[Paiement Principal]]</f>
        <v>31571.507064643698</v>
      </c>
      <c r="Q228" s="15">
        <f>Output[[#This Row],[Droit Utilisation]]/Output[[#This Row],[Duree_Mois]]</f>
        <v>1578.388677857529</v>
      </c>
    </row>
    <row r="229" spans="1:17" x14ac:dyDescent="0.25">
      <c r="A229" s="11" t="s">
        <v>4</v>
      </c>
      <c r="B229" s="12">
        <v>43282</v>
      </c>
      <c r="C229">
        <v>2500</v>
      </c>
      <c r="D229">
        <v>20</v>
      </c>
      <c r="E229">
        <v>0.05</v>
      </c>
      <c r="F229">
        <v>240</v>
      </c>
      <c r="G229" s="13">
        <v>50221</v>
      </c>
      <c r="H229">
        <v>228</v>
      </c>
      <c r="I229">
        <v>228</v>
      </c>
      <c r="J229">
        <v>4.1666666666666666E-3</v>
      </c>
      <c r="K229" s="14">
        <v>968.76270649257856</v>
      </c>
      <c r="L229" s="14">
        <v>378813.28268580697</v>
      </c>
      <c r="M229" s="36">
        <f>IF(Output[[#This Row],[Index]]=1,Output[[#This Row],[Droit Utilisation]],P228)</f>
        <v>31571.507064643698</v>
      </c>
      <c r="N229" s="15">
        <f>Output[[#This Row],[Capital Debut Period]]*Output[[#This Row],[Tx_interet_M]]</f>
        <v>131.54794610268206</v>
      </c>
      <c r="O229" s="15">
        <f>Output[[#This Row],[Mensualité initial]]-Output[[#This Row],[Interet]]</f>
        <v>2368.4520538973179</v>
      </c>
      <c r="P229" s="15">
        <f>Output[[#This Row],[Capital Debut Period]]-Output[[#This Row],[Paiement Principal]]</f>
        <v>29203.055010746379</v>
      </c>
      <c r="Q229" s="15">
        <f>Output[[#This Row],[Droit Utilisation]]/Output[[#This Row],[Duree_Mois]]</f>
        <v>1578.388677857529</v>
      </c>
    </row>
    <row r="230" spans="1:17" x14ac:dyDescent="0.25">
      <c r="A230" s="11" t="s">
        <v>4</v>
      </c>
      <c r="B230" s="12">
        <v>43282</v>
      </c>
      <c r="C230">
        <v>2500</v>
      </c>
      <c r="D230">
        <v>20</v>
      </c>
      <c r="E230">
        <v>0.05</v>
      </c>
      <c r="F230">
        <v>240</v>
      </c>
      <c r="G230" s="13">
        <v>50252</v>
      </c>
      <c r="H230">
        <v>229</v>
      </c>
      <c r="I230">
        <v>229</v>
      </c>
      <c r="J230">
        <v>4.1666666666666666E-3</v>
      </c>
      <c r="K230" s="14">
        <v>964.74294422497451</v>
      </c>
      <c r="L230" s="14">
        <v>378813.28268580697</v>
      </c>
      <c r="M230" s="36">
        <f>IF(Output[[#This Row],[Index]]=1,Output[[#This Row],[Droit Utilisation]],P229)</f>
        <v>29203.055010746379</v>
      </c>
      <c r="N230" s="15">
        <f>Output[[#This Row],[Capital Debut Period]]*Output[[#This Row],[Tx_interet_M]]</f>
        <v>121.67939587810991</v>
      </c>
      <c r="O230" s="15">
        <f>Output[[#This Row],[Mensualité initial]]-Output[[#This Row],[Interet]]</f>
        <v>2378.32060412189</v>
      </c>
      <c r="P230" s="15">
        <f>Output[[#This Row],[Capital Debut Period]]-Output[[#This Row],[Paiement Principal]]</f>
        <v>26824.734406624488</v>
      </c>
      <c r="Q230" s="15">
        <f>Output[[#This Row],[Droit Utilisation]]/Output[[#This Row],[Duree_Mois]]</f>
        <v>1578.388677857529</v>
      </c>
    </row>
    <row r="231" spans="1:17" x14ac:dyDescent="0.25">
      <c r="A231" s="11" t="s">
        <v>4</v>
      </c>
      <c r="B231" s="12">
        <v>43282</v>
      </c>
      <c r="C231">
        <v>2500</v>
      </c>
      <c r="D231">
        <v>20</v>
      </c>
      <c r="E231">
        <v>0.05</v>
      </c>
      <c r="F231">
        <v>240</v>
      </c>
      <c r="G231" s="13">
        <v>50283</v>
      </c>
      <c r="H231">
        <v>230</v>
      </c>
      <c r="I231">
        <v>230</v>
      </c>
      <c r="J231">
        <v>4.1666666666666666E-3</v>
      </c>
      <c r="K231" s="14">
        <v>960.73986146885431</v>
      </c>
      <c r="L231" s="14">
        <v>378813.28268580697</v>
      </c>
      <c r="M231" s="36">
        <f>IF(Output[[#This Row],[Index]]=1,Output[[#This Row],[Droit Utilisation]],P230)</f>
        <v>26824.734406624488</v>
      </c>
      <c r="N231" s="15">
        <f>Output[[#This Row],[Capital Debut Period]]*Output[[#This Row],[Tx_interet_M]]</f>
        <v>111.7697266942687</v>
      </c>
      <c r="O231" s="15">
        <f>Output[[#This Row],[Mensualité initial]]-Output[[#This Row],[Interet]]</f>
        <v>2388.2302733057313</v>
      </c>
      <c r="P231" s="15">
        <f>Output[[#This Row],[Capital Debut Period]]-Output[[#This Row],[Paiement Principal]]</f>
        <v>24436.504133318755</v>
      </c>
      <c r="Q231" s="15">
        <f>Output[[#This Row],[Droit Utilisation]]/Output[[#This Row],[Duree_Mois]]</f>
        <v>1578.388677857529</v>
      </c>
    </row>
    <row r="232" spans="1:17" x14ac:dyDescent="0.25">
      <c r="A232" s="11" t="s">
        <v>4</v>
      </c>
      <c r="B232" s="12">
        <v>43282</v>
      </c>
      <c r="C232">
        <v>2500</v>
      </c>
      <c r="D232">
        <v>20</v>
      </c>
      <c r="E232">
        <v>0.05</v>
      </c>
      <c r="F232">
        <v>240</v>
      </c>
      <c r="G232" s="13">
        <v>50313</v>
      </c>
      <c r="H232">
        <v>231</v>
      </c>
      <c r="I232">
        <v>231</v>
      </c>
      <c r="J232">
        <v>4.1666666666666666E-3</v>
      </c>
      <c r="K232" s="14">
        <v>956.75338901462669</v>
      </c>
      <c r="L232" s="14">
        <v>378813.28268580697</v>
      </c>
      <c r="M232" s="36">
        <f>IF(Output[[#This Row],[Index]]=1,Output[[#This Row],[Droit Utilisation]],P231)</f>
        <v>24436.504133318755</v>
      </c>
      <c r="N232" s="15">
        <f>Output[[#This Row],[Capital Debut Period]]*Output[[#This Row],[Tx_interet_M]]</f>
        <v>101.81876722216148</v>
      </c>
      <c r="O232" s="15">
        <f>Output[[#This Row],[Mensualité initial]]-Output[[#This Row],[Interet]]</f>
        <v>2398.1812327778384</v>
      </c>
      <c r="P232" s="15">
        <f>Output[[#This Row],[Capital Debut Period]]-Output[[#This Row],[Paiement Principal]]</f>
        <v>22038.322900540916</v>
      </c>
      <c r="Q232" s="15">
        <f>Output[[#This Row],[Droit Utilisation]]/Output[[#This Row],[Duree_Mois]]</f>
        <v>1578.388677857529</v>
      </c>
    </row>
    <row r="233" spans="1:17" x14ac:dyDescent="0.25">
      <c r="A233" s="11" t="s">
        <v>4</v>
      </c>
      <c r="B233" s="12">
        <v>43282</v>
      </c>
      <c r="C233">
        <v>2500</v>
      </c>
      <c r="D233">
        <v>20</v>
      </c>
      <c r="E233">
        <v>0.05</v>
      </c>
      <c r="F233">
        <v>240</v>
      </c>
      <c r="G233" s="13">
        <v>50344</v>
      </c>
      <c r="H233">
        <v>232</v>
      </c>
      <c r="I233">
        <v>232</v>
      </c>
      <c r="J233">
        <v>4.1666666666666666E-3</v>
      </c>
      <c r="K233" s="14">
        <v>952.78345793987728</v>
      </c>
      <c r="L233" s="14">
        <v>378813.28268580697</v>
      </c>
      <c r="M233" s="36">
        <f>IF(Output[[#This Row],[Index]]=1,Output[[#This Row],[Droit Utilisation]],P232)</f>
        <v>22038.322900540916</v>
      </c>
      <c r="N233" s="15">
        <f>Output[[#This Row],[Capital Debut Period]]*Output[[#This Row],[Tx_interet_M]]</f>
        <v>91.826345418920482</v>
      </c>
      <c r="O233" s="15">
        <f>Output[[#This Row],[Mensualité initial]]-Output[[#This Row],[Interet]]</f>
        <v>2408.1736545810795</v>
      </c>
      <c r="P233" s="15">
        <f>Output[[#This Row],[Capital Debut Period]]-Output[[#This Row],[Paiement Principal]]</f>
        <v>19630.149245959838</v>
      </c>
      <c r="Q233" s="15">
        <f>Output[[#This Row],[Droit Utilisation]]/Output[[#This Row],[Duree_Mois]]</f>
        <v>1578.388677857529</v>
      </c>
    </row>
    <row r="234" spans="1:17" x14ac:dyDescent="0.25">
      <c r="A234" s="11" t="s">
        <v>4</v>
      </c>
      <c r="B234" s="12">
        <v>43282</v>
      </c>
      <c r="C234">
        <v>2500</v>
      </c>
      <c r="D234">
        <v>20</v>
      </c>
      <c r="E234">
        <v>0.05</v>
      </c>
      <c r="F234">
        <v>240</v>
      </c>
      <c r="G234" s="13">
        <v>50374</v>
      </c>
      <c r="H234">
        <v>233</v>
      </c>
      <c r="I234">
        <v>233</v>
      </c>
      <c r="J234">
        <v>4.1666666666666666E-3</v>
      </c>
      <c r="K234" s="14">
        <v>948.82999960817654</v>
      </c>
      <c r="L234" s="14">
        <v>378813.28268580697</v>
      </c>
      <c r="M234" s="36">
        <f>IF(Output[[#This Row],[Index]]=1,Output[[#This Row],[Droit Utilisation]],P233)</f>
        <v>19630.149245959838</v>
      </c>
      <c r="N234" s="15">
        <f>Output[[#This Row],[Capital Debut Period]]*Output[[#This Row],[Tx_interet_M]]</f>
        <v>81.792288524832657</v>
      </c>
      <c r="O234" s="15">
        <f>Output[[#This Row],[Mensualité initial]]-Output[[#This Row],[Interet]]</f>
        <v>2418.2077114751673</v>
      </c>
      <c r="P234" s="15">
        <f>Output[[#This Row],[Capital Debut Period]]-Output[[#This Row],[Paiement Principal]]</f>
        <v>17211.941534484671</v>
      </c>
      <c r="Q234" s="15">
        <f>Output[[#This Row],[Droit Utilisation]]/Output[[#This Row],[Duree_Mois]]</f>
        <v>1578.388677857529</v>
      </c>
    </row>
    <row r="235" spans="1:17" x14ac:dyDescent="0.25">
      <c r="A235" s="11" t="s">
        <v>4</v>
      </c>
      <c r="B235" s="12">
        <v>43282</v>
      </c>
      <c r="C235">
        <v>2500</v>
      </c>
      <c r="D235">
        <v>20</v>
      </c>
      <c r="E235">
        <v>0.05</v>
      </c>
      <c r="F235">
        <v>240</v>
      </c>
      <c r="G235" s="13">
        <v>50405</v>
      </c>
      <c r="H235">
        <v>234</v>
      </c>
      <c r="I235">
        <v>234</v>
      </c>
      <c r="J235">
        <v>4.1666666666666666E-3</v>
      </c>
      <c r="K235" s="14">
        <v>944.89294566789363</v>
      </c>
      <c r="L235" s="14">
        <v>378813.28268580697</v>
      </c>
      <c r="M235" s="36">
        <f>IF(Output[[#This Row],[Index]]=1,Output[[#This Row],[Droit Utilisation]],P234)</f>
        <v>17211.941534484671</v>
      </c>
      <c r="N235" s="15">
        <f>Output[[#This Row],[Capital Debut Period]]*Output[[#This Row],[Tx_interet_M]]</f>
        <v>71.716423060352795</v>
      </c>
      <c r="O235" s="15">
        <f>Output[[#This Row],[Mensualité initial]]-Output[[#This Row],[Interet]]</f>
        <v>2428.283576939647</v>
      </c>
      <c r="P235" s="15">
        <f>Output[[#This Row],[Capital Debut Period]]-Output[[#This Row],[Paiement Principal]]</f>
        <v>14783.657957545023</v>
      </c>
      <c r="Q235" s="15">
        <f>Output[[#This Row],[Droit Utilisation]]/Output[[#This Row],[Duree_Mois]]</f>
        <v>1578.388677857529</v>
      </c>
    </row>
    <row r="236" spans="1:17" x14ac:dyDescent="0.25">
      <c r="A236" s="11" t="s">
        <v>4</v>
      </c>
      <c r="B236" s="12">
        <v>43282</v>
      </c>
      <c r="C236">
        <v>2500</v>
      </c>
      <c r="D236">
        <v>20</v>
      </c>
      <c r="E236">
        <v>0.05</v>
      </c>
      <c r="F236">
        <v>240</v>
      </c>
      <c r="G236" s="13">
        <v>50436</v>
      </c>
      <c r="H236">
        <v>235</v>
      </c>
      <c r="I236">
        <v>235</v>
      </c>
      <c r="J236">
        <v>4.1666666666666666E-3</v>
      </c>
      <c r="K236" s="14">
        <v>940.97222805101433</v>
      </c>
      <c r="L236" s="14">
        <v>378813.28268580697</v>
      </c>
      <c r="M236" s="36">
        <f>IF(Output[[#This Row],[Index]]=1,Output[[#This Row],[Droit Utilisation]],P235)</f>
        <v>14783.657957545023</v>
      </c>
      <c r="N236" s="15">
        <f>Output[[#This Row],[Capital Debut Period]]*Output[[#This Row],[Tx_interet_M]]</f>
        <v>61.598574823104265</v>
      </c>
      <c r="O236" s="15">
        <f>Output[[#This Row],[Mensualité initial]]-Output[[#This Row],[Interet]]</f>
        <v>2438.4014251768958</v>
      </c>
      <c r="P236" s="15">
        <f>Output[[#This Row],[Capital Debut Period]]-Output[[#This Row],[Paiement Principal]]</f>
        <v>12345.256532368126</v>
      </c>
      <c r="Q236" s="15">
        <f>Output[[#This Row],[Droit Utilisation]]/Output[[#This Row],[Duree_Mois]]</f>
        <v>1578.388677857529</v>
      </c>
    </row>
    <row r="237" spans="1:17" x14ac:dyDescent="0.25">
      <c r="A237" s="11" t="s">
        <v>4</v>
      </c>
      <c r="B237" s="12">
        <v>43282</v>
      </c>
      <c r="C237">
        <v>2500</v>
      </c>
      <c r="D237">
        <v>20</v>
      </c>
      <c r="E237">
        <v>0.05</v>
      </c>
      <c r="F237">
        <v>240</v>
      </c>
      <c r="G237" s="13">
        <v>50464</v>
      </c>
      <c r="H237">
        <v>236</v>
      </c>
      <c r="I237">
        <v>236</v>
      </c>
      <c r="J237">
        <v>4.1666666666666666E-3</v>
      </c>
      <c r="K237" s="14">
        <v>937.06777897196457</v>
      </c>
      <c r="L237" s="14">
        <v>378813.28268580697</v>
      </c>
      <c r="M237" s="36">
        <f>IF(Output[[#This Row],[Index]]=1,Output[[#This Row],[Droit Utilisation]],P236)</f>
        <v>12345.256532368126</v>
      </c>
      <c r="N237" s="15">
        <f>Output[[#This Row],[Capital Debut Period]]*Output[[#This Row],[Tx_interet_M]]</f>
        <v>51.438568884867195</v>
      </c>
      <c r="O237" s="15">
        <f>Output[[#This Row],[Mensualité initial]]-Output[[#This Row],[Interet]]</f>
        <v>2448.561431115133</v>
      </c>
      <c r="P237" s="15">
        <f>Output[[#This Row],[Capital Debut Period]]-Output[[#This Row],[Paiement Principal]]</f>
        <v>9896.6951012529935</v>
      </c>
      <c r="Q237" s="15">
        <f>Output[[#This Row],[Droit Utilisation]]/Output[[#This Row],[Duree_Mois]]</f>
        <v>1578.388677857529</v>
      </c>
    </row>
    <row r="238" spans="1:17" x14ac:dyDescent="0.25">
      <c r="A238" s="11" t="s">
        <v>4</v>
      </c>
      <c r="B238" s="12">
        <v>43282</v>
      </c>
      <c r="C238">
        <v>2500</v>
      </c>
      <c r="D238">
        <v>20</v>
      </c>
      <c r="E238">
        <v>0.05</v>
      </c>
      <c r="F238">
        <v>240</v>
      </c>
      <c r="G238" s="13">
        <v>50495</v>
      </c>
      <c r="H238">
        <v>237</v>
      </c>
      <c r="I238">
        <v>237</v>
      </c>
      <c r="J238">
        <v>4.1666666666666666E-3</v>
      </c>
      <c r="K238" s="14">
        <v>933.17953092643779</v>
      </c>
      <c r="L238" s="14">
        <v>378813.28268580697</v>
      </c>
      <c r="M238" s="36">
        <f>IF(Output[[#This Row],[Index]]=1,Output[[#This Row],[Droit Utilisation]],P237)</f>
        <v>9896.6951012529935</v>
      </c>
      <c r="N238" s="15">
        <f>Output[[#This Row],[Capital Debut Period]]*Output[[#This Row],[Tx_interet_M]]</f>
        <v>41.236229588554139</v>
      </c>
      <c r="O238" s="15">
        <f>Output[[#This Row],[Mensualité initial]]-Output[[#This Row],[Interet]]</f>
        <v>2458.7637704114459</v>
      </c>
      <c r="P238" s="15">
        <f>Output[[#This Row],[Capital Debut Period]]-Output[[#This Row],[Paiement Principal]]</f>
        <v>7437.9313308415476</v>
      </c>
      <c r="Q238" s="15">
        <f>Output[[#This Row],[Droit Utilisation]]/Output[[#This Row],[Duree_Mois]]</f>
        <v>1578.388677857529</v>
      </c>
    </row>
    <row r="239" spans="1:17" x14ac:dyDescent="0.25">
      <c r="A239" s="11" t="s">
        <v>4</v>
      </c>
      <c r="B239" s="12">
        <v>43282</v>
      </c>
      <c r="C239">
        <v>2500</v>
      </c>
      <c r="D239">
        <v>20</v>
      </c>
      <c r="E239">
        <v>0.05</v>
      </c>
      <c r="F239">
        <v>240</v>
      </c>
      <c r="G239" s="13">
        <v>50525</v>
      </c>
      <c r="H239">
        <v>238</v>
      </c>
      <c r="I239">
        <v>238</v>
      </c>
      <c r="J239">
        <v>4.1666666666666666E-3</v>
      </c>
      <c r="K239" s="14">
        <v>929.30741669022848</v>
      </c>
      <c r="L239" s="14">
        <v>378813.28268580697</v>
      </c>
      <c r="M239" s="36">
        <f>IF(Output[[#This Row],[Index]]=1,Output[[#This Row],[Droit Utilisation]],P238)</f>
        <v>7437.9313308415476</v>
      </c>
      <c r="N239" s="15">
        <f>Output[[#This Row],[Capital Debut Period]]*Output[[#This Row],[Tx_interet_M]]</f>
        <v>30.991380545173115</v>
      </c>
      <c r="O239" s="15">
        <f>Output[[#This Row],[Mensualité initial]]-Output[[#This Row],[Interet]]</f>
        <v>2469.0086194548267</v>
      </c>
      <c r="P239" s="15">
        <f>Output[[#This Row],[Capital Debut Period]]-Output[[#This Row],[Paiement Principal]]</f>
        <v>4968.9227113867209</v>
      </c>
      <c r="Q239" s="15">
        <f>Output[[#This Row],[Droit Utilisation]]/Output[[#This Row],[Duree_Mois]]</f>
        <v>1578.388677857529</v>
      </c>
    </row>
    <row r="240" spans="1:17" x14ac:dyDescent="0.25">
      <c r="A240" s="11" t="s">
        <v>4</v>
      </c>
      <c r="B240" s="12">
        <v>43282</v>
      </c>
      <c r="C240">
        <v>2500</v>
      </c>
      <c r="D240">
        <v>20</v>
      </c>
      <c r="E240">
        <v>0.05</v>
      </c>
      <c r="F240">
        <v>240</v>
      </c>
      <c r="G240" s="13">
        <v>50556</v>
      </c>
      <c r="H240">
        <v>239</v>
      </c>
      <c r="I240">
        <v>239</v>
      </c>
      <c r="J240">
        <v>4.1666666666666666E-3</v>
      </c>
      <c r="K240" s="14">
        <v>925.45136931806996</v>
      </c>
      <c r="L240" s="14">
        <v>378813.28268580697</v>
      </c>
      <c r="M240" s="36">
        <f>IF(Output[[#This Row],[Index]]=1,Output[[#This Row],[Droit Utilisation]],P239)</f>
        <v>4968.9227113867209</v>
      </c>
      <c r="N240" s="15">
        <f>Output[[#This Row],[Capital Debut Period]]*Output[[#This Row],[Tx_interet_M]]</f>
        <v>20.703844630778004</v>
      </c>
      <c r="O240" s="15">
        <f>Output[[#This Row],[Mensualité initial]]-Output[[#This Row],[Interet]]</f>
        <v>2479.2961553692221</v>
      </c>
      <c r="P240" s="15">
        <f>Output[[#This Row],[Capital Debut Period]]-Output[[#This Row],[Paiement Principal]]</f>
        <v>2489.6265560174988</v>
      </c>
      <c r="Q240" s="15">
        <f>Output[[#This Row],[Droit Utilisation]]/Output[[#This Row],[Duree_Mois]]</f>
        <v>1578.388677857529</v>
      </c>
    </row>
    <row r="241" spans="1:17" x14ac:dyDescent="0.25">
      <c r="A241" s="11" t="s">
        <v>4</v>
      </c>
      <c r="B241" s="12">
        <v>43282</v>
      </c>
      <c r="C241">
        <v>2500</v>
      </c>
      <c r="D241">
        <v>20</v>
      </c>
      <c r="E241">
        <v>0.05</v>
      </c>
      <c r="F241">
        <v>240</v>
      </c>
      <c r="G241" s="13">
        <v>50586</v>
      </c>
      <c r="H241">
        <v>240</v>
      </c>
      <c r="I241">
        <v>240</v>
      </c>
      <c r="J241">
        <v>4.1666666666666666E-3</v>
      </c>
      <c r="K241" s="14">
        <v>921.6113221424763</v>
      </c>
      <c r="L241" s="14">
        <v>378813.28268580697</v>
      </c>
      <c r="M241" s="36">
        <f>IF(Output[[#This Row],[Index]]=1,Output[[#This Row],[Droit Utilisation]],P240)</f>
        <v>2489.6265560174988</v>
      </c>
      <c r="N241" s="15">
        <f>Output[[#This Row],[Capital Debut Period]]*Output[[#This Row],[Tx_interet_M]]</f>
        <v>10.373443983406245</v>
      </c>
      <c r="O241" s="15">
        <f>Output[[#This Row],[Mensualité initial]]-Output[[#This Row],[Interet]]</f>
        <v>2489.6265560165939</v>
      </c>
      <c r="P241" s="15">
        <f>Output[[#This Row],[Capital Debut Period]]-Output[[#This Row],[Paiement Principal]]</f>
        <v>9.049472282640636E-10</v>
      </c>
      <c r="Q241" s="15">
        <f>Output[[#This Row],[Droit Utilisation]]/Output[[#This Row],[Duree_Mois]]</f>
        <v>1578.388677857529</v>
      </c>
    </row>
    <row r="242" spans="1:17" x14ac:dyDescent="0.25">
      <c r="A242" s="11" t="s">
        <v>5</v>
      </c>
      <c r="B242" s="12">
        <v>44743</v>
      </c>
      <c r="C242">
        <v>3700</v>
      </c>
      <c r="D242">
        <v>7</v>
      </c>
      <c r="E242">
        <v>0.1</v>
      </c>
      <c r="F242">
        <v>84</v>
      </c>
      <c r="G242" s="13">
        <v>44773</v>
      </c>
      <c r="H242">
        <v>241</v>
      </c>
      <c r="I242">
        <v>1</v>
      </c>
      <c r="J242">
        <v>8.3333333333333332E-3</v>
      </c>
      <c r="K242" s="14">
        <v>3669.4214876033061</v>
      </c>
      <c r="L242" s="14">
        <v>222875.66922984467</v>
      </c>
      <c r="M242" s="36">
        <f>IF(Output[[#This Row],[Index]]=1,Output[[#This Row],[Droit Utilisation]],P241)</f>
        <v>222875.66922984467</v>
      </c>
      <c r="N242" s="15">
        <f>Output[[#This Row],[Capital Debut Period]]*Output[[#This Row],[Tx_interet_M]]</f>
        <v>1857.2972435820388</v>
      </c>
      <c r="O242" s="15">
        <f>Output[[#This Row],[Mensualité initial]]-Output[[#This Row],[Interet]]</f>
        <v>1842.7027564179612</v>
      </c>
      <c r="P242" s="15">
        <f>Output[[#This Row],[Capital Debut Period]]-Output[[#This Row],[Paiement Principal]]</f>
        <v>221032.9664734267</v>
      </c>
      <c r="Q242" s="15">
        <f>Output[[#This Row],[Droit Utilisation]]/Output[[#This Row],[Duree_Mois]]</f>
        <v>2653.2817765457698</v>
      </c>
    </row>
    <row r="243" spans="1:17" x14ac:dyDescent="0.25">
      <c r="A243" s="11" t="s">
        <v>5</v>
      </c>
      <c r="B243" s="12">
        <v>44743</v>
      </c>
      <c r="C243">
        <v>3700</v>
      </c>
      <c r="D243">
        <v>7</v>
      </c>
      <c r="E243">
        <v>0.1</v>
      </c>
      <c r="F243">
        <v>84</v>
      </c>
      <c r="G243" s="13">
        <v>44804</v>
      </c>
      <c r="H243">
        <v>242</v>
      </c>
      <c r="I243">
        <v>2</v>
      </c>
      <c r="J243">
        <v>8.3333333333333332E-3</v>
      </c>
      <c r="K243" s="14">
        <v>3639.0956901850968</v>
      </c>
      <c r="L243" s="14">
        <v>222875.66922984467</v>
      </c>
      <c r="M243" s="36">
        <f>IF(Output[[#This Row],[Index]]=1,Output[[#This Row],[Droit Utilisation]],P242)</f>
        <v>221032.9664734267</v>
      </c>
      <c r="N243" s="15">
        <f>Output[[#This Row],[Capital Debut Period]]*Output[[#This Row],[Tx_interet_M]]</f>
        <v>1841.9413872785558</v>
      </c>
      <c r="O243" s="15">
        <f>Output[[#This Row],[Mensualité initial]]-Output[[#This Row],[Interet]]</f>
        <v>1858.0586127214442</v>
      </c>
      <c r="P243" s="15">
        <f>Output[[#This Row],[Capital Debut Period]]-Output[[#This Row],[Paiement Principal]]</f>
        <v>219174.90786070525</v>
      </c>
      <c r="Q243" s="15">
        <f>Output[[#This Row],[Droit Utilisation]]/Output[[#This Row],[Duree_Mois]]</f>
        <v>2653.2817765457698</v>
      </c>
    </row>
    <row r="244" spans="1:17" x14ac:dyDescent="0.25">
      <c r="A244" s="11" t="s">
        <v>5</v>
      </c>
      <c r="B244" s="12">
        <v>44743</v>
      </c>
      <c r="C244">
        <v>3700</v>
      </c>
      <c r="D244">
        <v>7</v>
      </c>
      <c r="E244">
        <v>0.1</v>
      </c>
      <c r="F244">
        <v>84</v>
      </c>
      <c r="G244" s="13">
        <v>44834</v>
      </c>
      <c r="H244">
        <v>243</v>
      </c>
      <c r="I244">
        <v>3</v>
      </c>
      <c r="J244">
        <v>8.3333333333333332E-3</v>
      </c>
      <c r="K244" s="14">
        <v>3609.0205191918317</v>
      </c>
      <c r="L244" s="14">
        <v>222875.66922984467</v>
      </c>
      <c r="M244" s="36">
        <f>IF(Output[[#This Row],[Index]]=1,Output[[#This Row],[Droit Utilisation]],P243)</f>
        <v>219174.90786070525</v>
      </c>
      <c r="N244" s="15">
        <f>Output[[#This Row],[Capital Debut Period]]*Output[[#This Row],[Tx_interet_M]]</f>
        <v>1826.457565505877</v>
      </c>
      <c r="O244" s="15">
        <f>Output[[#This Row],[Mensualité initial]]-Output[[#This Row],[Interet]]</f>
        <v>1873.542434494123</v>
      </c>
      <c r="P244" s="15">
        <f>Output[[#This Row],[Capital Debut Period]]-Output[[#This Row],[Paiement Principal]]</f>
        <v>217301.36542621112</v>
      </c>
      <c r="Q244" s="15">
        <f>Output[[#This Row],[Droit Utilisation]]/Output[[#This Row],[Duree_Mois]]</f>
        <v>2653.2817765457698</v>
      </c>
    </row>
    <row r="245" spans="1:17" x14ac:dyDescent="0.25">
      <c r="A245" s="11" t="s">
        <v>5</v>
      </c>
      <c r="B245" s="12">
        <v>44743</v>
      </c>
      <c r="C245">
        <v>3700</v>
      </c>
      <c r="D245">
        <v>7</v>
      </c>
      <c r="E245">
        <v>0.1</v>
      </c>
      <c r="F245">
        <v>84</v>
      </c>
      <c r="G245" s="13">
        <v>44865</v>
      </c>
      <c r="H245">
        <v>244</v>
      </c>
      <c r="I245">
        <v>4</v>
      </c>
      <c r="J245">
        <v>8.3333333333333332E-3</v>
      </c>
      <c r="K245" s="14">
        <v>3579.1939033307422</v>
      </c>
      <c r="L245" s="14">
        <v>222875.66922984467</v>
      </c>
      <c r="M245" s="36">
        <f>IF(Output[[#This Row],[Index]]=1,Output[[#This Row],[Droit Utilisation]],P244)</f>
        <v>217301.36542621112</v>
      </c>
      <c r="N245" s="15">
        <f>Output[[#This Row],[Capital Debut Period]]*Output[[#This Row],[Tx_interet_M]]</f>
        <v>1810.8447118850927</v>
      </c>
      <c r="O245" s="15">
        <f>Output[[#This Row],[Mensualité initial]]-Output[[#This Row],[Interet]]</f>
        <v>1889.1552881149073</v>
      </c>
      <c r="P245" s="15">
        <f>Output[[#This Row],[Capital Debut Period]]-Output[[#This Row],[Paiement Principal]]</f>
        <v>215412.21013809621</v>
      </c>
      <c r="Q245" s="15">
        <f>Output[[#This Row],[Droit Utilisation]]/Output[[#This Row],[Duree_Mois]]</f>
        <v>2653.2817765457698</v>
      </c>
    </row>
    <row r="246" spans="1:17" x14ac:dyDescent="0.25">
      <c r="A246" s="11" t="s">
        <v>5</v>
      </c>
      <c r="B246" s="12">
        <v>44743</v>
      </c>
      <c r="C246">
        <v>3700</v>
      </c>
      <c r="D246">
        <v>7</v>
      </c>
      <c r="E246">
        <v>0.1</v>
      </c>
      <c r="F246">
        <v>84</v>
      </c>
      <c r="G246" s="13">
        <v>44895</v>
      </c>
      <c r="H246">
        <v>245</v>
      </c>
      <c r="I246">
        <v>5</v>
      </c>
      <c r="J246">
        <v>8.3333333333333332E-3</v>
      </c>
      <c r="K246" s="14">
        <v>3549.6137884271825</v>
      </c>
      <c r="L246" s="14">
        <v>222875.66922984467</v>
      </c>
      <c r="M246" s="36">
        <f>IF(Output[[#This Row],[Index]]=1,Output[[#This Row],[Droit Utilisation]],P245)</f>
        <v>215412.21013809621</v>
      </c>
      <c r="N246" s="15">
        <f>Output[[#This Row],[Capital Debut Period]]*Output[[#This Row],[Tx_interet_M]]</f>
        <v>1795.1017511508016</v>
      </c>
      <c r="O246" s="15">
        <f>Output[[#This Row],[Mensualité initial]]-Output[[#This Row],[Interet]]</f>
        <v>1904.8982488491984</v>
      </c>
      <c r="P246" s="15">
        <f>Output[[#This Row],[Capital Debut Period]]-Output[[#This Row],[Paiement Principal]]</f>
        <v>213507.31188924701</v>
      </c>
      <c r="Q246" s="15">
        <f>Output[[#This Row],[Droit Utilisation]]/Output[[#This Row],[Duree_Mois]]</f>
        <v>2653.2817765457698</v>
      </c>
    </row>
    <row r="247" spans="1:17" x14ac:dyDescent="0.25">
      <c r="A247" s="11" t="s">
        <v>5</v>
      </c>
      <c r="B247" s="12">
        <v>44743</v>
      </c>
      <c r="C247">
        <v>3700</v>
      </c>
      <c r="D247">
        <v>7</v>
      </c>
      <c r="E247">
        <v>0.1</v>
      </c>
      <c r="F247">
        <v>84</v>
      </c>
      <c r="G247" s="13">
        <v>44926</v>
      </c>
      <c r="H247">
        <v>246</v>
      </c>
      <c r="I247">
        <v>6</v>
      </c>
      <c r="J247">
        <v>8.3333333333333332E-3</v>
      </c>
      <c r="K247" s="14">
        <v>3520.278137283156</v>
      </c>
      <c r="L247" s="14">
        <v>222875.66922984467</v>
      </c>
      <c r="M247" s="36">
        <f>IF(Output[[#This Row],[Index]]=1,Output[[#This Row],[Droit Utilisation]],P246)</f>
        <v>213507.31188924701</v>
      </c>
      <c r="N247" s="15">
        <f>Output[[#This Row],[Capital Debut Period]]*Output[[#This Row],[Tx_interet_M]]</f>
        <v>1779.2275990770584</v>
      </c>
      <c r="O247" s="15">
        <f>Output[[#This Row],[Mensualité initial]]-Output[[#This Row],[Interet]]</f>
        <v>1920.7724009229416</v>
      </c>
      <c r="P247" s="15">
        <f>Output[[#This Row],[Capital Debut Period]]-Output[[#This Row],[Paiement Principal]]</f>
        <v>211586.53948832408</v>
      </c>
      <c r="Q247" s="15">
        <f>Output[[#This Row],[Droit Utilisation]]/Output[[#This Row],[Duree_Mois]]</f>
        <v>2653.2817765457698</v>
      </c>
    </row>
    <row r="248" spans="1:17" x14ac:dyDescent="0.25">
      <c r="A248" s="11" t="s">
        <v>5</v>
      </c>
      <c r="B248" s="12">
        <v>44743</v>
      </c>
      <c r="C248">
        <v>3700</v>
      </c>
      <c r="D248">
        <v>7</v>
      </c>
      <c r="E248">
        <v>0.1</v>
      </c>
      <c r="F248">
        <v>84</v>
      </c>
      <c r="G248" s="13">
        <v>44957</v>
      </c>
      <c r="H248">
        <v>247</v>
      </c>
      <c r="I248">
        <v>7</v>
      </c>
      <c r="J248">
        <v>8.3333333333333332E-3</v>
      </c>
      <c r="K248" s="14">
        <v>3491.1849295370148</v>
      </c>
      <c r="L248" s="14">
        <v>222875.66922984467</v>
      </c>
      <c r="M248" s="36">
        <f>IF(Output[[#This Row],[Index]]=1,Output[[#This Row],[Droit Utilisation]],P247)</f>
        <v>211586.53948832408</v>
      </c>
      <c r="N248" s="15">
        <f>Output[[#This Row],[Capital Debut Period]]*Output[[#This Row],[Tx_interet_M]]</f>
        <v>1763.2211624027007</v>
      </c>
      <c r="O248" s="15">
        <f>Output[[#This Row],[Mensualité initial]]-Output[[#This Row],[Interet]]</f>
        <v>1936.7788375972993</v>
      </c>
      <c r="P248" s="15">
        <f>Output[[#This Row],[Capital Debut Period]]-Output[[#This Row],[Paiement Principal]]</f>
        <v>209649.76065072679</v>
      </c>
      <c r="Q248" s="15">
        <f>Output[[#This Row],[Droit Utilisation]]/Output[[#This Row],[Duree_Mois]]</f>
        <v>2653.2817765457698</v>
      </c>
    </row>
    <row r="249" spans="1:17" x14ac:dyDescent="0.25">
      <c r="A249" s="11" t="s">
        <v>5</v>
      </c>
      <c r="B249" s="12">
        <v>44743</v>
      </c>
      <c r="C249">
        <v>3700</v>
      </c>
      <c r="D249">
        <v>7</v>
      </c>
      <c r="E249">
        <v>0.1</v>
      </c>
      <c r="F249">
        <v>84</v>
      </c>
      <c r="G249" s="13">
        <v>44985</v>
      </c>
      <c r="H249">
        <v>248</v>
      </c>
      <c r="I249">
        <v>8</v>
      </c>
      <c r="J249">
        <v>8.3333333333333332E-3</v>
      </c>
      <c r="K249" s="14">
        <v>3462.3321615243121</v>
      </c>
      <c r="L249" s="14">
        <v>222875.66922984467</v>
      </c>
      <c r="M249" s="36">
        <f>IF(Output[[#This Row],[Index]]=1,Output[[#This Row],[Droit Utilisation]],P248)</f>
        <v>209649.76065072679</v>
      </c>
      <c r="N249" s="15">
        <f>Output[[#This Row],[Capital Debut Period]]*Output[[#This Row],[Tx_interet_M]]</f>
        <v>1747.0813387560565</v>
      </c>
      <c r="O249" s="15">
        <f>Output[[#This Row],[Mensualité initial]]-Output[[#This Row],[Interet]]</f>
        <v>1952.9186612439435</v>
      </c>
      <c r="P249" s="15">
        <f>Output[[#This Row],[Capital Debut Period]]-Output[[#This Row],[Paiement Principal]]</f>
        <v>207696.84198948284</v>
      </c>
      <c r="Q249" s="15">
        <f>Output[[#This Row],[Droit Utilisation]]/Output[[#This Row],[Duree_Mois]]</f>
        <v>2653.2817765457698</v>
      </c>
    </row>
    <row r="250" spans="1:17" x14ac:dyDescent="0.25">
      <c r="A250" s="11" t="s">
        <v>5</v>
      </c>
      <c r="B250" s="12">
        <v>44743</v>
      </c>
      <c r="C250">
        <v>3700</v>
      </c>
      <c r="D250">
        <v>7</v>
      </c>
      <c r="E250">
        <v>0.1</v>
      </c>
      <c r="F250">
        <v>84</v>
      </c>
      <c r="G250" s="13">
        <v>45016</v>
      </c>
      <c r="H250">
        <v>249</v>
      </c>
      <c r="I250">
        <v>9</v>
      </c>
      <c r="J250">
        <v>8.3333333333333332E-3</v>
      </c>
      <c r="K250" s="14">
        <v>3433.7178461398139</v>
      </c>
      <c r="L250" s="14">
        <v>222875.66922984467</v>
      </c>
      <c r="M250" s="36">
        <f>IF(Output[[#This Row],[Index]]=1,Output[[#This Row],[Droit Utilisation]],P249)</f>
        <v>207696.84198948284</v>
      </c>
      <c r="N250" s="15">
        <f>Output[[#This Row],[Capital Debut Period]]*Output[[#This Row],[Tx_interet_M]]</f>
        <v>1730.8070165790236</v>
      </c>
      <c r="O250" s="15">
        <f>Output[[#This Row],[Mensualité initial]]-Output[[#This Row],[Interet]]</f>
        <v>1969.1929834209764</v>
      </c>
      <c r="P250" s="15">
        <f>Output[[#This Row],[Capital Debut Period]]-Output[[#This Row],[Paiement Principal]]</f>
        <v>205727.64900606187</v>
      </c>
      <c r="Q250" s="15">
        <f>Output[[#This Row],[Droit Utilisation]]/Output[[#This Row],[Duree_Mois]]</f>
        <v>2653.2817765457698</v>
      </c>
    </row>
    <row r="251" spans="1:17" x14ac:dyDescent="0.25">
      <c r="A251" s="11" t="s">
        <v>5</v>
      </c>
      <c r="B251" s="12">
        <v>44743</v>
      </c>
      <c r="C251">
        <v>3700</v>
      </c>
      <c r="D251">
        <v>7</v>
      </c>
      <c r="E251">
        <v>0.1</v>
      </c>
      <c r="F251">
        <v>84</v>
      </c>
      <c r="G251" s="13">
        <v>45046</v>
      </c>
      <c r="H251">
        <v>250</v>
      </c>
      <c r="I251">
        <v>10</v>
      </c>
      <c r="J251">
        <v>8.3333333333333332E-3</v>
      </c>
      <c r="K251" s="14">
        <v>3405.3400127006421</v>
      </c>
      <c r="L251" s="14">
        <v>222875.66922984467</v>
      </c>
      <c r="M251" s="36">
        <f>IF(Output[[#This Row],[Index]]=1,Output[[#This Row],[Droit Utilisation]],P250)</f>
        <v>205727.64900606187</v>
      </c>
      <c r="N251" s="15">
        <f>Output[[#This Row],[Capital Debut Period]]*Output[[#This Row],[Tx_interet_M]]</f>
        <v>1714.3970750505155</v>
      </c>
      <c r="O251" s="15">
        <f>Output[[#This Row],[Mensualité initial]]-Output[[#This Row],[Interet]]</f>
        <v>1985.6029249494845</v>
      </c>
      <c r="P251" s="15">
        <f>Output[[#This Row],[Capital Debut Period]]-Output[[#This Row],[Paiement Principal]]</f>
        <v>203742.04608111238</v>
      </c>
      <c r="Q251" s="15">
        <f>Output[[#This Row],[Droit Utilisation]]/Output[[#This Row],[Duree_Mois]]</f>
        <v>2653.2817765457698</v>
      </c>
    </row>
    <row r="252" spans="1:17" x14ac:dyDescent="0.25">
      <c r="A252" s="11" t="s">
        <v>5</v>
      </c>
      <c r="B252" s="12">
        <v>44743</v>
      </c>
      <c r="C252">
        <v>3700</v>
      </c>
      <c r="D252">
        <v>7</v>
      </c>
      <c r="E252">
        <v>0.1</v>
      </c>
      <c r="F252">
        <v>84</v>
      </c>
      <c r="G252" s="13">
        <v>45077</v>
      </c>
      <c r="H252">
        <v>251</v>
      </c>
      <c r="I252">
        <v>11</v>
      </c>
      <c r="J252">
        <v>8.3333333333333332E-3</v>
      </c>
      <c r="K252" s="14">
        <v>3377.1967068105541</v>
      </c>
      <c r="L252" s="14">
        <v>222875.66922984467</v>
      </c>
      <c r="M252" s="36">
        <f>IF(Output[[#This Row],[Index]]=1,Output[[#This Row],[Droit Utilisation]],P251)</f>
        <v>203742.04608111238</v>
      </c>
      <c r="N252" s="15">
        <f>Output[[#This Row],[Capital Debut Period]]*Output[[#This Row],[Tx_interet_M]]</f>
        <v>1697.8503840092699</v>
      </c>
      <c r="O252" s="15">
        <f>Output[[#This Row],[Mensualité initial]]-Output[[#This Row],[Interet]]</f>
        <v>2002.1496159907301</v>
      </c>
      <c r="P252" s="15">
        <f>Output[[#This Row],[Capital Debut Period]]-Output[[#This Row],[Paiement Principal]]</f>
        <v>201739.89646512165</v>
      </c>
      <c r="Q252" s="15">
        <f>Output[[#This Row],[Droit Utilisation]]/Output[[#This Row],[Duree_Mois]]</f>
        <v>2653.2817765457698</v>
      </c>
    </row>
    <row r="253" spans="1:17" x14ac:dyDescent="0.25">
      <c r="A253" s="11" t="s">
        <v>5</v>
      </c>
      <c r="B253" s="12">
        <v>44743</v>
      </c>
      <c r="C253">
        <v>3700</v>
      </c>
      <c r="D253">
        <v>7</v>
      </c>
      <c r="E253">
        <v>0.1</v>
      </c>
      <c r="F253">
        <v>84</v>
      </c>
      <c r="G253" s="13">
        <v>45107</v>
      </c>
      <c r="H253">
        <v>252</v>
      </c>
      <c r="I253">
        <v>12</v>
      </c>
      <c r="J253">
        <v>8.3333333333333332E-3</v>
      </c>
      <c r="K253" s="14">
        <v>3349.2859902253431</v>
      </c>
      <c r="L253" s="14">
        <v>222875.66922984467</v>
      </c>
      <c r="M253" s="36">
        <f>IF(Output[[#This Row],[Index]]=1,Output[[#This Row],[Droit Utilisation]],P252)</f>
        <v>201739.89646512165</v>
      </c>
      <c r="N253" s="15">
        <f>Output[[#This Row],[Capital Debut Period]]*Output[[#This Row],[Tx_interet_M]]</f>
        <v>1681.1658038760138</v>
      </c>
      <c r="O253" s="15">
        <f>Output[[#This Row],[Mensualité initial]]-Output[[#This Row],[Interet]]</f>
        <v>2018.8341961239862</v>
      </c>
      <c r="P253" s="15">
        <f>Output[[#This Row],[Capital Debut Period]]-Output[[#This Row],[Paiement Principal]]</f>
        <v>199721.06226899766</v>
      </c>
      <c r="Q253" s="15">
        <f>Output[[#This Row],[Droit Utilisation]]/Output[[#This Row],[Duree_Mois]]</f>
        <v>2653.2817765457698</v>
      </c>
    </row>
    <row r="254" spans="1:17" x14ac:dyDescent="0.25">
      <c r="A254" s="11" t="s">
        <v>5</v>
      </c>
      <c r="B254" s="12">
        <v>44743</v>
      </c>
      <c r="C254">
        <v>3700</v>
      </c>
      <c r="D254">
        <v>7</v>
      </c>
      <c r="E254">
        <v>0.1</v>
      </c>
      <c r="F254">
        <v>84</v>
      </c>
      <c r="G254" s="13">
        <v>45138</v>
      </c>
      <c r="H254">
        <v>253</v>
      </c>
      <c r="I254">
        <v>13</v>
      </c>
      <c r="J254">
        <v>8.3333333333333332E-3</v>
      </c>
      <c r="K254" s="14">
        <v>3321.6059407193484</v>
      </c>
      <c r="L254" s="14">
        <v>222875.66922984467</v>
      </c>
      <c r="M254" s="36">
        <f>IF(Output[[#This Row],[Index]]=1,Output[[#This Row],[Droit Utilisation]],P253)</f>
        <v>199721.06226899766</v>
      </c>
      <c r="N254" s="15">
        <f>Output[[#This Row],[Capital Debut Period]]*Output[[#This Row],[Tx_interet_M]]</f>
        <v>1664.3421855749805</v>
      </c>
      <c r="O254" s="15">
        <f>Output[[#This Row],[Mensualité initial]]-Output[[#This Row],[Interet]]</f>
        <v>2035.6578144250195</v>
      </c>
      <c r="P254" s="15">
        <f>Output[[#This Row],[Capital Debut Period]]-Output[[#This Row],[Paiement Principal]]</f>
        <v>197685.40445457265</v>
      </c>
      <c r="Q254" s="15">
        <f>Output[[#This Row],[Droit Utilisation]]/Output[[#This Row],[Duree_Mois]]</f>
        <v>2653.2817765457698</v>
      </c>
    </row>
    <row r="255" spans="1:17" x14ac:dyDescent="0.25">
      <c r="A255" s="11" t="s">
        <v>5</v>
      </c>
      <c r="B255" s="12">
        <v>44743</v>
      </c>
      <c r="C255">
        <v>3700</v>
      </c>
      <c r="D255">
        <v>7</v>
      </c>
      <c r="E255">
        <v>0.1</v>
      </c>
      <c r="F255">
        <v>84</v>
      </c>
      <c r="G255" s="13">
        <v>45169</v>
      </c>
      <c r="H255">
        <v>254</v>
      </c>
      <c r="I255">
        <v>14</v>
      </c>
      <c r="J255">
        <v>8.3333333333333332E-3</v>
      </c>
      <c r="K255" s="14">
        <v>3294.154651953073</v>
      </c>
      <c r="L255" s="14">
        <v>222875.66922984467</v>
      </c>
      <c r="M255" s="36">
        <f>IF(Output[[#This Row],[Index]]=1,Output[[#This Row],[Droit Utilisation]],P254)</f>
        <v>197685.40445457265</v>
      </c>
      <c r="N255" s="15">
        <f>Output[[#This Row],[Capital Debut Period]]*Output[[#This Row],[Tx_interet_M]]</f>
        <v>1647.378370454772</v>
      </c>
      <c r="O255" s="15">
        <f>Output[[#This Row],[Mensualité initial]]-Output[[#This Row],[Interet]]</f>
        <v>2052.6216295452277</v>
      </c>
      <c r="P255" s="15">
        <f>Output[[#This Row],[Capital Debut Period]]-Output[[#This Row],[Paiement Principal]]</f>
        <v>195632.78282502742</v>
      </c>
      <c r="Q255" s="15">
        <f>Output[[#This Row],[Droit Utilisation]]/Output[[#This Row],[Duree_Mois]]</f>
        <v>2653.2817765457698</v>
      </c>
    </row>
    <row r="256" spans="1:17" x14ac:dyDescent="0.25">
      <c r="A256" s="11" t="s">
        <v>5</v>
      </c>
      <c r="B256" s="12">
        <v>44743</v>
      </c>
      <c r="C256">
        <v>3700</v>
      </c>
      <c r="D256">
        <v>7</v>
      </c>
      <c r="E256">
        <v>0.1</v>
      </c>
      <c r="F256">
        <v>84</v>
      </c>
      <c r="G256" s="13">
        <v>45199</v>
      </c>
      <c r="H256">
        <v>255</v>
      </c>
      <c r="I256">
        <v>15</v>
      </c>
      <c r="J256">
        <v>8.3333333333333332E-3</v>
      </c>
      <c r="K256" s="14">
        <v>3266.9302333418909</v>
      </c>
      <c r="L256" s="14">
        <v>222875.66922984467</v>
      </c>
      <c r="M256" s="36">
        <f>IF(Output[[#This Row],[Index]]=1,Output[[#This Row],[Droit Utilisation]],P255)</f>
        <v>195632.78282502742</v>
      </c>
      <c r="N256" s="15">
        <f>Output[[#This Row],[Capital Debut Period]]*Output[[#This Row],[Tx_interet_M]]</f>
        <v>1630.2731902085618</v>
      </c>
      <c r="O256" s="15">
        <f>Output[[#This Row],[Mensualité initial]]-Output[[#This Row],[Interet]]</f>
        <v>2069.7268097914384</v>
      </c>
      <c r="P256" s="15">
        <f>Output[[#This Row],[Capital Debut Period]]-Output[[#This Row],[Paiement Principal]]</f>
        <v>193563.05601523598</v>
      </c>
      <c r="Q256" s="15">
        <f>Output[[#This Row],[Droit Utilisation]]/Output[[#This Row],[Duree_Mois]]</f>
        <v>2653.2817765457698</v>
      </c>
    </row>
    <row r="257" spans="1:17" x14ac:dyDescent="0.25">
      <c r="A257" s="11" t="s">
        <v>5</v>
      </c>
      <c r="B257" s="12">
        <v>44743</v>
      </c>
      <c r="C257">
        <v>3700</v>
      </c>
      <c r="D257">
        <v>7</v>
      </c>
      <c r="E257">
        <v>0.1</v>
      </c>
      <c r="F257">
        <v>84</v>
      </c>
      <c r="G257" s="13">
        <v>45230</v>
      </c>
      <c r="H257">
        <v>256</v>
      </c>
      <c r="I257">
        <v>16</v>
      </c>
      <c r="J257">
        <v>8.3333333333333332E-3</v>
      </c>
      <c r="K257" s="14">
        <v>3239.9308099258419</v>
      </c>
      <c r="L257" s="14">
        <v>222875.66922984467</v>
      </c>
      <c r="M257" s="36">
        <f>IF(Output[[#This Row],[Index]]=1,Output[[#This Row],[Droit Utilisation]],P256)</f>
        <v>193563.05601523598</v>
      </c>
      <c r="N257" s="15">
        <f>Output[[#This Row],[Capital Debut Period]]*Output[[#This Row],[Tx_interet_M]]</f>
        <v>1613.0254667936331</v>
      </c>
      <c r="O257" s="15">
        <f>Output[[#This Row],[Mensualité initial]]-Output[[#This Row],[Interet]]</f>
        <v>2086.9745332063667</v>
      </c>
      <c r="P257" s="15">
        <f>Output[[#This Row],[Capital Debut Period]]-Output[[#This Row],[Paiement Principal]]</f>
        <v>191476.08148202961</v>
      </c>
      <c r="Q257" s="15">
        <f>Output[[#This Row],[Droit Utilisation]]/Output[[#This Row],[Duree_Mois]]</f>
        <v>2653.2817765457698</v>
      </c>
    </row>
    <row r="258" spans="1:17" x14ac:dyDescent="0.25">
      <c r="A258" s="11" t="s">
        <v>5</v>
      </c>
      <c r="B258" s="12">
        <v>44743</v>
      </c>
      <c r="C258">
        <v>3700</v>
      </c>
      <c r="D258">
        <v>7</v>
      </c>
      <c r="E258">
        <v>0.1</v>
      </c>
      <c r="F258">
        <v>84</v>
      </c>
      <c r="G258" s="13">
        <v>45260</v>
      </c>
      <c r="H258">
        <v>257</v>
      </c>
      <c r="I258">
        <v>17</v>
      </c>
      <c r="J258">
        <v>8.3333333333333332E-3</v>
      </c>
      <c r="K258" s="14">
        <v>3213.1545222405048</v>
      </c>
      <c r="L258" s="14">
        <v>222875.66922984467</v>
      </c>
      <c r="M258" s="36">
        <f>IF(Output[[#This Row],[Index]]=1,Output[[#This Row],[Droit Utilisation]],P257)</f>
        <v>191476.08148202961</v>
      </c>
      <c r="N258" s="15">
        <f>Output[[#This Row],[Capital Debut Period]]*Output[[#This Row],[Tx_interet_M]]</f>
        <v>1595.6340123502466</v>
      </c>
      <c r="O258" s="15">
        <f>Output[[#This Row],[Mensualité initial]]-Output[[#This Row],[Interet]]</f>
        <v>2104.3659876497532</v>
      </c>
      <c r="P258" s="15">
        <f>Output[[#This Row],[Capital Debut Period]]-Output[[#This Row],[Paiement Principal]]</f>
        <v>189371.71549437987</v>
      </c>
      <c r="Q258" s="15">
        <f>Output[[#This Row],[Droit Utilisation]]/Output[[#This Row],[Duree_Mois]]</f>
        <v>2653.2817765457698</v>
      </c>
    </row>
    <row r="259" spans="1:17" x14ac:dyDescent="0.25">
      <c r="A259" s="11" t="s">
        <v>5</v>
      </c>
      <c r="B259" s="12">
        <v>44743</v>
      </c>
      <c r="C259">
        <v>3700</v>
      </c>
      <c r="D259">
        <v>7</v>
      </c>
      <c r="E259">
        <v>0.1</v>
      </c>
      <c r="F259">
        <v>84</v>
      </c>
      <c r="G259" s="13">
        <v>45291</v>
      </c>
      <c r="H259">
        <v>258</v>
      </c>
      <c r="I259">
        <v>18</v>
      </c>
      <c r="J259">
        <v>8.3333333333333332E-3</v>
      </c>
      <c r="K259" s="14">
        <v>3186.5995261889302</v>
      </c>
      <c r="L259" s="14">
        <v>222875.66922984467</v>
      </c>
      <c r="M259" s="36">
        <f>IF(Output[[#This Row],[Index]]=1,Output[[#This Row],[Droit Utilisation]],P258)</f>
        <v>189371.71549437987</v>
      </c>
      <c r="N259" s="15">
        <f>Output[[#This Row],[Capital Debut Period]]*Output[[#This Row],[Tx_interet_M]]</f>
        <v>1578.0976291198322</v>
      </c>
      <c r="O259" s="15">
        <f>Output[[#This Row],[Mensualité initial]]-Output[[#This Row],[Interet]]</f>
        <v>2121.9023708801678</v>
      </c>
      <c r="P259" s="15">
        <f>Output[[#This Row],[Capital Debut Period]]-Output[[#This Row],[Paiement Principal]]</f>
        <v>187249.81312349971</v>
      </c>
      <c r="Q259" s="15">
        <f>Output[[#This Row],[Droit Utilisation]]/Output[[#This Row],[Duree_Mois]]</f>
        <v>2653.2817765457698</v>
      </c>
    </row>
    <row r="260" spans="1:17" x14ac:dyDescent="0.25">
      <c r="A260" s="11" t="s">
        <v>5</v>
      </c>
      <c r="B260" s="12">
        <v>44743</v>
      </c>
      <c r="C260">
        <v>3700</v>
      </c>
      <c r="D260">
        <v>7</v>
      </c>
      <c r="E260">
        <v>0.1</v>
      </c>
      <c r="F260">
        <v>84</v>
      </c>
      <c r="G260" s="13">
        <v>45322</v>
      </c>
      <c r="H260">
        <v>259</v>
      </c>
      <c r="I260">
        <v>19</v>
      </c>
      <c r="J260">
        <v>8.3333333333333332E-3</v>
      </c>
      <c r="K260" s="14">
        <v>3160.2639929146417</v>
      </c>
      <c r="L260" s="14">
        <v>222875.66922984467</v>
      </c>
      <c r="M260" s="36">
        <f>IF(Output[[#This Row],[Index]]=1,Output[[#This Row],[Droit Utilisation]],P259)</f>
        <v>187249.81312349971</v>
      </c>
      <c r="N260" s="15">
        <f>Output[[#This Row],[Capital Debut Period]]*Output[[#This Row],[Tx_interet_M]]</f>
        <v>1560.4151093624976</v>
      </c>
      <c r="O260" s="15">
        <f>Output[[#This Row],[Mensualité initial]]-Output[[#This Row],[Interet]]</f>
        <v>2139.5848906375022</v>
      </c>
      <c r="P260" s="15">
        <f>Output[[#This Row],[Capital Debut Period]]-Output[[#This Row],[Paiement Principal]]</f>
        <v>185110.22823286222</v>
      </c>
      <c r="Q260" s="15">
        <f>Output[[#This Row],[Droit Utilisation]]/Output[[#This Row],[Duree_Mois]]</f>
        <v>2653.2817765457698</v>
      </c>
    </row>
    <row r="261" spans="1:17" x14ac:dyDescent="0.25">
      <c r="A261" s="11" t="s">
        <v>5</v>
      </c>
      <c r="B261" s="12">
        <v>44743</v>
      </c>
      <c r="C261">
        <v>3700</v>
      </c>
      <c r="D261">
        <v>7</v>
      </c>
      <c r="E261">
        <v>0.1</v>
      </c>
      <c r="F261">
        <v>84</v>
      </c>
      <c r="G261" s="13">
        <v>45351</v>
      </c>
      <c r="H261">
        <v>260</v>
      </c>
      <c r="I261">
        <v>20</v>
      </c>
      <c r="J261">
        <v>8.3333333333333332E-3</v>
      </c>
      <c r="K261" s="14">
        <v>3134.1461086756776</v>
      </c>
      <c r="L261" s="14">
        <v>222875.66922984467</v>
      </c>
      <c r="M261" s="36">
        <f>IF(Output[[#This Row],[Index]]=1,Output[[#This Row],[Droit Utilisation]],P260)</f>
        <v>185110.22823286222</v>
      </c>
      <c r="N261" s="15">
        <f>Output[[#This Row],[Capital Debut Period]]*Output[[#This Row],[Tx_interet_M]]</f>
        <v>1542.5852352738518</v>
      </c>
      <c r="O261" s="15">
        <f>Output[[#This Row],[Mensualité initial]]-Output[[#This Row],[Interet]]</f>
        <v>2157.414764726148</v>
      </c>
      <c r="P261" s="15">
        <f>Output[[#This Row],[Capital Debut Period]]-Output[[#This Row],[Paiement Principal]]</f>
        <v>182952.81346813607</v>
      </c>
      <c r="Q261" s="15">
        <f>Output[[#This Row],[Droit Utilisation]]/Output[[#This Row],[Duree_Mois]]</f>
        <v>2653.2817765457698</v>
      </c>
    </row>
    <row r="262" spans="1:17" x14ac:dyDescent="0.25">
      <c r="A262" s="11" t="s">
        <v>5</v>
      </c>
      <c r="B262" s="12">
        <v>44743</v>
      </c>
      <c r="C262">
        <v>3700</v>
      </c>
      <c r="D262">
        <v>7</v>
      </c>
      <c r="E262">
        <v>0.1</v>
      </c>
      <c r="F262">
        <v>84</v>
      </c>
      <c r="G262" s="13">
        <v>45382</v>
      </c>
      <c r="H262">
        <v>261</v>
      </c>
      <c r="I262">
        <v>21</v>
      </c>
      <c r="J262">
        <v>8.3333333333333332E-3</v>
      </c>
      <c r="K262" s="14">
        <v>3108.2440747196806</v>
      </c>
      <c r="L262" s="14">
        <v>222875.66922984467</v>
      </c>
      <c r="M262" s="36">
        <f>IF(Output[[#This Row],[Index]]=1,Output[[#This Row],[Droit Utilisation]],P261)</f>
        <v>182952.81346813607</v>
      </c>
      <c r="N262" s="15">
        <f>Output[[#This Row],[Capital Debut Period]]*Output[[#This Row],[Tx_interet_M]]</f>
        <v>1524.6067789011338</v>
      </c>
      <c r="O262" s="15">
        <f>Output[[#This Row],[Mensualité initial]]-Output[[#This Row],[Interet]]</f>
        <v>2175.393221098866</v>
      </c>
      <c r="P262" s="15">
        <f>Output[[#This Row],[Capital Debut Period]]-Output[[#This Row],[Paiement Principal]]</f>
        <v>180777.4202470372</v>
      </c>
      <c r="Q262" s="15">
        <f>Output[[#This Row],[Droit Utilisation]]/Output[[#This Row],[Duree_Mois]]</f>
        <v>2653.2817765457698</v>
      </c>
    </row>
    <row r="263" spans="1:17" x14ac:dyDescent="0.25">
      <c r="A263" s="11" t="s">
        <v>5</v>
      </c>
      <c r="B263" s="12">
        <v>44743</v>
      </c>
      <c r="C263">
        <v>3700</v>
      </c>
      <c r="D263">
        <v>7</v>
      </c>
      <c r="E263">
        <v>0.1</v>
      </c>
      <c r="F263">
        <v>84</v>
      </c>
      <c r="G263" s="13">
        <v>45412</v>
      </c>
      <c r="H263">
        <v>262</v>
      </c>
      <c r="I263">
        <v>22</v>
      </c>
      <c r="J263">
        <v>8.3333333333333332E-3</v>
      </c>
      <c r="K263" s="14">
        <v>3082.5561071600141</v>
      </c>
      <c r="L263" s="14">
        <v>222875.66922984467</v>
      </c>
      <c r="M263" s="36">
        <f>IF(Output[[#This Row],[Index]]=1,Output[[#This Row],[Droit Utilisation]],P262)</f>
        <v>180777.4202470372</v>
      </c>
      <c r="N263" s="15">
        <f>Output[[#This Row],[Capital Debut Period]]*Output[[#This Row],[Tx_interet_M]]</f>
        <v>1506.4785020586432</v>
      </c>
      <c r="O263" s="15">
        <f>Output[[#This Row],[Mensualité initial]]-Output[[#This Row],[Interet]]</f>
        <v>2193.5214979413568</v>
      </c>
      <c r="P263" s="15">
        <f>Output[[#This Row],[Capital Debut Period]]-Output[[#This Row],[Paiement Principal]]</f>
        <v>178583.89874909585</v>
      </c>
      <c r="Q263" s="15">
        <f>Output[[#This Row],[Droit Utilisation]]/Output[[#This Row],[Duree_Mois]]</f>
        <v>2653.2817765457698</v>
      </c>
    </row>
    <row r="264" spans="1:17" x14ac:dyDescent="0.25">
      <c r="A264" s="11" t="s">
        <v>5</v>
      </c>
      <c r="B264" s="12">
        <v>44743</v>
      </c>
      <c r="C264">
        <v>3700</v>
      </c>
      <c r="D264">
        <v>7</v>
      </c>
      <c r="E264">
        <v>0.1</v>
      </c>
      <c r="F264">
        <v>84</v>
      </c>
      <c r="G264" s="13">
        <v>45443</v>
      </c>
      <c r="H264">
        <v>263</v>
      </c>
      <c r="I264">
        <v>23</v>
      </c>
      <c r="J264">
        <v>8.3333333333333332E-3</v>
      </c>
      <c r="K264" s="14">
        <v>3057.0804368529061</v>
      </c>
      <c r="L264" s="14">
        <v>222875.66922984467</v>
      </c>
      <c r="M264" s="36">
        <f>IF(Output[[#This Row],[Index]]=1,Output[[#This Row],[Droit Utilisation]],P263)</f>
        <v>178583.89874909585</v>
      </c>
      <c r="N264" s="15">
        <f>Output[[#This Row],[Capital Debut Period]]*Output[[#This Row],[Tx_interet_M]]</f>
        <v>1488.1991562424655</v>
      </c>
      <c r="O264" s="15">
        <f>Output[[#This Row],[Mensualité initial]]-Output[[#This Row],[Interet]]</f>
        <v>2211.8008437575345</v>
      </c>
      <c r="P264" s="15">
        <f>Output[[#This Row],[Capital Debut Period]]-Output[[#This Row],[Paiement Principal]]</f>
        <v>176372.09790533831</v>
      </c>
      <c r="Q264" s="15">
        <f>Output[[#This Row],[Droit Utilisation]]/Output[[#This Row],[Duree_Mois]]</f>
        <v>2653.2817765457698</v>
      </c>
    </row>
    <row r="265" spans="1:17" x14ac:dyDescent="0.25">
      <c r="A265" s="11" t="s">
        <v>5</v>
      </c>
      <c r="B265" s="12">
        <v>44743</v>
      </c>
      <c r="C265">
        <v>3700</v>
      </c>
      <c r="D265">
        <v>7</v>
      </c>
      <c r="E265">
        <v>0.1</v>
      </c>
      <c r="F265">
        <v>84</v>
      </c>
      <c r="G265" s="13">
        <v>45473</v>
      </c>
      <c r="H265">
        <v>264</v>
      </c>
      <c r="I265">
        <v>24</v>
      </c>
      <c r="J265">
        <v>8.3333333333333332E-3</v>
      </c>
      <c r="K265" s="14">
        <v>3031.8153092756097</v>
      </c>
      <c r="L265" s="14">
        <v>222875.66922984467</v>
      </c>
      <c r="M265" s="36">
        <f>IF(Output[[#This Row],[Index]]=1,Output[[#This Row],[Droit Utilisation]],P264)</f>
        <v>176372.09790533831</v>
      </c>
      <c r="N265" s="15">
        <f>Output[[#This Row],[Capital Debut Period]]*Output[[#This Row],[Tx_interet_M]]</f>
        <v>1469.7674825444858</v>
      </c>
      <c r="O265" s="15">
        <f>Output[[#This Row],[Mensualité initial]]-Output[[#This Row],[Interet]]</f>
        <v>2230.2325174555144</v>
      </c>
      <c r="P265" s="15">
        <f>Output[[#This Row],[Capital Debut Period]]-Output[[#This Row],[Paiement Principal]]</f>
        <v>174141.8653878828</v>
      </c>
      <c r="Q265" s="15">
        <f>Output[[#This Row],[Droit Utilisation]]/Output[[#This Row],[Duree_Mois]]</f>
        <v>2653.2817765457698</v>
      </c>
    </row>
    <row r="266" spans="1:17" x14ac:dyDescent="0.25">
      <c r="A266" s="11" t="s">
        <v>5</v>
      </c>
      <c r="B266" s="12">
        <v>44743</v>
      </c>
      <c r="C266">
        <v>3700</v>
      </c>
      <c r="D266">
        <v>7</v>
      </c>
      <c r="E266">
        <v>0.1</v>
      </c>
      <c r="F266">
        <v>84</v>
      </c>
      <c r="G266" s="13">
        <v>45504</v>
      </c>
      <c r="H266">
        <v>265</v>
      </c>
      <c r="I266">
        <v>25</v>
      </c>
      <c r="J266">
        <v>8.3333333333333332E-3</v>
      </c>
      <c r="K266" s="14">
        <v>3006.7589844055633</v>
      </c>
      <c r="L266" s="14">
        <v>222875.66922984467</v>
      </c>
      <c r="M266" s="36">
        <f>IF(Output[[#This Row],[Index]]=1,Output[[#This Row],[Droit Utilisation]],P265)</f>
        <v>174141.8653878828</v>
      </c>
      <c r="N266" s="15">
        <f>Output[[#This Row],[Capital Debut Period]]*Output[[#This Row],[Tx_interet_M]]</f>
        <v>1451.1822115656901</v>
      </c>
      <c r="O266" s="15">
        <f>Output[[#This Row],[Mensualité initial]]-Output[[#This Row],[Interet]]</f>
        <v>2248.8177884343099</v>
      </c>
      <c r="P266" s="15">
        <f>Output[[#This Row],[Capital Debut Period]]-Output[[#This Row],[Paiement Principal]]</f>
        <v>171893.0475994485</v>
      </c>
      <c r="Q266" s="15">
        <f>Output[[#This Row],[Droit Utilisation]]/Output[[#This Row],[Duree_Mois]]</f>
        <v>2653.2817765457698</v>
      </c>
    </row>
    <row r="267" spans="1:17" x14ac:dyDescent="0.25">
      <c r="A267" s="11" t="s">
        <v>5</v>
      </c>
      <c r="B267" s="12">
        <v>44743</v>
      </c>
      <c r="C267">
        <v>3700</v>
      </c>
      <c r="D267">
        <v>7</v>
      </c>
      <c r="E267">
        <v>0.1</v>
      </c>
      <c r="F267">
        <v>84</v>
      </c>
      <c r="G267" s="13">
        <v>45535</v>
      </c>
      <c r="H267">
        <v>266</v>
      </c>
      <c r="I267">
        <v>26</v>
      </c>
      <c r="J267">
        <v>8.3333333333333332E-3</v>
      </c>
      <c r="K267" s="14">
        <v>2981.909736600559</v>
      </c>
      <c r="L267" s="14">
        <v>222875.66922984467</v>
      </c>
      <c r="M267" s="36">
        <f>IF(Output[[#This Row],[Index]]=1,Output[[#This Row],[Droit Utilisation]],P266)</f>
        <v>171893.0475994485</v>
      </c>
      <c r="N267" s="15">
        <f>Output[[#This Row],[Capital Debut Period]]*Output[[#This Row],[Tx_interet_M]]</f>
        <v>1432.4420633287375</v>
      </c>
      <c r="O267" s="15">
        <f>Output[[#This Row],[Mensualité initial]]-Output[[#This Row],[Interet]]</f>
        <v>2267.5579366712627</v>
      </c>
      <c r="P267" s="15">
        <f>Output[[#This Row],[Capital Debut Period]]-Output[[#This Row],[Paiement Principal]]</f>
        <v>169625.48966277723</v>
      </c>
      <c r="Q267" s="15">
        <f>Output[[#This Row],[Droit Utilisation]]/Output[[#This Row],[Duree_Mois]]</f>
        <v>2653.2817765457698</v>
      </c>
    </row>
    <row r="268" spans="1:17" x14ac:dyDescent="0.25">
      <c r="A268" s="11" t="s">
        <v>5</v>
      </c>
      <c r="B268" s="12">
        <v>44743</v>
      </c>
      <c r="C268">
        <v>3700</v>
      </c>
      <c r="D268">
        <v>7</v>
      </c>
      <c r="E268">
        <v>0.1</v>
      </c>
      <c r="F268">
        <v>84</v>
      </c>
      <c r="G268" s="13">
        <v>45565</v>
      </c>
      <c r="H268">
        <v>267</v>
      </c>
      <c r="I268">
        <v>27</v>
      </c>
      <c r="J268">
        <v>8.3333333333333332E-3</v>
      </c>
      <c r="K268" s="14">
        <v>2957.2658544798933</v>
      </c>
      <c r="L268" s="14">
        <v>222875.66922984467</v>
      </c>
      <c r="M268" s="36">
        <f>IF(Output[[#This Row],[Index]]=1,Output[[#This Row],[Droit Utilisation]],P267)</f>
        <v>169625.48966277723</v>
      </c>
      <c r="N268" s="15">
        <f>Output[[#This Row],[Capital Debut Period]]*Output[[#This Row],[Tx_interet_M]]</f>
        <v>1413.5457471898103</v>
      </c>
      <c r="O268" s="15">
        <f>Output[[#This Row],[Mensualité initial]]-Output[[#This Row],[Interet]]</f>
        <v>2286.4542528101897</v>
      </c>
      <c r="P268" s="15">
        <f>Output[[#This Row],[Capital Debut Period]]-Output[[#This Row],[Paiement Principal]]</f>
        <v>167339.03540996704</v>
      </c>
      <c r="Q268" s="15">
        <f>Output[[#This Row],[Droit Utilisation]]/Output[[#This Row],[Duree_Mois]]</f>
        <v>2653.2817765457698</v>
      </c>
    </row>
    <row r="269" spans="1:17" x14ac:dyDescent="0.25">
      <c r="A269" s="11" t="s">
        <v>5</v>
      </c>
      <c r="B269" s="12">
        <v>44743</v>
      </c>
      <c r="C269">
        <v>3700</v>
      </c>
      <c r="D269">
        <v>7</v>
      </c>
      <c r="E269">
        <v>0.1</v>
      </c>
      <c r="F269">
        <v>84</v>
      </c>
      <c r="G269" s="13">
        <v>45596</v>
      </c>
      <c r="H269">
        <v>268</v>
      </c>
      <c r="I269">
        <v>28</v>
      </c>
      <c r="J269">
        <v>8.3333333333333332E-3</v>
      </c>
      <c r="K269" s="14">
        <v>2932.8256408065058</v>
      </c>
      <c r="L269" s="14">
        <v>222875.66922984467</v>
      </c>
      <c r="M269" s="36">
        <f>IF(Output[[#This Row],[Index]]=1,Output[[#This Row],[Droit Utilisation]],P268)</f>
        <v>167339.03540996704</v>
      </c>
      <c r="N269" s="15">
        <f>Output[[#This Row],[Capital Debut Period]]*Output[[#This Row],[Tx_interet_M]]</f>
        <v>1394.4919617497253</v>
      </c>
      <c r="O269" s="15">
        <f>Output[[#This Row],[Mensualité initial]]-Output[[#This Row],[Interet]]</f>
        <v>2305.5080382502747</v>
      </c>
      <c r="P269" s="15">
        <f>Output[[#This Row],[Capital Debut Period]]-Output[[#This Row],[Paiement Principal]]</f>
        <v>165033.52737171677</v>
      </c>
      <c r="Q269" s="15">
        <f>Output[[#This Row],[Droit Utilisation]]/Output[[#This Row],[Duree_Mois]]</f>
        <v>2653.2817765457698</v>
      </c>
    </row>
    <row r="270" spans="1:17" x14ac:dyDescent="0.25">
      <c r="A270" s="11" t="s">
        <v>5</v>
      </c>
      <c r="B270" s="12">
        <v>44743</v>
      </c>
      <c r="C270">
        <v>3700</v>
      </c>
      <c r="D270">
        <v>7</v>
      </c>
      <c r="E270">
        <v>0.1</v>
      </c>
      <c r="F270">
        <v>84</v>
      </c>
      <c r="G270" s="13">
        <v>45626</v>
      </c>
      <c r="H270">
        <v>269</v>
      </c>
      <c r="I270">
        <v>29</v>
      </c>
      <c r="J270">
        <v>8.3333333333333332E-3</v>
      </c>
      <c r="K270" s="14">
        <v>2908.5874123700883</v>
      </c>
      <c r="L270" s="14">
        <v>222875.66922984467</v>
      </c>
      <c r="M270" s="36">
        <f>IF(Output[[#This Row],[Index]]=1,Output[[#This Row],[Droit Utilisation]],P269)</f>
        <v>165033.52737171677</v>
      </c>
      <c r="N270" s="15">
        <f>Output[[#This Row],[Capital Debut Period]]*Output[[#This Row],[Tx_interet_M]]</f>
        <v>1375.2793947643065</v>
      </c>
      <c r="O270" s="15">
        <f>Output[[#This Row],[Mensualité initial]]-Output[[#This Row],[Interet]]</f>
        <v>2324.7206052356933</v>
      </c>
      <c r="P270" s="15">
        <f>Output[[#This Row],[Capital Debut Period]]-Output[[#This Row],[Paiement Principal]]</f>
        <v>162708.80676648108</v>
      </c>
      <c r="Q270" s="15">
        <f>Output[[#This Row],[Droit Utilisation]]/Output[[#This Row],[Duree_Mois]]</f>
        <v>2653.2817765457698</v>
      </c>
    </row>
    <row r="271" spans="1:17" x14ac:dyDescent="0.25">
      <c r="A271" s="11" t="s">
        <v>5</v>
      </c>
      <c r="B271" s="12">
        <v>44743</v>
      </c>
      <c r="C271">
        <v>3700</v>
      </c>
      <c r="D271">
        <v>7</v>
      </c>
      <c r="E271">
        <v>0.1</v>
      </c>
      <c r="F271">
        <v>84</v>
      </c>
      <c r="G271" s="13">
        <v>45657</v>
      </c>
      <c r="H271">
        <v>270</v>
      </c>
      <c r="I271">
        <v>30</v>
      </c>
      <c r="J271">
        <v>8.3333333333333332E-3</v>
      </c>
      <c r="K271" s="14">
        <v>2884.5494998711624</v>
      </c>
      <c r="L271" s="14">
        <v>222875.66922984467</v>
      </c>
      <c r="M271" s="36">
        <f>IF(Output[[#This Row],[Index]]=1,Output[[#This Row],[Droit Utilisation]],P270)</f>
        <v>162708.80676648108</v>
      </c>
      <c r="N271" s="15">
        <f>Output[[#This Row],[Capital Debut Period]]*Output[[#This Row],[Tx_interet_M]]</f>
        <v>1355.906723054009</v>
      </c>
      <c r="O271" s="15">
        <f>Output[[#This Row],[Mensualité initial]]-Output[[#This Row],[Interet]]</f>
        <v>2344.093276945991</v>
      </c>
      <c r="P271" s="15">
        <f>Output[[#This Row],[Capital Debut Period]]-Output[[#This Row],[Paiement Principal]]</f>
        <v>160364.71348953509</v>
      </c>
      <c r="Q271" s="15">
        <f>Output[[#This Row],[Droit Utilisation]]/Output[[#This Row],[Duree_Mois]]</f>
        <v>2653.2817765457698</v>
      </c>
    </row>
    <row r="272" spans="1:17" x14ac:dyDescent="0.25">
      <c r="A272" s="11" t="s">
        <v>5</v>
      </c>
      <c r="B272" s="12">
        <v>44743</v>
      </c>
      <c r="C272">
        <v>3700</v>
      </c>
      <c r="D272">
        <v>7</v>
      </c>
      <c r="E272">
        <v>0.1</v>
      </c>
      <c r="F272">
        <v>84</v>
      </c>
      <c r="G272" s="13">
        <v>45688</v>
      </c>
      <c r="H272">
        <v>271</v>
      </c>
      <c r="I272">
        <v>31</v>
      </c>
      <c r="J272">
        <v>8.3333333333333332E-3</v>
      </c>
      <c r="K272" s="14">
        <v>2860.7102478061111</v>
      </c>
      <c r="L272" s="14">
        <v>222875.66922984467</v>
      </c>
      <c r="M272" s="36">
        <f>IF(Output[[#This Row],[Index]]=1,Output[[#This Row],[Droit Utilisation]],P271)</f>
        <v>160364.71348953509</v>
      </c>
      <c r="N272" s="15">
        <f>Output[[#This Row],[Capital Debut Period]]*Output[[#This Row],[Tx_interet_M]]</f>
        <v>1336.3726124127925</v>
      </c>
      <c r="O272" s="15">
        <f>Output[[#This Row],[Mensualité initial]]-Output[[#This Row],[Interet]]</f>
        <v>2363.6273875872075</v>
      </c>
      <c r="P272" s="15">
        <f>Output[[#This Row],[Capital Debut Period]]-Output[[#This Row],[Paiement Principal]]</f>
        <v>158001.08610194788</v>
      </c>
      <c r="Q272" s="15">
        <f>Output[[#This Row],[Droit Utilisation]]/Output[[#This Row],[Duree_Mois]]</f>
        <v>2653.2817765457698</v>
      </c>
    </row>
    <row r="273" spans="1:17" x14ac:dyDescent="0.25">
      <c r="A273" s="11" t="s">
        <v>5</v>
      </c>
      <c r="B273" s="12">
        <v>44743</v>
      </c>
      <c r="C273">
        <v>3700</v>
      </c>
      <c r="D273">
        <v>7</v>
      </c>
      <c r="E273">
        <v>0.1</v>
      </c>
      <c r="F273">
        <v>84</v>
      </c>
      <c r="G273" s="13">
        <v>45716</v>
      </c>
      <c r="H273">
        <v>272</v>
      </c>
      <c r="I273">
        <v>32</v>
      </c>
      <c r="J273">
        <v>8.3333333333333332E-3</v>
      </c>
      <c r="K273" s="14">
        <v>2837.0680143531681</v>
      </c>
      <c r="L273" s="14">
        <v>222875.66922984467</v>
      </c>
      <c r="M273" s="36">
        <f>IF(Output[[#This Row],[Index]]=1,Output[[#This Row],[Droit Utilisation]],P272)</f>
        <v>158001.08610194788</v>
      </c>
      <c r="N273" s="15">
        <f>Output[[#This Row],[Capital Debut Period]]*Output[[#This Row],[Tx_interet_M]]</f>
        <v>1316.6757175162322</v>
      </c>
      <c r="O273" s="15">
        <f>Output[[#This Row],[Mensualité initial]]-Output[[#This Row],[Interet]]</f>
        <v>2383.324282483768</v>
      </c>
      <c r="P273" s="15">
        <f>Output[[#This Row],[Capital Debut Period]]-Output[[#This Row],[Paiement Principal]]</f>
        <v>155617.7618194641</v>
      </c>
      <c r="Q273" s="15">
        <f>Output[[#This Row],[Droit Utilisation]]/Output[[#This Row],[Duree_Mois]]</f>
        <v>2653.2817765457698</v>
      </c>
    </row>
    <row r="274" spans="1:17" x14ac:dyDescent="0.25">
      <c r="A274" s="11" t="s">
        <v>5</v>
      </c>
      <c r="B274" s="12">
        <v>44743</v>
      </c>
      <c r="C274">
        <v>3700</v>
      </c>
      <c r="D274">
        <v>7</v>
      </c>
      <c r="E274">
        <v>0.1</v>
      </c>
      <c r="F274">
        <v>84</v>
      </c>
      <c r="G274" s="13">
        <v>45747</v>
      </c>
      <c r="H274">
        <v>273</v>
      </c>
      <c r="I274">
        <v>33</v>
      </c>
      <c r="J274">
        <v>8.3333333333333332E-3</v>
      </c>
      <c r="K274" s="14">
        <v>2813.6211712593408</v>
      </c>
      <c r="L274" s="14">
        <v>222875.66922984467</v>
      </c>
      <c r="M274" s="36">
        <f>IF(Output[[#This Row],[Index]]=1,Output[[#This Row],[Droit Utilisation]],P273)</f>
        <v>155617.7618194641</v>
      </c>
      <c r="N274" s="15">
        <f>Output[[#This Row],[Capital Debut Period]]*Output[[#This Row],[Tx_interet_M]]</f>
        <v>1296.8146818288674</v>
      </c>
      <c r="O274" s="15">
        <f>Output[[#This Row],[Mensualité initial]]-Output[[#This Row],[Interet]]</f>
        <v>2403.1853181711326</v>
      </c>
      <c r="P274" s="15">
        <f>Output[[#This Row],[Capital Debut Period]]-Output[[#This Row],[Paiement Principal]]</f>
        <v>153214.57650129296</v>
      </c>
      <c r="Q274" s="15">
        <f>Output[[#This Row],[Droit Utilisation]]/Output[[#This Row],[Duree_Mois]]</f>
        <v>2653.2817765457698</v>
      </c>
    </row>
    <row r="275" spans="1:17" x14ac:dyDescent="0.25">
      <c r="A275" s="11" t="s">
        <v>5</v>
      </c>
      <c r="B275" s="12">
        <v>44743</v>
      </c>
      <c r="C275">
        <v>3700</v>
      </c>
      <c r="D275">
        <v>7</v>
      </c>
      <c r="E275">
        <v>0.1</v>
      </c>
      <c r="F275">
        <v>84</v>
      </c>
      <c r="G275" s="13">
        <v>45777</v>
      </c>
      <c r="H275">
        <v>274</v>
      </c>
      <c r="I275">
        <v>34</v>
      </c>
      <c r="J275">
        <v>8.3333333333333332E-3</v>
      </c>
      <c r="K275" s="14">
        <v>2790.3681037282718</v>
      </c>
      <c r="L275" s="14">
        <v>222875.66922984467</v>
      </c>
      <c r="M275" s="36">
        <f>IF(Output[[#This Row],[Index]]=1,Output[[#This Row],[Droit Utilisation]],P274)</f>
        <v>153214.57650129296</v>
      </c>
      <c r="N275" s="15">
        <f>Output[[#This Row],[Capital Debut Period]]*Output[[#This Row],[Tx_interet_M]]</f>
        <v>1276.7881375107747</v>
      </c>
      <c r="O275" s="15">
        <f>Output[[#This Row],[Mensualité initial]]-Output[[#This Row],[Interet]]</f>
        <v>2423.2118624892255</v>
      </c>
      <c r="P275" s="15">
        <f>Output[[#This Row],[Capital Debut Period]]-Output[[#This Row],[Paiement Principal]]</f>
        <v>150791.36463880373</v>
      </c>
      <c r="Q275" s="15">
        <f>Output[[#This Row],[Droit Utilisation]]/Output[[#This Row],[Duree_Mois]]</f>
        <v>2653.2817765457698</v>
      </c>
    </row>
    <row r="276" spans="1:17" x14ac:dyDescent="0.25">
      <c r="A276" s="11" t="s">
        <v>5</v>
      </c>
      <c r="B276" s="12">
        <v>44743</v>
      </c>
      <c r="C276">
        <v>3700</v>
      </c>
      <c r="D276">
        <v>7</v>
      </c>
      <c r="E276">
        <v>0.1</v>
      </c>
      <c r="F276">
        <v>84</v>
      </c>
      <c r="G276" s="13">
        <v>45808</v>
      </c>
      <c r="H276">
        <v>275</v>
      </c>
      <c r="I276">
        <v>35</v>
      </c>
      <c r="J276">
        <v>8.3333333333333332E-3</v>
      </c>
      <c r="K276" s="14">
        <v>2767.3072103090299</v>
      </c>
      <c r="L276" s="14">
        <v>222875.66922984467</v>
      </c>
      <c r="M276" s="36">
        <f>IF(Output[[#This Row],[Index]]=1,Output[[#This Row],[Droit Utilisation]],P275)</f>
        <v>150791.36463880373</v>
      </c>
      <c r="N276" s="15">
        <f>Output[[#This Row],[Capital Debut Period]]*Output[[#This Row],[Tx_interet_M]]</f>
        <v>1256.5947053233645</v>
      </c>
      <c r="O276" s="15">
        <f>Output[[#This Row],[Mensualité initial]]-Output[[#This Row],[Interet]]</f>
        <v>2443.4052946766355</v>
      </c>
      <c r="P276" s="15">
        <f>Output[[#This Row],[Capital Debut Period]]-Output[[#This Row],[Paiement Principal]]</f>
        <v>148347.9593441271</v>
      </c>
      <c r="Q276" s="15">
        <f>Output[[#This Row],[Droit Utilisation]]/Output[[#This Row],[Duree_Mois]]</f>
        <v>2653.2817765457698</v>
      </c>
    </row>
    <row r="277" spans="1:17" x14ac:dyDescent="0.25">
      <c r="A277" s="11" t="s">
        <v>5</v>
      </c>
      <c r="B277" s="12">
        <v>44743</v>
      </c>
      <c r="C277">
        <v>3700</v>
      </c>
      <c r="D277">
        <v>7</v>
      </c>
      <c r="E277">
        <v>0.1</v>
      </c>
      <c r="F277">
        <v>84</v>
      </c>
      <c r="G277" s="13">
        <v>45838</v>
      </c>
      <c r="H277">
        <v>276</v>
      </c>
      <c r="I277">
        <v>36</v>
      </c>
      <c r="J277">
        <v>8.3333333333333332E-3</v>
      </c>
      <c r="K277" s="14">
        <v>2744.4369027858152</v>
      </c>
      <c r="L277" s="14">
        <v>222875.66922984467</v>
      </c>
      <c r="M277" s="36">
        <f>IF(Output[[#This Row],[Index]]=1,Output[[#This Row],[Droit Utilisation]],P276)</f>
        <v>148347.9593441271</v>
      </c>
      <c r="N277" s="15">
        <f>Output[[#This Row],[Capital Debut Period]]*Output[[#This Row],[Tx_interet_M]]</f>
        <v>1236.2329945343924</v>
      </c>
      <c r="O277" s="15">
        <f>Output[[#This Row],[Mensualité initial]]-Output[[#This Row],[Interet]]</f>
        <v>2463.7670054656073</v>
      </c>
      <c r="P277" s="15">
        <f>Output[[#This Row],[Capital Debut Period]]-Output[[#This Row],[Paiement Principal]]</f>
        <v>145884.19233866149</v>
      </c>
      <c r="Q277" s="15">
        <f>Output[[#This Row],[Droit Utilisation]]/Output[[#This Row],[Duree_Mois]]</f>
        <v>2653.2817765457698</v>
      </c>
    </row>
    <row r="278" spans="1:17" x14ac:dyDescent="0.25">
      <c r="A278" s="11" t="s">
        <v>5</v>
      </c>
      <c r="B278" s="12">
        <v>44743</v>
      </c>
      <c r="C278">
        <v>3700</v>
      </c>
      <c r="D278">
        <v>7</v>
      </c>
      <c r="E278">
        <v>0.1</v>
      </c>
      <c r="F278">
        <v>84</v>
      </c>
      <c r="G278" s="13">
        <v>45869</v>
      </c>
      <c r="H278">
        <v>277</v>
      </c>
      <c r="I278">
        <v>37</v>
      </c>
      <c r="J278">
        <v>8.3333333333333332E-3</v>
      </c>
      <c r="K278" s="14">
        <v>2721.7556060685765</v>
      </c>
      <c r="L278" s="14">
        <v>222875.66922984467</v>
      </c>
      <c r="M278" s="36">
        <f>IF(Output[[#This Row],[Index]]=1,Output[[#This Row],[Droit Utilisation]],P277)</f>
        <v>145884.19233866149</v>
      </c>
      <c r="N278" s="15">
        <f>Output[[#This Row],[Capital Debut Period]]*Output[[#This Row],[Tx_interet_M]]</f>
        <v>1215.7016028221792</v>
      </c>
      <c r="O278" s="15">
        <f>Output[[#This Row],[Mensualité initial]]-Output[[#This Row],[Interet]]</f>
        <v>2484.2983971778208</v>
      </c>
      <c r="P278" s="15">
        <f>Output[[#This Row],[Capital Debut Period]]-Output[[#This Row],[Paiement Principal]]</f>
        <v>143399.89394148366</v>
      </c>
      <c r="Q278" s="15">
        <f>Output[[#This Row],[Droit Utilisation]]/Output[[#This Row],[Duree_Mois]]</f>
        <v>2653.2817765457698</v>
      </c>
    </row>
    <row r="279" spans="1:17" x14ac:dyDescent="0.25">
      <c r="A279" s="11" t="s">
        <v>5</v>
      </c>
      <c r="B279" s="12">
        <v>44743</v>
      </c>
      <c r="C279">
        <v>3700</v>
      </c>
      <c r="D279">
        <v>7</v>
      </c>
      <c r="E279">
        <v>0.1</v>
      </c>
      <c r="F279">
        <v>84</v>
      </c>
      <c r="G279" s="13">
        <v>45900</v>
      </c>
      <c r="H279">
        <v>278</v>
      </c>
      <c r="I279">
        <v>38</v>
      </c>
      <c r="J279">
        <v>8.3333333333333332E-3</v>
      </c>
      <c r="K279" s="14">
        <v>2699.261758084539</v>
      </c>
      <c r="L279" s="14">
        <v>222875.66922984467</v>
      </c>
      <c r="M279" s="36">
        <f>IF(Output[[#This Row],[Index]]=1,Output[[#This Row],[Droit Utilisation]],P278)</f>
        <v>143399.89394148366</v>
      </c>
      <c r="N279" s="15">
        <f>Output[[#This Row],[Capital Debut Period]]*Output[[#This Row],[Tx_interet_M]]</f>
        <v>1194.9991161790306</v>
      </c>
      <c r="O279" s="15">
        <f>Output[[#This Row],[Mensualité initial]]-Output[[#This Row],[Interet]]</f>
        <v>2505.0008838209696</v>
      </c>
      <c r="P279" s="15">
        <f>Output[[#This Row],[Capital Debut Period]]-Output[[#This Row],[Paiement Principal]]</f>
        <v>140894.8930576627</v>
      </c>
      <c r="Q279" s="15">
        <f>Output[[#This Row],[Droit Utilisation]]/Output[[#This Row],[Duree_Mois]]</f>
        <v>2653.2817765457698</v>
      </c>
    </row>
    <row r="280" spans="1:17" x14ac:dyDescent="0.25">
      <c r="A280" s="11" t="s">
        <v>5</v>
      </c>
      <c r="B280" s="12">
        <v>44743</v>
      </c>
      <c r="C280">
        <v>3700</v>
      </c>
      <c r="D280">
        <v>7</v>
      </c>
      <c r="E280">
        <v>0.1</v>
      </c>
      <c r="F280">
        <v>84</v>
      </c>
      <c r="G280" s="13">
        <v>45930</v>
      </c>
      <c r="H280">
        <v>279</v>
      </c>
      <c r="I280">
        <v>39</v>
      </c>
      <c r="J280">
        <v>8.3333333333333332E-3</v>
      </c>
      <c r="K280" s="14">
        <v>2676.9538096706174</v>
      </c>
      <c r="L280" s="14">
        <v>222875.66922984467</v>
      </c>
      <c r="M280" s="36">
        <f>IF(Output[[#This Row],[Index]]=1,Output[[#This Row],[Droit Utilisation]],P279)</f>
        <v>140894.8930576627</v>
      </c>
      <c r="N280" s="15">
        <f>Output[[#This Row],[Capital Debut Period]]*Output[[#This Row],[Tx_interet_M]]</f>
        <v>1174.1241088138559</v>
      </c>
      <c r="O280" s="15">
        <f>Output[[#This Row],[Mensualité initial]]-Output[[#This Row],[Interet]]</f>
        <v>2525.8758911861441</v>
      </c>
      <c r="P280" s="15">
        <f>Output[[#This Row],[Capital Debut Period]]-Output[[#This Row],[Paiement Principal]]</f>
        <v>138369.01716647655</v>
      </c>
      <c r="Q280" s="15">
        <f>Output[[#This Row],[Droit Utilisation]]/Output[[#This Row],[Duree_Mois]]</f>
        <v>2653.2817765457698</v>
      </c>
    </row>
    <row r="281" spans="1:17" x14ac:dyDescent="0.25">
      <c r="A281" s="11" t="s">
        <v>5</v>
      </c>
      <c r="B281" s="12">
        <v>44743</v>
      </c>
      <c r="C281">
        <v>3700</v>
      </c>
      <c r="D281">
        <v>7</v>
      </c>
      <c r="E281">
        <v>0.1</v>
      </c>
      <c r="F281">
        <v>84</v>
      </c>
      <c r="G281" s="13">
        <v>45961</v>
      </c>
      <c r="H281">
        <v>280</v>
      </c>
      <c r="I281">
        <v>40</v>
      </c>
      <c r="J281">
        <v>8.3333333333333332E-3</v>
      </c>
      <c r="K281" s="14">
        <v>2654.8302244667279</v>
      </c>
      <c r="L281" s="14">
        <v>222875.66922984467</v>
      </c>
      <c r="M281" s="36">
        <f>IF(Output[[#This Row],[Index]]=1,Output[[#This Row],[Droit Utilisation]],P280)</f>
        <v>138369.01716647655</v>
      </c>
      <c r="N281" s="15">
        <f>Output[[#This Row],[Capital Debut Period]]*Output[[#This Row],[Tx_interet_M]]</f>
        <v>1153.0751430539713</v>
      </c>
      <c r="O281" s="15">
        <f>Output[[#This Row],[Mensualité initial]]-Output[[#This Row],[Interet]]</f>
        <v>2546.9248569460287</v>
      </c>
      <c r="P281" s="15">
        <f>Output[[#This Row],[Capital Debut Period]]-Output[[#This Row],[Paiement Principal]]</f>
        <v>135822.09230953053</v>
      </c>
      <c r="Q281" s="15">
        <f>Output[[#This Row],[Droit Utilisation]]/Output[[#This Row],[Duree_Mois]]</f>
        <v>2653.2817765457698</v>
      </c>
    </row>
    <row r="282" spans="1:17" x14ac:dyDescent="0.25">
      <c r="A282" s="11" t="s">
        <v>5</v>
      </c>
      <c r="B282" s="12">
        <v>44743</v>
      </c>
      <c r="C282">
        <v>3700</v>
      </c>
      <c r="D282">
        <v>7</v>
      </c>
      <c r="E282">
        <v>0.1</v>
      </c>
      <c r="F282">
        <v>84</v>
      </c>
      <c r="G282" s="13">
        <v>45991</v>
      </c>
      <c r="H282">
        <v>281</v>
      </c>
      <c r="I282">
        <v>41</v>
      </c>
      <c r="J282">
        <v>8.3333333333333332E-3</v>
      </c>
      <c r="K282" s="14">
        <v>2632.8894788099783</v>
      </c>
      <c r="L282" s="14">
        <v>222875.66922984467</v>
      </c>
      <c r="M282" s="36">
        <f>IF(Output[[#This Row],[Index]]=1,Output[[#This Row],[Droit Utilisation]],P281)</f>
        <v>135822.09230953053</v>
      </c>
      <c r="N282" s="15">
        <f>Output[[#This Row],[Capital Debut Period]]*Output[[#This Row],[Tx_interet_M]]</f>
        <v>1131.8507692460878</v>
      </c>
      <c r="O282" s="15">
        <f>Output[[#This Row],[Mensualité initial]]-Output[[#This Row],[Interet]]</f>
        <v>2568.149230753912</v>
      </c>
      <c r="P282" s="15">
        <f>Output[[#This Row],[Capital Debut Period]]-Output[[#This Row],[Paiement Principal]]</f>
        <v>133253.94307877662</v>
      </c>
      <c r="Q282" s="15">
        <f>Output[[#This Row],[Droit Utilisation]]/Output[[#This Row],[Duree_Mois]]</f>
        <v>2653.2817765457698</v>
      </c>
    </row>
    <row r="283" spans="1:17" x14ac:dyDescent="0.25">
      <c r="A283" s="11" t="s">
        <v>5</v>
      </c>
      <c r="B283" s="12">
        <v>44743</v>
      </c>
      <c r="C283">
        <v>3700</v>
      </c>
      <c r="D283">
        <v>7</v>
      </c>
      <c r="E283">
        <v>0.1</v>
      </c>
      <c r="F283">
        <v>84</v>
      </c>
      <c r="G283" s="13">
        <v>46022</v>
      </c>
      <c r="H283">
        <v>282</v>
      </c>
      <c r="I283">
        <v>42</v>
      </c>
      <c r="J283">
        <v>8.3333333333333332E-3</v>
      </c>
      <c r="K283" s="14">
        <v>2611.1300616297308</v>
      </c>
      <c r="L283" s="14">
        <v>222875.66922984467</v>
      </c>
      <c r="M283" s="36">
        <f>IF(Output[[#This Row],[Index]]=1,Output[[#This Row],[Droit Utilisation]],P282)</f>
        <v>133253.94307877662</v>
      </c>
      <c r="N283" s="15">
        <f>Output[[#This Row],[Capital Debut Period]]*Output[[#This Row],[Tx_interet_M]]</f>
        <v>1110.4495256564719</v>
      </c>
      <c r="O283" s="15">
        <f>Output[[#This Row],[Mensualité initial]]-Output[[#This Row],[Interet]]</f>
        <v>2589.5504743435281</v>
      </c>
      <c r="P283" s="15">
        <f>Output[[#This Row],[Capital Debut Period]]-Output[[#This Row],[Paiement Principal]]</f>
        <v>130664.39260443309</v>
      </c>
      <c r="Q283" s="15">
        <f>Output[[#This Row],[Droit Utilisation]]/Output[[#This Row],[Duree_Mois]]</f>
        <v>2653.2817765457698</v>
      </c>
    </row>
    <row r="284" spans="1:17" x14ac:dyDescent="0.25">
      <c r="A284" s="11" t="s">
        <v>5</v>
      </c>
      <c r="B284" s="12">
        <v>44743</v>
      </c>
      <c r="C284">
        <v>3700</v>
      </c>
      <c r="D284">
        <v>7</v>
      </c>
      <c r="E284">
        <v>0.1</v>
      </c>
      <c r="F284">
        <v>84</v>
      </c>
      <c r="G284" s="13">
        <v>46053</v>
      </c>
      <c r="H284">
        <v>283</v>
      </c>
      <c r="I284">
        <v>43</v>
      </c>
      <c r="J284">
        <v>8.3333333333333332E-3</v>
      </c>
      <c r="K284" s="14">
        <v>2589.5504743435349</v>
      </c>
      <c r="L284" s="14">
        <v>222875.66922984467</v>
      </c>
      <c r="M284" s="36">
        <f>IF(Output[[#This Row],[Index]]=1,Output[[#This Row],[Droit Utilisation]],P283)</f>
        <v>130664.39260443309</v>
      </c>
      <c r="N284" s="15">
        <f>Output[[#This Row],[Capital Debut Period]]*Output[[#This Row],[Tx_interet_M]]</f>
        <v>1088.8699383702758</v>
      </c>
      <c r="O284" s="15">
        <f>Output[[#This Row],[Mensualité initial]]-Output[[#This Row],[Interet]]</f>
        <v>2611.130061629724</v>
      </c>
      <c r="P284" s="15">
        <f>Output[[#This Row],[Capital Debut Period]]-Output[[#This Row],[Paiement Principal]]</f>
        <v>128053.26254280336</v>
      </c>
      <c r="Q284" s="15">
        <f>Output[[#This Row],[Droit Utilisation]]/Output[[#This Row],[Duree_Mois]]</f>
        <v>2653.2817765457698</v>
      </c>
    </row>
    <row r="285" spans="1:17" x14ac:dyDescent="0.25">
      <c r="A285" s="11" t="s">
        <v>5</v>
      </c>
      <c r="B285" s="12">
        <v>44743</v>
      </c>
      <c r="C285">
        <v>3700</v>
      </c>
      <c r="D285">
        <v>7</v>
      </c>
      <c r="E285">
        <v>0.1</v>
      </c>
      <c r="F285">
        <v>84</v>
      </c>
      <c r="G285" s="13">
        <v>46081</v>
      </c>
      <c r="H285">
        <v>284</v>
      </c>
      <c r="I285">
        <v>44</v>
      </c>
      <c r="J285">
        <v>8.3333333333333332E-3</v>
      </c>
      <c r="K285" s="14">
        <v>2568.1492307539183</v>
      </c>
      <c r="L285" s="14">
        <v>222875.66922984467</v>
      </c>
      <c r="M285" s="36">
        <f>IF(Output[[#This Row],[Index]]=1,Output[[#This Row],[Droit Utilisation]],P284)</f>
        <v>128053.26254280336</v>
      </c>
      <c r="N285" s="15">
        <f>Output[[#This Row],[Capital Debut Period]]*Output[[#This Row],[Tx_interet_M]]</f>
        <v>1067.1105211900281</v>
      </c>
      <c r="O285" s="15">
        <f>Output[[#This Row],[Mensualité initial]]-Output[[#This Row],[Interet]]</f>
        <v>2632.8894788099719</v>
      </c>
      <c r="P285" s="15">
        <f>Output[[#This Row],[Capital Debut Period]]-Output[[#This Row],[Paiement Principal]]</f>
        <v>125420.37306399339</v>
      </c>
      <c r="Q285" s="15">
        <f>Output[[#This Row],[Droit Utilisation]]/Output[[#This Row],[Duree_Mois]]</f>
        <v>2653.2817765457698</v>
      </c>
    </row>
    <row r="286" spans="1:17" x14ac:dyDescent="0.25">
      <c r="A286" s="11" t="s">
        <v>5</v>
      </c>
      <c r="B286" s="12">
        <v>44743</v>
      </c>
      <c r="C286">
        <v>3700</v>
      </c>
      <c r="D286">
        <v>7</v>
      </c>
      <c r="E286">
        <v>0.1</v>
      </c>
      <c r="F286">
        <v>84</v>
      </c>
      <c r="G286" s="13">
        <v>46112</v>
      </c>
      <c r="H286">
        <v>285</v>
      </c>
      <c r="I286">
        <v>45</v>
      </c>
      <c r="J286">
        <v>8.3333333333333332E-3</v>
      </c>
      <c r="K286" s="14">
        <v>2546.9248569460351</v>
      </c>
      <c r="L286" s="14">
        <v>222875.66922984467</v>
      </c>
      <c r="M286" s="36">
        <f>IF(Output[[#This Row],[Index]]=1,Output[[#This Row],[Droit Utilisation]],P285)</f>
        <v>125420.37306399339</v>
      </c>
      <c r="N286" s="15">
        <f>Output[[#This Row],[Capital Debut Period]]*Output[[#This Row],[Tx_interet_M]]</f>
        <v>1045.1697755332782</v>
      </c>
      <c r="O286" s="15">
        <f>Output[[#This Row],[Mensualité initial]]-Output[[#This Row],[Interet]]</f>
        <v>2654.830224466722</v>
      </c>
      <c r="P286" s="15">
        <f>Output[[#This Row],[Capital Debut Period]]-Output[[#This Row],[Paiement Principal]]</f>
        <v>122765.54283952666</v>
      </c>
      <c r="Q286" s="15">
        <f>Output[[#This Row],[Droit Utilisation]]/Output[[#This Row],[Duree_Mois]]</f>
        <v>2653.2817765457698</v>
      </c>
    </row>
    <row r="287" spans="1:17" x14ac:dyDescent="0.25">
      <c r="A287" s="11" t="s">
        <v>5</v>
      </c>
      <c r="B287" s="12">
        <v>44743</v>
      </c>
      <c r="C287">
        <v>3700</v>
      </c>
      <c r="D287">
        <v>7</v>
      </c>
      <c r="E287">
        <v>0.1</v>
      </c>
      <c r="F287">
        <v>84</v>
      </c>
      <c r="G287" s="13">
        <v>46142</v>
      </c>
      <c r="H287">
        <v>286</v>
      </c>
      <c r="I287">
        <v>46</v>
      </c>
      <c r="J287">
        <v>8.3333333333333332E-3</v>
      </c>
      <c r="K287" s="14">
        <v>2525.8758911861505</v>
      </c>
      <c r="L287" s="14">
        <v>222875.66922984467</v>
      </c>
      <c r="M287" s="36">
        <f>IF(Output[[#This Row],[Index]]=1,Output[[#This Row],[Droit Utilisation]],P286)</f>
        <v>122765.54283952666</v>
      </c>
      <c r="N287" s="15">
        <f>Output[[#This Row],[Capital Debut Period]]*Output[[#This Row],[Tx_interet_M]]</f>
        <v>1023.0461903293889</v>
      </c>
      <c r="O287" s="15">
        <f>Output[[#This Row],[Mensualité initial]]-Output[[#This Row],[Interet]]</f>
        <v>2676.953809670611</v>
      </c>
      <c r="P287" s="15">
        <f>Output[[#This Row],[Capital Debut Period]]-Output[[#This Row],[Paiement Principal]]</f>
        <v>120088.58902985606</v>
      </c>
      <c r="Q287" s="15">
        <f>Output[[#This Row],[Droit Utilisation]]/Output[[#This Row],[Duree_Mois]]</f>
        <v>2653.2817765457698</v>
      </c>
    </row>
    <row r="288" spans="1:17" x14ac:dyDescent="0.25">
      <c r="A288" s="11" t="s">
        <v>5</v>
      </c>
      <c r="B288" s="12">
        <v>44743</v>
      </c>
      <c r="C288">
        <v>3700</v>
      </c>
      <c r="D288">
        <v>7</v>
      </c>
      <c r="E288">
        <v>0.1</v>
      </c>
      <c r="F288">
        <v>84</v>
      </c>
      <c r="G288" s="13">
        <v>46173</v>
      </c>
      <c r="H288">
        <v>287</v>
      </c>
      <c r="I288">
        <v>47</v>
      </c>
      <c r="J288">
        <v>8.3333333333333332E-3</v>
      </c>
      <c r="K288" s="14">
        <v>2505.0008838209756</v>
      </c>
      <c r="L288" s="14">
        <v>222875.66922984467</v>
      </c>
      <c r="M288" s="36">
        <f>IF(Output[[#This Row],[Index]]=1,Output[[#This Row],[Droit Utilisation]],P287)</f>
        <v>120088.58902985606</v>
      </c>
      <c r="N288" s="15">
        <f>Output[[#This Row],[Capital Debut Period]]*Output[[#This Row],[Tx_interet_M]]</f>
        <v>1000.7382419154671</v>
      </c>
      <c r="O288" s="15">
        <f>Output[[#This Row],[Mensualité initial]]-Output[[#This Row],[Interet]]</f>
        <v>2699.2617580845326</v>
      </c>
      <c r="P288" s="15">
        <f>Output[[#This Row],[Capital Debut Period]]-Output[[#This Row],[Paiement Principal]]</f>
        <v>117389.32727177153</v>
      </c>
      <c r="Q288" s="15">
        <f>Output[[#This Row],[Droit Utilisation]]/Output[[#This Row],[Duree_Mois]]</f>
        <v>2653.2817765457698</v>
      </c>
    </row>
    <row r="289" spans="1:17" x14ac:dyDescent="0.25">
      <c r="A289" s="11" t="s">
        <v>5</v>
      </c>
      <c r="B289" s="12">
        <v>44743</v>
      </c>
      <c r="C289">
        <v>3700</v>
      </c>
      <c r="D289">
        <v>7</v>
      </c>
      <c r="E289">
        <v>0.1</v>
      </c>
      <c r="F289">
        <v>84</v>
      </c>
      <c r="G289" s="13">
        <v>46203</v>
      </c>
      <c r="H289">
        <v>288</v>
      </c>
      <c r="I289">
        <v>48</v>
      </c>
      <c r="J289">
        <v>8.3333333333333332E-3</v>
      </c>
      <c r="K289" s="14">
        <v>2484.2983971778272</v>
      </c>
      <c r="L289" s="14">
        <v>222875.66922984467</v>
      </c>
      <c r="M289" s="36">
        <f>IF(Output[[#This Row],[Index]]=1,Output[[#This Row],[Droit Utilisation]],P288)</f>
        <v>117389.32727177153</v>
      </c>
      <c r="N289" s="15">
        <f>Output[[#This Row],[Capital Debut Period]]*Output[[#This Row],[Tx_interet_M]]</f>
        <v>978.24439393142939</v>
      </c>
      <c r="O289" s="15">
        <f>Output[[#This Row],[Mensualité initial]]-Output[[#This Row],[Interet]]</f>
        <v>2721.7556060685706</v>
      </c>
      <c r="P289" s="15">
        <f>Output[[#This Row],[Capital Debut Period]]-Output[[#This Row],[Paiement Principal]]</f>
        <v>114667.57166570296</v>
      </c>
      <c r="Q289" s="15">
        <f>Output[[#This Row],[Droit Utilisation]]/Output[[#This Row],[Duree_Mois]]</f>
        <v>2653.2817765457698</v>
      </c>
    </row>
    <row r="290" spans="1:17" x14ac:dyDescent="0.25">
      <c r="A290" s="11" t="s">
        <v>5</v>
      </c>
      <c r="B290" s="12">
        <v>44743</v>
      </c>
      <c r="C290">
        <v>3700</v>
      </c>
      <c r="D290">
        <v>7</v>
      </c>
      <c r="E290">
        <v>0.1</v>
      </c>
      <c r="F290">
        <v>84</v>
      </c>
      <c r="G290" s="13">
        <v>46234</v>
      </c>
      <c r="H290">
        <v>289</v>
      </c>
      <c r="I290">
        <v>49</v>
      </c>
      <c r="J290">
        <v>8.3333333333333332E-3</v>
      </c>
      <c r="K290" s="14">
        <v>2463.7670054656141</v>
      </c>
      <c r="L290" s="14">
        <v>222875.66922984467</v>
      </c>
      <c r="M290" s="36">
        <f>IF(Output[[#This Row],[Index]]=1,Output[[#This Row],[Droit Utilisation]],P289)</f>
        <v>114667.57166570296</v>
      </c>
      <c r="N290" s="15">
        <f>Output[[#This Row],[Capital Debut Period]]*Output[[#This Row],[Tx_interet_M]]</f>
        <v>955.56309721419132</v>
      </c>
      <c r="O290" s="15">
        <f>Output[[#This Row],[Mensualité initial]]-Output[[#This Row],[Interet]]</f>
        <v>2744.4369027858088</v>
      </c>
      <c r="P290" s="15">
        <f>Output[[#This Row],[Capital Debut Period]]-Output[[#This Row],[Paiement Principal]]</f>
        <v>111923.13476291715</v>
      </c>
      <c r="Q290" s="15">
        <f>Output[[#This Row],[Droit Utilisation]]/Output[[#This Row],[Duree_Mois]]</f>
        <v>2653.2817765457698</v>
      </c>
    </row>
    <row r="291" spans="1:17" x14ac:dyDescent="0.25">
      <c r="A291" s="11" t="s">
        <v>5</v>
      </c>
      <c r="B291" s="12">
        <v>44743</v>
      </c>
      <c r="C291">
        <v>3700</v>
      </c>
      <c r="D291">
        <v>7</v>
      </c>
      <c r="E291">
        <v>0.1</v>
      </c>
      <c r="F291">
        <v>84</v>
      </c>
      <c r="G291" s="13">
        <v>46265</v>
      </c>
      <c r="H291">
        <v>290</v>
      </c>
      <c r="I291">
        <v>50</v>
      </c>
      <c r="J291">
        <v>8.3333333333333332E-3</v>
      </c>
      <c r="K291" s="14">
        <v>2443.4052946766419</v>
      </c>
      <c r="L291" s="14">
        <v>222875.66922984467</v>
      </c>
      <c r="M291" s="36">
        <f>IF(Output[[#This Row],[Index]]=1,Output[[#This Row],[Droit Utilisation]],P290)</f>
        <v>111923.13476291715</v>
      </c>
      <c r="N291" s="15">
        <f>Output[[#This Row],[Capital Debut Period]]*Output[[#This Row],[Tx_interet_M]]</f>
        <v>932.69278969097627</v>
      </c>
      <c r="O291" s="15">
        <f>Output[[#This Row],[Mensualité initial]]-Output[[#This Row],[Interet]]</f>
        <v>2767.3072103090235</v>
      </c>
      <c r="P291" s="15">
        <f>Output[[#This Row],[Capital Debut Period]]-Output[[#This Row],[Paiement Principal]]</f>
        <v>109155.82755260813</v>
      </c>
      <c r="Q291" s="15">
        <f>Output[[#This Row],[Droit Utilisation]]/Output[[#This Row],[Duree_Mois]]</f>
        <v>2653.2817765457698</v>
      </c>
    </row>
    <row r="292" spans="1:17" x14ac:dyDescent="0.25">
      <c r="A292" s="11" t="s">
        <v>5</v>
      </c>
      <c r="B292" s="12">
        <v>44743</v>
      </c>
      <c r="C292">
        <v>3700</v>
      </c>
      <c r="D292">
        <v>7</v>
      </c>
      <c r="E292">
        <v>0.1</v>
      </c>
      <c r="F292">
        <v>84</v>
      </c>
      <c r="G292" s="13">
        <v>46295</v>
      </c>
      <c r="H292">
        <v>291</v>
      </c>
      <c r="I292">
        <v>51</v>
      </c>
      <c r="J292">
        <v>8.3333333333333332E-3</v>
      </c>
      <c r="K292" s="14">
        <v>2423.2118624892319</v>
      </c>
      <c r="L292" s="14">
        <v>222875.66922984467</v>
      </c>
      <c r="M292" s="36">
        <f>IF(Output[[#This Row],[Index]]=1,Output[[#This Row],[Droit Utilisation]],P291)</f>
        <v>109155.82755260813</v>
      </c>
      <c r="N292" s="15">
        <f>Output[[#This Row],[Capital Debut Period]]*Output[[#This Row],[Tx_interet_M]]</f>
        <v>909.63189627173438</v>
      </c>
      <c r="O292" s="15">
        <f>Output[[#This Row],[Mensualité initial]]-Output[[#This Row],[Interet]]</f>
        <v>2790.3681037282659</v>
      </c>
      <c r="P292" s="15">
        <f>Output[[#This Row],[Capital Debut Period]]-Output[[#This Row],[Paiement Principal]]</f>
        <v>106365.45944887986</v>
      </c>
      <c r="Q292" s="15">
        <f>Output[[#This Row],[Droit Utilisation]]/Output[[#This Row],[Duree_Mois]]</f>
        <v>2653.2817765457698</v>
      </c>
    </row>
    <row r="293" spans="1:17" x14ac:dyDescent="0.25">
      <c r="A293" s="11" t="s">
        <v>5</v>
      </c>
      <c r="B293" s="12">
        <v>44743</v>
      </c>
      <c r="C293">
        <v>3700</v>
      </c>
      <c r="D293">
        <v>7</v>
      </c>
      <c r="E293">
        <v>0.1</v>
      </c>
      <c r="F293">
        <v>84</v>
      </c>
      <c r="G293" s="13">
        <v>46326</v>
      </c>
      <c r="H293">
        <v>292</v>
      </c>
      <c r="I293">
        <v>52</v>
      </c>
      <c r="J293">
        <v>8.3333333333333332E-3</v>
      </c>
      <c r="K293" s="14">
        <v>2403.185318171139</v>
      </c>
      <c r="L293" s="14">
        <v>222875.66922984467</v>
      </c>
      <c r="M293" s="36">
        <f>IF(Output[[#This Row],[Index]]=1,Output[[#This Row],[Droit Utilisation]],P292)</f>
        <v>106365.45944887986</v>
      </c>
      <c r="N293" s="15">
        <f>Output[[#This Row],[Capital Debut Period]]*Output[[#This Row],[Tx_interet_M]]</f>
        <v>886.37882874066554</v>
      </c>
      <c r="O293" s="15">
        <f>Output[[#This Row],[Mensualité initial]]-Output[[#This Row],[Interet]]</f>
        <v>2813.6211712593345</v>
      </c>
      <c r="P293" s="15">
        <f>Output[[#This Row],[Capital Debut Period]]-Output[[#This Row],[Paiement Principal]]</f>
        <v>103551.83827762053</v>
      </c>
      <c r="Q293" s="15">
        <f>Output[[#This Row],[Droit Utilisation]]/Output[[#This Row],[Duree_Mois]]</f>
        <v>2653.2817765457698</v>
      </c>
    </row>
    <row r="294" spans="1:17" x14ac:dyDescent="0.25">
      <c r="A294" s="11" t="s">
        <v>5</v>
      </c>
      <c r="B294" s="12">
        <v>44743</v>
      </c>
      <c r="C294">
        <v>3700</v>
      </c>
      <c r="D294">
        <v>7</v>
      </c>
      <c r="E294">
        <v>0.1</v>
      </c>
      <c r="F294">
        <v>84</v>
      </c>
      <c r="G294" s="13">
        <v>46356</v>
      </c>
      <c r="H294">
        <v>293</v>
      </c>
      <c r="I294">
        <v>53</v>
      </c>
      <c r="J294">
        <v>8.3333333333333332E-3</v>
      </c>
      <c r="K294" s="14">
        <v>2383.3242824837744</v>
      </c>
      <c r="L294" s="14">
        <v>222875.66922984467</v>
      </c>
      <c r="M294" s="36">
        <f>IF(Output[[#This Row],[Index]]=1,Output[[#This Row],[Droit Utilisation]],P293)</f>
        <v>103551.83827762053</v>
      </c>
      <c r="N294" s="15">
        <f>Output[[#This Row],[Capital Debut Period]]*Output[[#This Row],[Tx_interet_M]]</f>
        <v>862.93198564683769</v>
      </c>
      <c r="O294" s="15">
        <f>Output[[#This Row],[Mensualité initial]]-Output[[#This Row],[Interet]]</f>
        <v>2837.0680143531622</v>
      </c>
      <c r="P294" s="15">
        <f>Output[[#This Row],[Capital Debut Period]]-Output[[#This Row],[Paiement Principal]]</f>
        <v>100714.77026326736</v>
      </c>
      <c r="Q294" s="15">
        <f>Output[[#This Row],[Droit Utilisation]]/Output[[#This Row],[Duree_Mois]]</f>
        <v>2653.2817765457698</v>
      </c>
    </row>
    <row r="295" spans="1:17" x14ac:dyDescent="0.25">
      <c r="A295" s="11" t="s">
        <v>5</v>
      </c>
      <c r="B295" s="12">
        <v>44743</v>
      </c>
      <c r="C295">
        <v>3700</v>
      </c>
      <c r="D295">
        <v>7</v>
      </c>
      <c r="E295">
        <v>0.1</v>
      </c>
      <c r="F295">
        <v>84</v>
      </c>
      <c r="G295" s="13">
        <v>46387</v>
      </c>
      <c r="H295">
        <v>294</v>
      </c>
      <c r="I295">
        <v>54</v>
      </c>
      <c r="J295">
        <v>8.3333333333333332E-3</v>
      </c>
      <c r="K295" s="14">
        <v>2363.6273875872143</v>
      </c>
      <c r="L295" s="14">
        <v>222875.66922984467</v>
      </c>
      <c r="M295" s="36">
        <f>IF(Output[[#This Row],[Index]]=1,Output[[#This Row],[Droit Utilisation]],P294)</f>
        <v>100714.77026326736</v>
      </c>
      <c r="N295" s="15">
        <f>Output[[#This Row],[Capital Debut Period]]*Output[[#This Row],[Tx_interet_M]]</f>
        <v>839.28975219389463</v>
      </c>
      <c r="O295" s="15">
        <f>Output[[#This Row],[Mensualité initial]]-Output[[#This Row],[Interet]]</f>
        <v>2860.7102478061051</v>
      </c>
      <c r="P295" s="15">
        <f>Output[[#This Row],[Capital Debut Period]]-Output[[#This Row],[Paiement Principal]]</f>
        <v>97854.060015461262</v>
      </c>
      <c r="Q295" s="15">
        <f>Output[[#This Row],[Droit Utilisation]]/Output[[#This Row],[Duree_Mois]]</f>
        <v>2653.2817765457698</v>
      </c>
    </row>
    <row r="296" spans="1:17" x14ac:dyDescent="0.25">
      <c r="A296" s="11" t="s">
        <v>5</v>
      </c>
      <c r="B296" s="12">
        <v>44743</v>
      </c>
      <c r="C296">
        <v>3700</v>
      </c>
      <c r="D296">
        <v>7</v>
      </c>
      <c r="E296">
        <v>0.1</v>
      </c>
      <c r="F296">
        <v>84</v>
      </c>
      <c r="G296" s="13">
        <v>46418</v>
      </c>
      <c r="H296">
        <v>295</v>
      </c>
      <c r="I296">
        <v>55</v>
      </c>
      <c r="J296">
        <v>8.3333333333333332E-3</v>
      </c>
      <c r="K296" s="14">
        <v>2344.0932769459978</v>
      </c>
      <c r="L296" s="14">
        <v>222875.66922984467</v>
      </c>
      <c r="M296" s="36">
        <f>IF(Output[[#This Row],[Index]]=1,Output[[#This Row],[Droit Utilisation]],P295)</f>
        <v>97854.060015461262</v>
      </c>
      <c r="N296" s="15">
        <f>Output[[#This Row],[Capital Debut Period]]*Output[[#This Row],[Tx_interet_M]]</f>
        <v>815.45050012884383</v>
      </c>
      <c r="O296" s="15">
        <f>Output[[#This Row],[Mensualité initial]]-Output[[#This Row],[Interet]]</f>
        <v>2884.5494998711561</v>
      </c>
      <c r="P296" s="15">
        <f>Output[[#This Row],[Capital Debut Period]]-Output[[#This Row],[Paiement Principal]]</f>
        <v>94969.510515590111</v>
      </c>
      <c r="Q296" s="15">
        <f>Output[[#This Row],[Droit Utilisation]]/Output[[#This Row],[Duree_Mois]]</f>
        <v>2653.2817765457698</v>
      </c>
    </row>
    <row r="297" spans="1:17" x14ac:dyDescent="0.25">
      <c r="A297" s="11" t="s">
        <v>5</v>
      </c>
      <c r="B297" s="12">
        <v>44743</v>
      </c>
      <c r="C297">
        <v>3700</v>
      </c>
      <c r="D297">
        <v>7</v>
      </c>
      <c r="E297">
        <v>0.1</v>
      </c>
      <c r="F297">
        <v>84</v>
      </c>
      <c r="G297" s="13">
        <v>46446</v>
      </c>
      <c r="H297">
        <v>296</v>
      </c>
      <c r="I297">
        <v>56</v>
      </c>
      <c r="J297">
        <v>8.3333333333333332E-3</v>
      </c>
      <c r="K297" s="14">
        <v>2324.7206052357005</v>
      </c>
      <c r="L297" s="14">
        <v>222875.66922984467</v>
      </c>
      <c r="M297" s="36">
        <f>IF(Output[[#This Row],[Index]]=1,Output[[#This Row],[Droit Utilisation]],P296)</f>
        <v>94969.510515590111</v>
      </c>
      <c r="N297" s="15">
        <f>Output[[#This Row],[Capital Debut Period]]*Output[[#This Row],[Tx_interet_M]]</f>
        <v>791.41258762991754</v>
      </c>
      <c r="O297" s="15">
        <f>Output[[#This Row],[Mensualité initial]]-Output[[#This Row],[Interet]]</f>
        <v>2908.5874123700823</v>
      </c>
      <c r="P297" s="15">
        <f>Output[[#This Row],[Capital Debut Period]]-Output[[#This Row],[Paiement Principal]]</f>
        <v>92060.923103220033</v>
      </c>
      <c r="Q297" s="15">
        <f>Output[[#This Row],[Droit Utilisation]]/Output[[#This Row],[Duree_Mois]]</f>
        <v>2653.2817765457698</v>
      </c>
    </row>
    <row r="298" spans="1:17" x14ac:dyDescent="0.25">
      <c r="A298" s="11" t="s">
        <v>5</v>
      </c>
      <c r="B298" s="12">
        <v>44743</v>
      </c>
      <c r="C298">
        <v>3700</v>
      </c>
      <c r="D298">
        <v>7</v>
      </c>
      <c r="E298">
        <v>0.1</v>
      </c>
      <c r="F298">
        <v>84</v>
      </c>
      <c r="G298" s="13">
        <v>46477</v>
      </c>
      <c r="H298">
        <v>297</v>
      </c>
      <c r="I298">
        <v>57</v>
      </c>
      <c r="J298">
        <v>8.3333333333333332E-3</v>
      </c>
      <c r="K298" s="14">
        <v>2305.5080382502815</v>
      </c>
      <c r="L298" s="14">
        <v>222875.66922984467</v>
      </c>
      <c r="M298" s="36">
        <f>IF(Output[[#This Row],[Index]]=1,Output[[#This Row],[Droit Utilisation]],P297)</f>
        <v>92060.923103220033</v>
      </c>
      <c r="N298" s="15">
        <f>Output[[#This Row],[Capital Debut Period]]*Output[[#This Row],[Tx_interet_M]]</f>
        <v>767.17435919350032</v>
      </c>
      <c r="O298" s="15">
        <f>Output[[#This Row],[Mensualité initial]]-Output[[#This Row],[Interet]]</f>
        <v>2932.8256408064999</v>
      </c>
      <c r="P298" s="15">
        <f>Output[[#This Row],[Capital Debut Period]]-Output[[#This Row],[Paiement Principal]]</f>
        <v>89128.097462413527</v>
      </c>
      <c r="Q298" s="15">
        <f>Output[[#This Row],[Droit Utilisation]]/Output[[#This Row],[Duree_Mois]]</f>
        <v>2653.2817765457698</v>
      </c>
    </row>
    <row r="299" spans="1:17" x14ac:dyDescent="0.25">
      <c r="A299" s="11" t="s">
        <v>5</v>
      </c>
      <c r="B299" s="12">
        <v>44743</v>
      </c>
      <c r="C299">
        <v>3700</v>
      </c>
      <c r="D299">
        <v>7</v>
      </c>
      <c r="E299">
        <v>0.1</v>
      </c>
      <c r="F299">
        <v>84</v>
      </c>
      <c r="G299" s="13">
        <v>46507</v>
      </c>
      <c r="H299">
        <v>298</v>
      </c>
      <c r="I299">
        <v>58</v>
      </c>
      <c r="J299">
        <v>8.3333333333333332E-3</v>
      </c>
      <c r="K299" s="14">
        <v>2286.4542528101965</v>
      </c>
      <c r="L299" s="14">
        <v>222875.66922984467</v>
      </c>
      <c r="M299" s="36">
        <f>IF(Output[[#This Row],[Index]]=1,Output[[#This Row],[Droit Utilisation]],P298)</f>
        <v>89128.097462413527</v>
      </c>
      <c r="N299" s="15">
        <f>Output[[#This Row],[Capital Debut Period]]*Output[[#This Row],[Tx_interet_M]]</f>
        <v>742.73414552011275</v>
      </c>
      <c r="O299" s="15">
        <f>Output[[#This Row],[Mensualité initial]]-Output[[#This Row],[Interet]]</f>
        <v>2957.2658544798874</v>
      </c>
      <c r="P299" s="15">
        <f>Output[[#This Row],[Capital Debut Period]]-Output[[#This Row],[Paiement Principal]]</f>
        <v>86170.831607933636</v>
      </c>
      <c r="Q299" s="15">
        <f>Output[[#This Row],[Droit Utilisation]]/Output[[#This Row],[Duree_Mois]]</f>
        <v>2653.2817765457698</v>
      </c>
    </row>
    <row r="300" spans="1:17" x14ac:dyDescent="0.25">
      <c r="A300" s="11" t="s">
        <v>5</v>
      </c>
      <c r="B300" s="12">
        <v>44743</v>
      </c>
      <c r="C300">
        <v>3700</v>
      </c>
      <c r="D300">
        <v>7</v>
      </c>
      <c r="E300">
        <v>0.1</v>
      </c>
      <c r="F300">
        <v>84</v>
      </c>
      <c r="G300" s="13">
        <v>46538</v>
      </c>
      <c r="H300">
        <v>299</v>
      </c>
      <c r="I300">
        <v>59</v>
      </c>
      <c r="J300">
        <v>8.3333333333333332E-3</v>
      </c>
      <c r="K300" s="14">
        <v>2267.5579366712691</v>
      </c>
      <c r="L300" s="14">
        <v>222875.66922984467</v>
      </c>
      <c r="M300" s="36">
        <f>IF(Output[[#This Row],[Index]]=1,Output[[#This Row],[Droit Utilisation]],P299)</f>
        <v>86170.831607933636</v>
      </c>
      <c r="N300" s="15">
        <f>Output[[#This Row],[Capital Debut Period]]*Output[[#This Row],[Tx_interet_M]]</f>
        <v>718.09026339944694</v>
      </c>
      <c r="O300" s="15">
        <f>Output[[#This Row],[Mensualité initial]]-Output[[#This Row],[Interet]]</f>
        <v>2981.9097366005531</v>
      </c>
      <c r="P300" s="15">
        <f>Output[[#This Row],[Capital Debut Period]]-Output[[#This Row],[Paiement Principal]]</f>
        <v>83188.921871333077</v>
      </c>
      <c r="Q300" s="15">
        <f>Output[[#This Row],[Droit Utilisation]]/Output[[#This Row],[Duree_Mois]]</f>
        <v>2653.2817765457698</v>
      </c>
    </row>
    <row r="301" spans="1:17" x14ac:dyDescent="0.25">
      <c r="A301" s="11" t="s">
        <v>5</v>
      </c>
      <c r="B301" s="12">
        <v>44743</v>
      </c>
      <c r="C301">
        <v>3700</v>
      </c>
      <c r="D301">
        <v>7</v>
      </c>
      <c r="E301">
        <v>0.1</v>
      </c>
      <c r="F301">
        <v>84</v>
      </c>
      <c r="G301" s="13">
        <v>46568</v>
      </c>
      <c r="H301">
        <v>300</v>
      </c>
      <c r="I301">
        <v>60</v>
      </c>
      <c r="J301">
        <v>8.3333333333333332E-3</v>
      </c>
      <c r="K301" s="14">
        <v>2248.8177884343168</v>
      </c>
      <c r="L301" s="14">
        <v>222875.66922984467</v>
      </c>
      <c r="M301" s="36">
        <f>IF(Output[[#This Row],[Index]]=1,Output[[#This Row],[Droit Utilisation]],P300)</f>
        <v>83188.921871333077</v>
      </c>
      <c r="N301" s="15">
        <f>Output[[#This Row],[Capital Debut Period]]*Output[[#This Row],[Tx_interet_M]]</f>
        <v>693.24101559444227</v>
      </c>
      <c r="O301" s="15">
        <f>Output[[#This Row],[Mensualité initial]]-Output[[#This Row],[Interet]]</f>
        <v>3006.7589844055578</v>
      </c>
      <c r="P301" s="15">
        <f>Output[[#This Row],[Capital Debut Period]]-Output[[#This Row],[Paiement Principal]]</f>
        <v>80182.162886927516</v>
      </c>
      <c r="Q301" s="15">
        <f>Output[[#This Row],[Droit Utilisation]]/Output[[#This Row],[Duree_Mois]]</f>
        <v>2653.2817765457698</v>
      </c>
    </row>
    <row r="302" spans="1:17" x14ac:dyDescent="0.25">
      <c r="A302" s="11" t="s">
        <v>5</v>
      </c>
      <c r="B302" s="12">
        <v>44743</v>
      </c>
      <c r="C302">
        <v>3700</v>
      </c>
      <c r="D302">
        <v>7</v>
      </c>
      <c r="E302">
        <v>0.1</v>
      </c>
      <c r="F302">
        <v>84</v>
      </c>
      <c r="G302" s="13">
        <v>46599</v>
      </c>
      <c r="H302">
        <v>301</v>
      </c>
      <c r="I302">
        <v>61</v>
      </c>
      <c r="J302">
        <v>8.3333333333333332E-3</v>
      </c>
      <c r="K302" s="14">
        <v>2230.2325174555208</v>
      </c>
      <c r="L302" s="14">
        <v>222875.66922984467</v>
      </c>
      <c r="M302" s="36">
        <f>IF(Output[[#This Row],[Index]]=1,Output[[#This Row],[Droit Utilisation]],P301)</f>
        <v>80182.162886927516</v>
      </c>
      <c r="N302" s="15">
        <f>Output[[#This Row],[Capital Debut Period]]*Output[[#This Row],[Tx_interet_M]]</f>
        <v>668.18469072439598</v>
      </c>
      <c r="O302" s="15">
        <f>Output[[#This Row],[Mensualité initial]]-Output[[#This Row],[Interet]]</f>
        <v>3031.8153092756038</v>
      </c>
      <c r="P302" s="15">
        <f>Output[[#This Row],[Capital Debut Period]]-Output[[#This Row],[Paiement Principal]]</f>
        <v>77150.347577651904</v>
      </c>
      <c r="Q302" s="15">
        <f>Output[[#This Row],[Droit Utilisation]]/Output[[#This Row],[Duree_Mois]]</f>
        <v>2653.2817765457698</v>
      </c>
    </row>
    <row r="303" spans="1:17" x14ac:dyDescent="0.25">
      <c r="A303" s="11" t="s">
        <v>5</v>
      </c>
      <c r="B303" s="12">
        <v>44743</v>
      </c>
      <c r="C303">
        <v>3700</v>
      </c>
      <c r="D303">
        <v>7</v>
      </c>
      <c r="E303">
        <v>0.1</v>
      </c>
      <c r="F303">
        <v>84</v>
      </c>
      <c r="G303" s="13">
        <v>46630</v>
      </c>
      <c r="H303">
        <v>302</v>
      </c>
      <c r="I303">
        <v>62</v>
      </c>
      <c r="J303">
        <v>8.3333333333333332E-3</v>
      </c>
      <c r="K303" s="14">
        <v>2211.8008437575413</v>
      </c>
      <c r="L303" s="14">
        <v>222875.66922984467</v>
      </c>
      <c r="M303" s="36">
        <f>IF(Output[[#This Row],[Index]]=1,Output[[#This Row],[Droit Utilisation]],P302)</f>
        <v>77150.347577651904</v>
      </c>
      <c r="N303" s="15">
        <f>Output[[#This Row],[Capital Debut Period]]*Output[[#This Row],[Tx_interet_M]]</f>
        <v>642.91956314709921</v>
      </c>
      <c r="O303" s="15">
        <f>Output[[#This Row],[Mensualité initial]]-Output[[#This Row],[Interet]]</f>
        <v>3057.0804368529007</v>
      </c>
      <c r="P303" s="15">
        <f>Output[[#This Row],[Capital Debut Period]]-Output[[#This Row],[Paiement Principal]]</f>
        <v>74093.267140798998</v>
      </c>
      <c r="Q303" s="15">
        <f>Output[[#This Row],[Droit Utilisation]]/Output[[#This Row],[Duree_Mois]]</f>
        <v>2653.2817765457698</v>
      </c>
    </row>
    <row r="304" spans="1:17" x14ac:dyDescent="0.25">
      <c r="A304" s="11" t="s">
        <v>5</v>
      </c>
      <c r="B304" s="12">
        <v>44743</v>
      </c>
      <c r="C304">
        <v>3700</v>
      </c>
      <c r="D304">
        <v>7</v>
      </c>
      <c r="E304">
        <v>0.1</v>
      </c>
      <c r="F304">
        <v>84</v>
      </c>
      <c r="G304" s="13">
        <v>46660</v>
      </c>
      <c r="H304">
        <v>303</v>
      </c>
      <c r="I304">
        <v>63</v>
      </c>
      <c r="J304">
        <v>8.3333333333333332E-3</v>
      </c>
      <c r="K304" s="14">
        <v>2193.5214979413636</v>
      </c>
      <c r="L304" s="14">
        <v>222875.66922984467</v>
      </c>
      <c r="M304" s="36">
        <f>IF(Output[[#This Row],[Index]]=1,Output[[#This Row],[Droit Utilisation]],P303)</f>
        <v>74093.267140798998</v>
      </c>
      <c r="N304" s="15">
        <f>Output[[#This Row],[Capital Debut Period]]*Output[[#This Row],[Tx_interet_M]]</f>
        <v>617.44389283999169</v>
      </c>
      <c r="O304" s="15">
        <f>Output[[#This Row],[Mensualité initial]]-Output[[#This Row],[Interet]]</f>
        <v>3082.5561071600082</v>
      </c>
      <c r="P304" s="15">
        <f>Output[[#This Row],[Capital Debut Period]]-Output[[#This Row],[Paiement Principal]]</f>
        <v>71010.711033638989</v>
      </c>
      <c r="Q304" s="15">
        <f>Output[[#This Row],[Droit Utilisation]]/Output[[#This Row],[Duree_Mois]]</f>
        <v>2653.2817765457698</v>
      </c>
    </row>
    <row r="305" spans="1:17" x14ac:dyDescent="0.25">
      <c r="A305" s="11" t="s">
        <v>5</v>
      </c>
      <c r="B305" s="12">
        <v>44743</v>
      </c>
      <c r="C305">
        <v>3700</v>
      </c>
      <c r="D305">
        <v>7</v>
      </c>
      <c r="E305">
        <v>0.1</v>
      </c>
      <c r="F305">
        <v>84</v>
      </c>
      <c r="G305" s="13">
        <v>46691</v>
      </c>
      <c r="H305">
        <v>304</v>
      </c>
      <c r="I305">
        <v>64</v>
      </c>
      <c r="J305">
        <v>8.3333333333333332E-3</v>
      </c>
      <c r="K305" s="14">
        <v>2175.3932210988728</v>
      </c>
      <c r="L305" s="14">
        <v>222875.66922984467</v>
      </c>
      <c r="M305" s="36">
        <f>IF(Output[[#This Row],[Index]]=1,Output[[#This Row],[Droit Utilisation]],P304)</f>
        <v>71010.711033638989</v>
      </c>
      <c r="N305" s="15">
        <f>Output[[#This Row],[Capital Debut Period]]*Output[[#This Row],[Tx_interet_M]]</f>
        <v>591.75592528032485</v>
      </c>
      <c r="O305" s="15">
        <f>Output[[#This Row],[Mensualité initial]]-Output[[#This Row],[Interet]]</f>
        <v>3108.2440747196752</v>
      </c>
      <c r="P305" s="15">
        <f>Output[[#This Row],[Capital Debut Period]]-Output[[#This Row],[Paiement Principal]]</f>
        <v>67902.466958919307</v>
      </c>
      <c r="Q305" s="15">
        <f>Output[[#This Row],[Droit Utilisation]]/Output[[#This Row],[Duree_Mois]]</f>
        <v>2653.2817765457698</v>
      </c>
    </row>
    <row r="306" spans="1:17" x14ac:dyDescent="0.25">
      <c r="A306" s="11" t="s">
        <v>5</v>
      </c>
      <c r="B306" s="12">
        <v>44743</v>
      </c>
      <c r="C306">
        <v>3700</v>
      </c>
      <c r="D306">
        <v>7</v>
      </c>
      <c r="E306">
        <v>0.1</v>
      </c>
      <c r="F306">
        <v>84</v>
      </c>
      <c r="G306" s="13">
        <v>46721</v>
      </c>
      <c r="H306">
        <v>305</v>
      </c>
      <c r="I306">
        <v>65</v>
      </c>
      <c r="J306">
        <v>8.3333333333333332E-3</v>
      </c>
      <c r="K306" s="14">
        <v>2157.4147647261552</v>
      </c>
      <c r="L306" s="14">
        <v>222875.66922984467</v>
      </c>
      <c r="M306" s="36">
        <f>IF(Output[[#This Row],[Index]]=1,Output[[#This Row],[Droit Utilisation]],P305)</f>
        <v>67902.466958919307</v>
      </c>
      <c r="N306" s="15">
        <f>Output[[#This Row],[Capital Debut Period]]*Output[[#This Row],[Tx_interet_M]]</f>
        <v>565.85389132432761</v>
      </c>
      <c r="O306" s="15">
        <f>Output[[#This Row],[Mensualité initial]]-Output[[#This Row],[Interet]]</f>
        <v>3134.1461086756726</v>
      </c>
      <c r="P306" s="15">
        <f>Output[[#This Row],[Capital Debut Period]]-Output[[#This Row],[Paiement Principal]]</f>
        <v>64768.320850243632</v>
      </c>
      <c r="Q306" s="15">
        <f>Output[[#This Row],[Droit Utilisation]]/Output[[#This Row],[Duree_Mois]]</f>
        <v>2653.2817765457698</v>
      </c>
    </row>
    <row r="307" spans="1:17" x14ac:dyDescent="0.25">
      <c r="A307" s="11" t="s">
        <v>5</v>
      </c>
      <c r="B307" s="12">
        <v>44743</v>
      </c>
      <c r="C307">
        <v>3700</v>
      </c>
      <c r="D307">
        <v>7</v>
      </c>
      <c r="E307">
        <v>0.1</v>
      </c>
      <c r="F307">
        <v>84</v>
      </c>
      <c r="G307" s="13">
        <v>46752</v>
      </c>
      <c r="H307">
        <v>306</v>
      </c>
      <c r="I307">
        <v>66</v>
      </c>
      <c r="J307">
        <v>8.3333333333333332E-3</v>
      </c>
      <c r="K307" s="14">
        <v>2139.584890637509</v>
      </c>
      <c r="L307" s="14">
        <v>222875.66922984467</v>
      </c>
      <c r="M307" s="36">
        <f>IF(Output[[#This Row],[Index]]=1,Output[[#This Row],[Droit Utilisation]],P306)</f>
        <v>64768.320850243632</v>
      </c>
      <c r="N307" s="15">
        <f>Output[[#This Row],[Capital Debut Period]]*Output[[#This Row],[Tx_interet_M]]</f>
        <v>539.73600708536355</v>
      </c>
      <c r="O307" s="15">
        <f>Output[[#This Row],[Mensualité initial]]-Output[[#This Row],[Interet]]</f>
        <v>3160.2639929146362</v>
      </c>
      <c r="P307" s="15">
        <f>Output[[#This Row],[Capital Debut Period]]-Output[[#This Row],[Paiement Principal]]</f>
        <v>61608.056857328993</v>
      </c>
      <c r="Q307" s="15">
        <f>Output[[#This Row],[Droit Utilisation]]/Output[[#This Row],[Duree_Mois]]</f>
        <v>2653.2817765457698</v>
      </c>
    </row>
    <row r="308" spans="1:17" x14ac:dyDescent="0.25">
      <c r="A308" s="11" t="s">
        <v>5</v>
      </c>
      <c r="B308" s="12">
        <v>44743</v>
      </c>
      <c r="C308">
        <v>3700</v>
      </c>
      <c r="D308">
        <v>7</v>
      </c>
      <c r="E308">
        <v>0.1</v>
      </c>
      <c r="F308">
        <v>84</v>
      </c>
      <c r="G308" s="13">
        <v>46783</v>
      </c>
      <c r="H308">
        <v>307</v>
      </c>
      <c r="I308">
        <v>67</v>
      </c>
      <c r="J308">
        <v>8.3333333333333332E-3</v>
      </c>
      <c r="K308" s="14">
        <v>2121.9023708801747</v>
      </c>
      <c r="L308" s="14">
        <v>222875.66922984467</v>
      </c>
      <c r="M308" s="36">
        <f>IF(Output[[#This Row],[Index]]=1,Output[[#This Row],[Droit Utilisation]],P307)</f>
        <v>61608.056857328993</v>
      </c>
      <c r="N308" s="15">
        <f>Output[[#This Row],[Capital Debut Period]]*Output[[#This Row],[Tx_interet_M]]</f>
        <v>513.4004738110749</v>
      </c>
      <c r="O308" s="15">
        <f>Output[[#This Row],[Mensualité initial]]-Output[[#This Row],[Interet]]</f>
        <v>3186.5995261889252</v>
      </c>
      <c r="P308" s="15">
        <f>Output[[#This Row],[Capital Debut Period]]-Output[[#This Row],[Paiement Principal]]</f>
        <v>58421.457331140067</v>
      </c>
      <c r="Q308" s="15">
        <f>Output[[#This Row],[Droit Utilisation]]/Output[[#This Row],[Duree_Mois]]</f>
        <v>2653.2817765457698</v>
      </c>
    </row>
    <row r="309" spans="1:17" x14ac:dyDescent="0.25">
      <c r="A309" s="11" t="s">
        <v>5</v>
      </c>
      <c r="B309" s="12">
        <v>44743</v>
      </c>
      <c r="C309">
        <v>3700</v>
      </c>
      <c r="D309">
        <v>7</v>
      </c>
      <c r="E309">
        <v>0.1</v>
      </c>
      <c r="F309">
        <v>84</v>
      </c>
      <c r="G309" s="13">
        <v>46812</v>
      </c>
      <c r="H309">
        <v>308</v>
      </c>
      <c r="I309">
        <v>68</v>
      </c>
      <c r="J309">
        <v>8.3333333333333332E-3</v>
      </c>
      <c r="K309" s="14">
        <v>2104.3659876497595</v>
      </c>
      <c r="L309" s="14">
        <v>222875.66922984467</v>
      </c>
      <c r="M309" s="36">
        <f>IF(Output[[#This Row],[Index]]=1,Output[[#This Row],[Droit Utilisation]],P308)</f>
        <v>58421.457331140067</v>
      </c>
      <c r="N309" s="15">
        <f>Output[[#This Row],[Capital Debut Period]]*Output[[#This Row],[Tx_interet_M]]</f>
        <v>486.84547775950057</v>
      </c>
      <c r="O309" s="15">
        <f>Output[[#This Row],[Mensualité initial]]-Output[[#This Row],[Interet]]</f>
        <v>3213.1545222404993</v>
      </c>
      <c r="P309" s="15">
        <f>Output[[#This Row],[Capital Debut Period]]-Output[[#This Row],[Paiement Principal]]</f>
        <v>55208.302808899571</v>
      </c>
      <c r="Q309" s="15">
        <f>Output[[#This Row],[Droit Utilisation]]/Output[[#This Row],[Duree_Mois]]</f>
        <v>2653.2817765457698</v>
      </c>
    </row>
    <row r="310" spans="1:17" x14ac:dyDescent="0.25">
      <c r="A310" s="11" t="s">
        <v>5</v>
      </c>
      <c r="B310" s="12">
        <v>44743</v>
      </c>
      <c r="C310">
        <v>3700</v>
      </c>
      <c r="D310">
        <v>7</v>
      </c>
      <c r="E310">
        <v>0.1</v>
      </c>
      <c r="F310">
        <v>84</v>
      </c>
      <c r="G310" s="13">
        <v>46843</v>
      </c>
      <c r="H310">
        <v>309</v>
      </c>
      <c r="I310">
        <v>69</v>
      </c>
      <c r="J310">
        <v>8.3333333333333332E-3</v>
      </c>
      <c r="K310" s="14">
        <v>2086.9745332063735</v>
      </c>
      <c r="L310" s="14">
        <v>222875.66922984467</v>
      </c>
      <c r="M310" s="36">
        <f>IF(Output[[#This Row],[Index]]=1,Output[[#This Row],[Droit Utilisation]],P309)</f>
        <v>55208.302808899571</v>
      </c>
      <c r="N310" s="15">
        <f>Output[[#This Row],[Capital Debut Period]]*Output[[#This Row],[Tx_interet_M]]</f>
        <v>460.06919007416309</v>
      </c>
      <c r="O310" s="15">
        <f>Output[[#This Row],[Mensualité initial]]-Output[[#This Row],[Interet]]</f>
        <v>3239.9308099258369</v>
      </c>
      <c r="P310" s="15">
        <f>Output[[#This Row],[Capital Debut Period]]-Output[[#This Row],[Paiement Principal]]</f>
        <v>51968.371998973736</v>
      </c>
      <c r="Q310" s="15">
        <f>Output[[#This Row],[Droit Utilisation]]/Output[[#This Row],[Duree_Mois]]</f>
        <v>2653.2817765457698</v>
      </c>
    </row>
    <row r="311" spans="1:17" x14ac:dyDescent="0.25">
      <c r="A311" s="11" t="s">
        <v>5</v>
      </c>
      <c r="B311" s="12">
        <v>44743</v>
      </c>
      <c r="C311">
        <v>3700</v>
      </c>
      <c r="D311">
        <v>7</v>
      </c>
      <c r="E311">
        <v>0.1</v>
      </c>
      <c r="F311">
        <v>84</v>
      </c>
      <c r="G311" s="13">
        <v>46873</v>
      </c>
      <c r="H311">
        <v>310</v>
      </c>
      <c r="I311">
        <v>70</v>
      </c>
      <c r="J311">
        <v>8.3333333333333332E-3</v>
      </c>
      <c r="K311" s="14">
        <v>2069.7268097914448</v>
      </c>
      <c r="L311" s="14">
        <v>222875.66922984467</v>
      </c>
      <c r="M311" s="36">
        <f>IF(Output[[#This Row],[Index]]=1,Output[[#This Row],[Droit Utilisation]],P310)</f>
        <v>51968.371998973736</v>
      </c>
      <c r="N311" s="15">
        <f>Output[[#This Row],[Capital Debut Period]]*Output[[#This Row],[Tx_interet_M]]</f>
        <v>433.06976665811447</v>
      </c>
      <c r="O311" s="15">
        <f>Output[[#This Row],[Mensualité initial]]-Output[[#This Row],[Interet]]</f>
        <v>3266.9302333418855</v>
      </c>
      <c r="P311" s="15">
        <f>Output[[#This Row],[Capital Debut Period]]-Output[[#This Row],[Paiement Principal]]</f>
        <v>48701.441765631855</v>
      </c>
      <c r="Q311" s="15">
        <f>Output[[#This Row],[Droit Utilisation]]/Output[[#This Row],[Duree_Mois]]</f>
        <v>2653.2817765457698</v>
      </c>
    </row>
    <row r="312" spans="1:17" x14ac:dyDescent="0.25">
      <c r="A312" s="11" t="s">
        <v>5</v>
      </c>
      <c r="B312" s="12">
        <v>44743</v>
      </c>
      <c r="C312">
        <v>3700</v>
      </c>
      <c r="D312">
        <v>7</v>
      </c>
      <c r="E312">
        <v>0.1</v>
      </c>
      <c r="F312">
        <v>84</v>
      </c>
      <c r="G312" s="13">
        <v>46904</v>
      </c>
      <c r="H312">
        <v>311</v>
      </c>
      <c r="I312">
        <v>71</v>
      </c>
      <c r="J312">
        <v>8.3333333333333332E-3</v>
      </c>
      <c r="K312" s="14">
        <v>2052.6216295452346</v>
      </c>
      <c r="L312" s="14">
        <v>222875.66922984467</v>
      </c>
      <c r="M312" s="36">
        <f>IF(Output[[#This Row],[Index]]=1,Output[[#This Row],[Droit Utilisation]],P311)</f>
        <v>48701.441765631855</v>
      </c>
      <c r="N312" s="15">
        <f>Output[[#This Row],[Capital Debut Period]]*Output[[#This Row],[Tx_interet_M]]</f>
        <v>405.84534804693214</v>
      </c>
      <c r="O312" s="15">
        <f>Output[[#This Row],[Mensualité initial]]-Output[[#This Row],[Interet]]</f>
        <v>3294.154651953068</v>
      </c>
      <c r="P312" s="15">
        <f>Output[[#This Row],[Capital Debut Period]]-Output[[#This Row],[Paiement Principal]]</f>
        <v>45407.287113678787</v>
      </c>
      <c r="Q312" s="15">
        <f>Output[[#This Row],[Droit Utilisation]]/Output[[#This Row],[Duree_Mois]]</f>
        <v>2653.2817765457698</v>
      </c>
    </row>
    <row r="313" spans="1:17" x14ac:dyDescent="0.25">
      <c r="A313" s="11" t="s">
        <v>5</v>
      </c>
      <c r="B313" s="12">
        <v>44743</v>
      </c>
      <c r="C313">
        <v>3700</v>
      </c>
      <c r="D313">
        <v>7</v>
      </c>
      <c r="E313">
        <v>0.1</v>
      </c>
      <c r="F313">
        <v>84</v>
      </c>
      <c r="G313" s="13">
        <v>46934</v>
      </c>
      <c r="H313">
        <v>312</v>
      </c>
      <c r="I313">
        <v>72</v>
      </c>
      <c r="J313">
        <v>8.3333333333333332E-3</v>
      </c>
      <c r="K313" s="14">
        <v>2035.6578144250259</v>
      </c>
      <c r="L313" s="14">
        <v>222875.66922984467</v>
      </c>
      <c r="M313" s="36">
        <f>IF(Output[[#This Row],[Index]]=1,Output[[#This Row],[Droit Utilisation]],P312)</f>
        <v>45407.287113678787</v>
      </c>
      <c r="N313" s="15">
        <f>Output[[#This Row],[Capital Debut Period]]*Output[[#This Row],[Tx_interet_M]]</f>
        <v>378.39405928065656</v>
      </c>
      <c r="O313" s="15">
        <f>Output[[#This Row],[Mensualité initial]]-Output[[#This Row],[Interet]]</f>
        <v>3321.6059407193434</v>
      </c>
      <c r="P313" s="15">
        <f>Output[[#This Row],[Capital Debut Period]]-Output[[#This Row],[Paiement Principal]]</f>
        <v>42085.681172959441</v>
      </c>
      <c r="Q313" s="15">
        <f>Output[[#This Row],[Droit Utilisation]]/Output[[#This Row],[Duree_Mois]]</f>
        <v>2653.2817765457698</v>
      </c>
    </row>
    <row r="314" spans="1:17" x14ac:dyDescent="0.25">
      <c r="A314" s="11" t="s">
        <v>5</v>
      </c>
      <c r="B314" s="12">
        <v>44743</v>
      </c>
      <c r="C314">
        <v>3700</v>
      </c>
      <c r="D314">
        <v>7</v>
      </c>
      <c r="E314">
        <v>0.1</v>
      </c>
      <c r="F314">
        <v>84</v>
      </c>
      <c r="G314" s="13">
        <v>46965</v>
      </c>
      <c r="H314">
        <v>313</v>
      </c>
      <c r="I314">
        <v>73</v>
      </c>
      <c r="J314">
        <v>8.3333333333333332E-3</v>
      </c>
      <c r="K314" s="14">
        <v>2018.8341961239926</v>
      </c>
      <c r="L314" s="14">
        <v>222875.66922984467</v>
      </c>
      <c r="M314" s="36">
        <f>IF(Output[[#This Row],[Index]]=1,Output[[#This Row],[Droit Utilisation]],P313)</f>
        <v>42085.681172959441</v>
      </c>
      <c r="N314" s="15">
        <f>Output[[#This Row],[Capital Debut Period]]*Output[[#This Row],[Tx_interet_M]]</f>
        <v>350.71400977466203</v>
      </c>
      <c r="O314" s="15">
        <f>Output[[#This Row],[Mensualité initial]]-Output[[#This Row],[Interet]]</f>
        <v>3349.2859902253381</v>
      </c>
      <c r="P314" s="15">
        <f>Output[[#This Row],[Capital Debut Period]]-Output[[#This Row],[Paiement Principal]]</f>
        <v>38736.395182734101</v>
      </c>
      <c r="Q314" s="15">
        <f>Output[[#This Row],[Droit Utilisation]]/Output[[#This Row],[Duree_Mois]]</f>
        <v>2653.2817765457698</v>
      </c>
    </row>
    <row r="315" spans="1:17" x14ac:dyDescent="0.25">
      <c r="A315" s="11" t="s">
        <v>5</v>
      </c>
      <c r="B315" s="12">
        <v>44743</v>
      </c>
      <c r="C315">
        <v>3700</v>
      </c>
      <c r="D315">
        <v>7</v>
      </c>
      <c r="E315">
        <v>0.1</v>
      </c>
      <c r="F315">
        <v>84</v>
      </c>
      <c r="G315" s="13">
        <v>46996</v>
      </c>
      <c r="H315">
        <v>314</v>
      </c>
      <c r="I315">
        <v>74</v>
      </c>
      <c r="J315">
        <v>8.3333333333333332E-3</v>
      </c>
      <c r="K315" s="14">
        <v>2002.1496159907367</v>
      </c>
      <c r="L315" s="14">
        <v>222875.66922984467</v>
      </c>
      <c r="M315" s="36">
        <f>IF(Output[[#This Row],[Index]]=1,Output[[#This Row],[Droit Utilisation]],P314)</f>
        <v>38736.395182734101</v>
      </c>
      <c r="N315" s="15">
        <f>Output[[#This Row],[Capital Debut Period]]*Output[[#This Row],[Tx_interet_M]]</f>
        <v>322.80329318945081</v>
      </c>
      <c r="O315" s="15">
        <f>Output[[#This Row],[Mensualité initial]]-Output[[#This Row],[Interet]]</f>
        <v>3377.1967068105491</v>
      </c>
      <c r="P315" s="15">
        <f>Output[[#This Row],[Capital Debut Period]]-Output[[#This Row],[Paiement Principal]]</f>
        <v>35359.198475923549</v>
      </c>
      <c r="Q315" s="15">
        <f>Output[[#This Row],[Droit Utilisation]]/Output[[#This Row],[Duree_Mois]]</f>
        <v>2653.2817765457698</v>
      </c>
    </row>
    <row r="316" spans="1:17" x14ac:dyDescent="0.25">
      <c r="A316" s="11" t="s">
        <v>5</v>
      </c>
      <c r="B316" s="12">
        <v>44743</v>
      </c>
      <c r="C316">
        <v>3700</v>
      </c>
      <c r="D316">
        <v>7</v>
      </c>
      <c r="E316">
        <v>0.1</v>
      </c>
      <c r="F316">
        <v>84</v>
      </c>
      <c r="G316" s="13">
        <v>47026</v>
      </c>
      <c r="H316">
        <v>315</v>
      </c>
      <c r="I316">
        <v>75</v>
      </c>
      <c r="J316">
        <v>8.3333333333333332E-3</v>
      </c>
      <c r="K316" s="14">
        <v>1985.6029249494909</v>
      </c>
      <c r="L316" s="14">
        <v>222875.66922984467</v>
      </c>
      <c r="M316" s="36">
        <f>IF(Output[[#This Row],[Index]]=1,Output[[#This Row],[Droit Utilisation]],P315)</f>
        <v>35359.198475923549</v>
      </c>
      <c r="N316" s="15">
        <f>Output[[#This Row],[Capital Debut Period]]*Output[[#This Row],[Tx_interet_M]]</f>
        <v>294.65998729936291</v>
      </c>
      <c r="O316" s="15">
        <f>Output[[#This Row],[Mensualité initial]]-Output[[#This Row],[Interet]]</f>
        <v>3405.3400127006371</v>
      </c>
      <c r="P316" s="15">
        <f>Output[[#This Row],[Capital Debut Period]]-Output[[#This Row],[Paiement Principal]]</f>
        <v>31953.85846322291</v>
      </c>
      <c r="Q316" s="15">
        <f>Output[[#This Row],[Droit Utilisation]]/Output[[#This Row],[Duree_Mois]]</f>
        <v>2653.2817765457698</v>
      </c>
    </row>
    <row r="317" spans="1:17" x14ac:dyDescent="0.25">
      <c r="A317" s="11" t="s">
        <v>5</v>
      </c>
      <c r="B317" s="12">
        <v>44743</v>
      </c>
      <c r="C317">
        <v>3700</v>
      </c>
      <c r="D317">
        <v>7</v>
      </c>
      <c r="E317">
        <v>0.1</v>
      </c>
      <c r="F317">
        <v>84</v>
      </c>
      <c r="G317" s="13">
        <v>47057</v>
      </c>
      <c r="H317">
        <v>316</v>
      </c>
      <c r="I317">
        <v>76</v>
      </c>
      <c r="J317">
        <v>8.3333333333333332E-3</v>
      </c>
      <c r="K317" s="14">
        <v>1969.1929834209827</v>
      </c>
      <c r="L317" s="14">
        <v>222875.66922984467</v>
      </c>
      <c r="M317" s="36">
        <f>IF(Output[[#This Row],[Index]]=1,Output[[#This Row],[Droit Utilisation]],P316)</f>
        <v>31953.85846322291</v>
      </c>
      <c r="N317" s="15">
        <f>Output[[#This Row],[Capital Debut Period]]*Output[[#This Row],[Tx_interet_M]]</f>
        <v>266.28215386019093</v>
      </c>
      <c r="O317" s="15">
        <f>Output[[#This Row],[Mensualité initial]]-Output[[#This Row],[Interet]]</f>
        <v>3433.7178461398089</v>
      </c>
      <c r="P317" s="15">
        <f>Output[[#This Row],[Capital Debut Period]]-Output[[#This Row],[Paiement Principal]]</f>
        <v>28520.140617083103</v>
      </c>
      <c r="Q317" s="15">
        <f>Output[[#This Row],[Droit Utilisation]]/Output[[#This Row],[Duree_Mois]]</f>
        <v>2653.2817765457698</v>
      </c>
    </row>
    <row r="318" spans="1:17" x14ac:dyDescent="0.25">
      <c r="A318" s="11" t="s">
        <v>5</v>
      </c>
      <c r="B318" s="12">
        <v>44743</v>
      </c>
      <c r="C318">
        <v>3700</v>
      </c>
      <c r="D318">
        <v>7</v>
      </c>
      <c r="E318">
        <v>0.1</v>
      </c>
      <c r="F318">
        <v>84</v>
      </c>
      <c r="G318" s="13">
        <v>47087</v>
      </c>
      <c r="H318">
        <v>317</v>
      </c>
      <c r="I318">
        <v>77</v>
      </c>
      <c r="J318">
        <v>8.3333333333333332E-3</v>
      </c>
      <c r="K318" s="14">
        <v>1952.9186612439501</v>
      </c>
      <c r="L318" s="14">
        <v>222875.66922984467</v>
      </c>
      <c r="M318" s="36">
        <f>IF(Output[[#This Row],[Index]]=1,Output[[#This Row],[Droit Utilisation]],P317)</f>
        <v>28520.140617083103</v>
      </c>
      <c r="N318" s="15">
        <f>Output[[#This Row],[Capital Debut Period]]*Output[[#This Row],[Tx_interet_M]]</f>
        <v>237.66783847569252</v>
      </c>
      <c r="O318" s="15">
        <f>Output[[#This Row],[Mensualité initial]]-Output[[#This Row],[Interet]]</f>
        <v>3462.3321615243076</v>
      </c>
      <c r="P318" s="15">
        <f>Output[[#This Row],[Capital Debut Period]]-Output[[#This Row],[Paiement Principal]]</f>
        <v>25057.808455558796</v>
      </c>
      <c r="Q318" s="15">
        <f>Output[[#This Row],[Droit Utilisation]]/Output[[#This Row],[Duree_Mois]]</f>
        <v>2653.2817765457698</v>
      </c>
    </row>
    <row r="319" spans="1:17" x14ac:dyDescent="0.25">
      <c r="A319" s="11" t="s">
        <v>5</v>
      </c>
      <c r="B319" s="12">
        <v>44743</v>
      </c>
      <c r="C319">
        <v>3700</v>
      </c>
      <c r="D319">
        <v>7</v>
      </c>
      <c r="E319">
        <v>0.1</v>
      </c>
      <c r="F319">
        <v>84</v>
      </c>
      <c r="G319" s="13">
        <v>47118</v>
      </c>
      <c r="H319">
        <v>318</v>
      </c>
      <c r="I319">
        <v>78</v>
      </c>
      <c r="J319">
        <v>8.3333333333333332E-3</v>
      </c>
      <c r="K319" s="14">
        <v>1936.7788375973057</v>
      </c>
      <c r="L319" s="14">
        <v>222875.66922984467</v>
      </c>
      <c r="M319" s="36">
        <f>IF(Output[[#This Row],[Index]]=1,Output[[#This Row],[Droit Utilisation]],P318)</f>
        <v>25057.808455558796</v>
      </c>
      <c r="N319" s="15">
        <f>Output[[#This Row],[Capital Debut Period]]*Output[[#This Row],[Tx_interet_M]]</f>
        <v>208.81507046298995</v>
      </c>
      <c r="O319" s="15">
        <f>Output[[#This Row],[Mensualité initial]]-Output[[#This Row],[Interet]]</f>
        <v>3491.1849295370102</v>
      </c>
      <c r="P319" s="15">
        <f>Output[[#This Row],[Capital Debut Period]]-Output[[#This Row],[Paiement Principal]]</f>
        <v>21566.623526021787</v>
      </c>
      <c r="Q319" s="15">
        <f>Output[[#This Row],[Droit Utilisation]]/Output[[#This Row],[Duree_Mois]]</f>
        <v>2653.2817765457698</v>
      </c>
    </row>
    <row r="320" spans="1:17" x14ac:dyDescent="0.25">
      <c r="A320" s="11" t="s">
        <v>5</v>
      </c>
      <c r="B320" s="12">
        <v>44743</v>
      </c>
      <c r="C320">
        <v>3700</v>
      </c>
      <c r="D320">
        <v>7</v>
      </c>
      <c r="E320">
        <v>0.1</v>
      </c>
      <c r="F320">
        <v>84</v>
      </c>
      <c r="G320" s="13">
        <v>47149</v>
      </c>
      <c r="H320">
        <v>319</v>
      </c>
      <c r="I320">
        <v>79</v>
      </c>
      <c r="J320">
        <v>8.3333333333333332E-3</v>
      </c>
      <c r="K320" s="14">
        <v>1920.772400922948</v>
      </c>
      <c r="L320" s="14">
        <v>222875.66922984467</v>
      </c>
      <c r="M320" s="36">
        <f>IF(Output[[#This Row],[Index]]=1,Output[[#This Row],[Droit Utilisation]],P319)</f>
        <v>21566.623526021787</v>
      </c>
      <c r="N320" s="15">
        <f>Output[[#This Row],[Capital Debut Period]]*Output[[#This Row],[Tx_interet_M]]</f>
        <v>179.72186271684822</v>
      </c>
      <c r="O320" s="15">
        <f>Output[[#This Row],[Mensualité initial]]-Output[[#This Row],[Interet]]</f>
        <v>3520.2781372831519</v>
      </c>
      <c r="P320" s="15">
        <f>Output[[#This Row],[Capital Debut Period]]-Output[[#This Row],[Paiement Principal]]</f>
        <v>18046.345388738635</v>
      </c>
      <c r="Q320" s="15">
        <f>Output[[#This Row],[Droit Utilisation]]/Output[[#This Row],[Duree_Mois]]</f>
        <v>2653.2817765457698</v>
      </c>
    </row>
    <row r="321" spans="1:17" x14ac:dyDescent="0.25">
      <c r="A321" s="11" t="s">
        <v>5</v>
      </c>
      <c r="B321" s="12">
        <v>44743</v>
      </c>
      <c r="C321">
        <v>3700</v>
      </c>
      <c r="D321">
        <v>7</v>
      </c>
      <c r="E321">
        <v>0.1</v>
      </c>
      <c r="F321">
        <v>84</v>
      </c>
      <c r="G321" s="13">
        <v>47177</v>
      </c>
      <c r="H321">
        <v>320</v>
      </c>
      <c r="I321">
        <v>80</v>
      </c>
      <c r="J321">
        <v>8.3333333333333332E-3</v>
      </c>
      <c r="K321" s="14">
        <v>1904.8982488492047</v>
      </c>
      <c r="L321" s="14">
        <v>222875.66922984467</v>
      </c>
      <c r="M321" s="36">
        <f>IF(Output[[#This Row],[Index]]=1,Output[[#This Row],[Droit Utilisation]],P320)</f>
        <v>18046.345388738635</v>
      </c>
      <c r="N321" s="15">
        <f>Output[[#This Row],[Capital Debut Period]]*Output[[#This Row],[Tx_interet_M]]</f>
        <v>150.38621157282196</v>
      </c>
      <c r="O321" s="15">
        <f>Output[[#This Row],[Mensualité initial]]-Output[[#This Row],[Interet]]</f>
        <v>3549.613788427178</v>
      </c>
      <c r="P321" s="15">
        <f>Output[[#This Row],[Capital Debut Period]]-Output[[#This Row],[Paiement Principal]]</f>
        <v>14496.731600311457</v>
      </c>
      <c r="Q321" s="15">
        <f>Output[[#This Row],[Droit Utilisation]]/Output[[#This Row],[Duree_Mois]]</f>
        <v>2653.2817765457698</v>
      </c>
    </row>
    <row r="322" spans="1:17" x14ac:dyDescent="0.25">
      <c r="A322" s="11" t="s">
        <v>5</v>
      </c>
      <c r="B322" s="12">
        <v>44743</v>
      </c>
      <c r="C322">
        <v>3700</v>
      </c>
      <c r="D322">
        <v>7</v>
      </c>
      <c r="E322">
        <v>0.1</v>
      </c>
      <c r="F322">
        <v>84</v>
      </c>
      <c r="G322" s="13">
        <v>47208</v>
      </c>
      <c r="H322">
        <v>321</v>
      </c>
      <c r="I322">
        <v>81</v>
      </c>
      <c r="J322">
        <v>8.3333333333333332E-3</v>
      </c>
      <c r="K322" s="14">
        <v>1889.1552881149139</v>
      </c>
      <c r="L322" s="14">
        <v>222875.66922984467</v>
      </c>
      <c r="M322" s="36">
        <f>IF(Output[[#This Row],[Index]]=1,Output[[#This Row],[Droit Utilisation]],P321)</f>
        <v>14496.731600311457</v>
      </c>
      <c r="N322" s="15">
        <f>Output[[#This Row],[Capital Debut Period]]*Output[[#This Row],[Tx_interet_M]]</f>
        <v>120.80609666926215</v>
      </c>
      <c r="O322" s="15">
        <f>Output[[#This Row],[Mensualité initial]]-Output[[#This Row],[Interet]]</f>
        <v>3579.1939033307381</v>
      </c>
      <c r="P322" s="15">
        <f>Output[[#This Row],[Capital Debut Period]]-Output[[#This Row],[Paiement Principal]]</f>
        <v>10917.537696980718</v>
      </c>
      <c r="Q322" s="15">
        <f>Output[[#This Row],[Droit Utilisation]]/Output[[#This Row],[Duree_Mois]]</f>
        <v>2653.2817765457698</v>
      </c>
    </row>
    <row r="323" spans="1:17" x14ac:dyDescent="0.25">
      <c r="A323" s="11" t="s">
        <v>5</v>
      </c>
      <c r="B323" s="12">
        <v>44743</v>
      </c>
      <c r="C323">
        <v>3700</v>
      </c>
      <c r="D323">
        <v>7</v>
      </c>
      <c r="E323">
        <v>0.1</v>
      </c>
      <c r="F323">
        <v>84</v>
      </c>
      <c r="G323" s="13">
        <v>47238</v>
      </c>
      <c r="H323">
        <v>322</v>
      </c>
      <c r="I323">
        <v>82</v>
      </c>
      <c r="J323">
        <v>8.3333333333333332E-3</v>
      </c>
      <c r="K323" s="14">
        <v>1873.5424344941293</v>
      </c>
      <c r="L323" s="14">
        <v>222875.66922984467</v>
      </c>
      <c r="M323" s="36">
        <f>IF(Output[[#This Row],[Index]]=1,Output[[#This Row],[Droit Utilisation]],P322)</f>
        <v>10917.537696980718</v>
      </c>
      <c r="N323" s="15">
        <f>Output[[#This Row],[Capital Debut Period]]*Output[[#This Row],[Tx_interet_M]]</f>
        <v>90.979480808172653</v>
      </c>
      <c r="O323" s="15">
        <f>Output[[#This Row],[Mensualité initial]]-Output[[#This Row],[Interet]]</f>
        <v>3609.0205191918271</v>
      </c>
      <c r="P323" s="15">
        <f>Output[[#This Row],[Capital Debut Period]]-Output[[#This Row],[Paiement Principal]]</f>
        <v>7308.5171777888918</v>
      </c>
      <c r="Q323" s="15">
        <f>Output[[#This Row],[Droit Utilisation]]/Output[[#This Row],[Duree_Mois]]</f>
        <v>2653.2817765457698</v>
      </c>
    </row>
    <row r="324" spans="1:17" x14ac:dyDescent="0.25">
      <c r="A324" s="11" t="s">
        <v>5</v>
      </c>
      <c r="B324" s="12">
        <v>44743</v>
      </c>
      <c r="C324">
        <v>3700</v>
      </c>
      <c r="D324">
        <v>7</v>
      </c>
      <c r="E324">
        <v>0.1</v>
      </c>
      <c r="F324">
        <v>84</v>
      </c>
      <c r="G324" s="13">
        <v>47269</v>
      </c>
      <c r="H324">
        <v>323</v>
      </c>
      <c r="I324">
        <v>83</v>
      </c>
      <c r="J324">
        <v>8.3333333333333332E-3</v>
      </c>
      <c r="K324" s="14">
        <v>1858.0586127214508</v>
      </c>
      <c r="L324" s="14">
        <v>222875.66922984467</v>
      </c>
      <c r="M324" s="36">
        <f>IF(Output[[#This Row],[Index]]=1,Output[[#This Row],[Droit Utilisation]],P323)</f>
        <v>7308.5171777888918</v>
      </c>
      <c r="N324" s="15">
        <f>Output[[#This Row],[Capital Debut Period]]*Output[[#This Row],[Tx_interet_M]]</f>
        <v>60.904309814907428</v>
      </c>
      <c r="O324" s="15">
        <f>Output[[#This Row],[Mensualité initial]]-Output[[#This Row],[Interet]]</f>
        <v>3639.0956901850927</v>
      </c>
      <c r="P324" s="15">
        <f>Output[[#This Row],[Capital Debut Period]]-Output[[#This Row],[Paiement Principal]]</f>
        <v>3669.4214876037991</v>
      </c>
      <c r="Q324" s="15">
        <f>Output[[#This Row],[Droit Utilisation]]/Output[[#This Row],[Duree_Mois]]</f>
        <v>2653.2817765457698</v>
      </c>
    </row>
    <row r="325" spans="1:17" x14ac:dyDescent="0.25">
      <c r="A325" s="11" t="s">
        <v>5</v>
      </c>
      <c r="B325" s="12">
        <v>44743</v>
      </c>
      <c r="C325">
        <v>3700</v>
      </c>
      <c r="D325">
        <v>7</v>
      </c>
      <c r="E325">
        <v>0.1</v>
      </c>
      <c r="F325">
        <v>84</v>
      </c>
      <c r="G325" s="13">
        <v>47299</v>
      </c>
      <c r="H325">
        <v>324</v>
      </c>
      <c r="I325">
        <v>84</v>
      </c>
      <c r="J325">
        <v>8.3333333333333332E-3</v>
      </c>
      <c r="K325" s="14">
        <v>1842.7027564179677</v>
      </c>
      <c r="L325" s="14">
        <v>222875.66922984467</v>
      </c>
      <c r="M325" s="36">
        <f>IF(Output[[#This Row],[Index]]=1,Output[[#This Row],[Droit Utilisation]],P324)</f>
        <v>3669.4214876037991</v>
      </c>
      <c r="N325" s="15">
        <f>Output[[#This Row],[Capital Debut Period]]*Output[[#This Row],[Tx_interet_M]]</f>
        <v>30.578512396698326</v>
      </c>
      <c r="O325" s="15">
        <f>Output[[#This Row],[Mensualité initial]]-Output[[#This Row],[Interet]]</f>
        <v>3669.4214876033016</v>
      </c>
      <c r="P325" s="15">
        <f>Output[[#This Row],[Capital Debut Period]]-Output[[#This Row],[Paiement Principal]]</f>
        <v>4.9749360186979175E-10</v>
      </c>
      <c r="Q325" s="15">
        <f>Output[[#This Row],[Droit Utilisation]]/Output[[#This Row],[Duree_Mois]]</f>
        <v>2653.2817765457698</v>
      </c>
    </row>
    <row r="326" spans="1:17" x14ac:dyDescent="0.25">
      <c r="A326" s="11" t="s">
        <v>6</v>
      </c>
      <c r="B326" s="12">
        <v>42552</v>
      </c>
      <c r="C326">
        <v>3900</v>
      </c>
      <c r="D326">
        <v>7</v>
      </c>
      <c r="E326">
        <v>0.06</v>
      </c>
      <c r="F326">
        <v>84</v>
      </c>
      <c r="G326" s="13">
        <v>42582</v>
      </c>
      <c r="H326">
        <v>325</v>
      </c>
      <c r="I326">
        <v>1</v>
      </c>
      <c r="J326">
        <v>5.0000000000000001E-3</v>
      </c>
      <c r="K326" s="14">
        <v>3880.5970149253735</v>
      </c>
      <c r="L326" s="14">
        <v>266966.86549856846</v>
      </c>
      <c r="M326" s="36">
        <f>IF(Output[[#This Row],[Index]]=1,Output[[#This Row],[Droit Utilisation]],P325)</f>
        <v>266966.86549856846</v>
      </c>
      <c r="N326" s="15">
        <f>Output[[#This Row],[Capital Debut Period]]*Output[[#This Row],[Tx_interet_M]]</f>
        <v>1334.8343274928422</v>
      </c>
      <c r="O326" s="15">
        <f>Output[[#This Row],[Mensualité initial]]-Output[[#This Row],[Interet]]</f>
        <v>2565.165672507158</v>
      </c>
      <c r="P326" s="15">
        <f>Output[[#This Row],[Capital Debut Period]]-Output[[#This Row],[Paiement Principal]]</f>
        <v>264401.69982606132</v>
      </c>
      <c r="Q326" s="15">
        <f>Output[[#This Row],[Droit Utilisation]]/Output[[#This Row],[Duree_Mois]]</f>
        <v>3178.1769702210531</v>
      </c>
    </row>
    <row r="327" spans="1:17" x14ac:dyDescent="0.25">
      <c r="A327" s="11" t="s">
        <v>6</v>
      </c>
      <c r="B327" s="12">
        <v>42552</v>
      </c>
      <c r="C327">
        <v>3900</v>
      </c>
      <c r="D327">
        <v>7</v>
      </c>
      <c r="E327">
        <v>0.06</v>
      </c>
      <c r="F327">
        <v>84</v>
      </c>
      <c r="G327" s="13">
        <v>42613</v>
      </c>
      <c r="H327">
        <v>326</v>
      </c>
      <c r="I327">
        <v>2</v>
      </c>
      <c r="J327">
        <v>5.0000000000000001E-3</v>
      </c>
      <c r="K327" s="14">
        <v>3861.2905621147997</v>
      </c>
      <c r="L327" s="14">
        <v>266966.86549856846</v>
      </c>
      <c r="M327" s="36">
        <f>IF(Output[[#This Row],[Index]]=1,Output[[#This Row],[Droit Utilisation]],P326)</f>
        <v>264401.69982606132</v>
      </c>
      <c r="N327" s="15">
        <f>Output[[#This Row],[Capital Debut Period]]*Output[[#This Row],[Tx_interet_M]]</f>
        <v>1322.0084991303065</v>
      </c>
      <c r="O327" s="15">
        <f>Output[[#This Row],[Mensualité initial]]-Output[[#This Row],[Interet]]</f>
        <v>2577.9915008696935</v>
      </c>
      <c r="P327" s="15">
        <f>Output[[#This Row],[Capital Debut Period]]-Output[[#This Row],[Paiement Principal]]</f>
        <v>261823.70832519163</v>
      </c>
      <c r="Q327" s="15">
        <f>Output[[#This Row],[Droit Utilisation]]/Output[[#This Row],[Duree_Mois]]</f>
        <v>3178.1769702210531</v>
      </c>
    </row>
    <row r="328" spans="1:17" x14ac:dyDescent="0.25">
      <c r="A328" s="11" t="s">
        <v>6</v>
      </c>
      <c r="B328" s="12">
        <v>42552</v>
      </c>
      <c r="C328">
        <v>3900</v>
      </c>
      <c r="D328">
        <v>7</v>
      </c>
      <c r="E328">
        <v>0.06</v>
      </c>
      <c r="F328">
        <v>84</v>
      </c>
      <c r="G328" s="13">
        <v>42643</v>
      </c>
      <c r="H328">
        <v>327</v>
      </c>
      <c r="I328">
        <v>3</v>
      </c>
      <c r="J328">
        <v>5.0000000000000001E-3</v>
      </c>
      <c r="K328" s="14">
        <v>3842.080161308259</v>
      </c>
      <c r="L328" s="14">
        <v>266966.86549856846</v>
      </c>
      <c r="M328" s="36">
        <f>IF(Output[[#This Row],[Index]]=1,Output[[#This Row],[Droit Utilisation]],P327)</f>
        <v>261823.70832519163</v>
      </c>
      <c r="N328" s="15">
        <f>Output[[#This Row],[Capital Debut Period]]*Output[[#This Row],[Tx_interet_M]]</f>
        <v>1309.1185416259582</v>
      </c>
      <c r="O328" s="15">
        <f>Output[[#This Row],[Mensualité initial]]-Output[[#This Row],[Interet]]</f>
        <v>2590.8814583740418</v>
      </c>
      <c r="P328" s="15">
        <f>Output[[#This Row],[Capital Debut Period]]-Output[[#This Row],[Paiement Principal]]</f>
        <v>259232.8268668176</v>
      </c>
      <c r="Q328" s="15">
        <f>Output[[#This Row],[Droit Utilisation]]/Output[[#This Row],[Duree_Mois]]</f>
        <v>3178.1769702210531</v>
      </c>
    </row>
    <row r="329" spans="1:17" x14ac:dyDescent="0.25">
      <c r="A329" s="11" t="s">
        <v>6</v>
      </c>
      <c r="B329" s="12">
        <v>42552</v>
      </c>
      <c r="C329">
        <v>3900</v>
      </c>
      <c r="D329">
        <v>7</v>
      </c>
      <c r="E329">
        <v>0.06</v>
      </c>
      <c r="F329">
        <v>84</v>
      </c>
      <c r="G329" s="13">
        <v>42674</v>
      </c>
      <c r="H329">
        <v>328</v>
      </c>
      <c r="I329">
        <v>4</v>
      </c>
      <c r="J329">
        <v>5.0000000000000001E-3</v>
      </c>
      <c r="K329" s="14">
        <v>3822.9653346350838</v>
      </c>
      <c r="L329" s="14">
        <v>266966.86549856846</v>
      </c>
      <c r="M329" s="36">
        <f>IF(Output[[#This Row],[Index]]=1,Output[[#This Row],[Droit Utilisation]],P328)</f>
        <v>259232.8268668176</v>
      </c>
      <c r="N329" s="15">
        <f>Output[[#This Row],[Capital Debut Period]]*Output[[#This Row],[Tx_interet_M]]</f>
        <v>1296.164134334088</v>
      </c>
      <c r="O329" s="15">
        <f>Output[[#This Row],[Mensualité initial]]-Output[[#This Row],[Interet]]</f>
        <v>2603.835865665912</v>
      </c>
      <c r="P329" s="15">
        <f>Output[[#This Row],[Capital Debut Period]]-Output[[#This Row],[Paiement Principal]]</f>
        <v>256628.99100115168</v>
      </c>
      <c r="Q329" s="15">
        <f>Output[[#This Row],[Droit Utilisation]]/Output[[#This Row],[Duree_Mois]]</f>
        <v>3178.1769702210531</v>
      </c>
    </row>
    <row r="330" spans="1:17" x14ac:dyDescent="0.25">
      <c r="A330" s="11" t="s">
        <v>6</v>
      </c>
      <c r="B330" s="12">
        <v>42552</v>
      </c>
      <c r="C330">
        <v>3900</v>
      </c>
      <c r="D330">
        <v>7</v>
      </c>
      <c r="E330">
        <v>0.06</v>
      </c>
      <c r="F330">
        <v>84</v>
      </c>
      <c r="G330" s="13">
        <v>42704</v>
      </c>
      <c r="H330">
        <v>329</v>
      </c>
      <c r="I330">
        <v>5</v>
      </c>
      <c r="J330">
        <v>5.0000000000000001E-3</v>
      </c>
      <c r="K330" s="14">
        <v>3803.9456066020739</v>
      </c>
      <c r="L330" s="14">
        <v>266966.86549856846</v>
      </c>
      <c r="M330" s="36">
        <f>IF(Output[[#This Row],[Index]]=1,Output[[#This Row],[Droit Utilisation]],P329)</f>
        <v>256628.99100115168</v>
      </c>
      <c r="N330" s="15">
        <f>Output[[#This Row],[Capital Debut Period]]*Output[[#This Row],[Tx_interet_M]]</f>
        <v>1283.1449550057584</v>
      </c>
      <c r="O330" s="15">
        <f>Output[[#This Row],[Mensualité initial]]-Output[[#This Row],[Interet]]</f>
        <v>2616.8550449942413</v>
      </c>
      <c r="P330" s="15">
        <f>Output[[#This Row],[Capital Debut Period]]-Output[[#This Row],[Paiement Principal]]</f>
        <v>254012.13595615744</v>
      </c>
      <c r="Q330" s="15">
        <f>Output[[#This Row],[Droit Utilisation]]/Output[[#This Row],[Duree_Mois]]</f>
        <v>3178.1769702210531</v>
      </c>
    </row>
    <row r="331" spans="1:17" x14ac:dyDescent="0.25">
      <c r="A331" s="11" t="s">
        <v>6</v>
      </c>
      <c r="B331" s="12">
        <v>42552</v>
      </c>
      <c r="C331">
        <v>3900</v>
      </c>
      <c r="D331">
        <v>7</v>
      </c>
      <c r="E331">
        <v>0.06</v>
      </c>
      <c r="F331">
        <v>84</v>
      </c>
      <c r="G331" s="13">
        <v>42735</v>
      </c>
      <c r="H331">
        <v>330</v>
      </c>
      <c r="I331">
        <v>6</v>
      </c>
      <c r="J331">
        <v>5.0000000000000001E-3</v>
      </c>
      <c r="K331" s="14">
        <v>3785.0205040816659</v>
      </c>
      <c r="L331" s="14">
        <v>266966.86549856846</v>
      </c>
      <c r="M331" s="36">
        <f>IF(Output[[#This Row],[Index]]=1,Output[[#This Row],[Droit Utilisation]],P330)</f>
        <v>254012.13595615744</v>
      </c>
      <c r="N331" s="15">
        <f>Output[[#This Row],[Capital Debut Period]]*Output[[#This Row],[Tx_interet_M]]</f>
        <v>1270.0606797807873</v>
      </c>
      <c r="O331" s="15">
        <f>Output[[#This Row],[Mensualité initial]]-Output[[#This Row],[Interet]]</f>
        <v>2629.9393202192127</v>
      </c>
      <c r="P331" s="15">
        <f>Output[[#This Row],[Capital Debut Period]]-Output[[#This Row],[Paiement Principal]]</f>
        <v>251382.19663593822</v>
      </c>
      <c r="Q331" s="15">
        <f>Output[[#This Row],[Droit Utilisation]]/Output[[#This Row],[Duree_Mois]]</f>
        <v>3178.1769702210531</v>
      </c>
    </row>
    <row r="332" spans="1:17" x14ac:dyDescent="0.25">
      <c r="A332" s="11" t="s">
        <v>6</v>
      </c>
      <c r="B332" s="12">
        <v>42552</v>
      </c>
      <c r="C332">
        <v>3900</v>
      </c>
      <c r="D332">
        <v>7</v>
      </c>
      <c r="E332">
        <v>0.06</v>
      </c>
      <c r="F332">
        <v>84</v>
      </c>
      <c r="G332" s="13">
        <v>42766</v>
      </c>
      <c r="H332">
        <v>331</v>
      </c>
      <c r="I332">
        <v>7</v>
      </c>
      <c r="J332">
        <v>5.0000000000000001E-3</v>
      </c>
      <c r="K332" s="14">
        <v>3766.1895563001658</v>
      </c>
      <c r="L332" s="14">
        <v>266966.86549856846</v>
      </c>
      <c r="M332" s="36">
        <f>IF(Output[[#This Row],[Index]]=1,Output[[#This Row],[Droit Utilisation]],P331)</f>
        <v>251382.19663593822</v>
      </c>
      <c r="N332" s="15">
        <f>Output[[#This Row],[Capital Debut Period]]*Output[[#This Row],[Tx_interet_M]]</f>
        <v>1256.9109831796911</v>
      </c>
      <c r="O332" s="15">
        <f>Output[[#This Row],[Mensualité initial]]-Output[[#This Row],[Interet]]</f>
        <v>2643.0890168203086</v>
      </c>
      <c r="P332" s="15">
        <f>Output[[#This Row],[Capital Debut Period]]-Output[[#This Row],[Paiement Principal]]</f>
        <v>248739.10761911792</v>
      </c>
      <c r="Q332" s="15">
        <f>Output[[#This Row],[Droit Utilisation]]/Output[[#This Row],[Duree_Mois]]</f>
        <v>3178.1769702210531</v>
      </c>
    </row>
    <row r="333" spans="1:17" x14ac:dyDescent="0.25">
      <c r="A333" s="11" t="s">
        <v>6</v>
      </c>
      <c r="B333" s="12">
        <v>42552</v>
      </c>
      <c r="C333">
        <v>3900</v>
      </c>
      <c r="D333">
        <v>7</v>
      </c>
      <c r="E333">
        <v>0.06</v>
      </c>
      <c r="F333">
        <v>84</v>
      </c>
      <c r="G333" s="13">
        <v>42794</v>
      </c>
      <c r="H333">
        <v>332</v>
      </c>
      <c r="I333">
        <v>8</v>
      </c>
      <c r="J333">
        <v>5.0000000000000001E-3</v>
      </c>
      <c r="K333" s="14">
        <v>3747.4522948260355</v>
      </c>
      <c r="L333" s="14">
        <v>266966.86549856846</v>
      </c>
      <c r="M333" s="36">
        <f>IF(Output[[#This Row],[Index]]=1,Output[[#This Row],[Droit Utilisation]],P332)</f>
        <v>248739.10761911792</v>
      </c>
      <c r="N333" s="15">
        <f>Output[[#This Row],[Capital Debut Period]]*Output[[#This Row],[Tx_interet_M]]</f>
        <v>1243.6955380955897</v>
      </c>
      <c r="O333" s="15">
        <f>Output[[#This Row],[Mensualité initial]]-Output[[#This Row],[Interet]]</f>
        <v>2656.3044619044103</v>
      </c>
      <c r="P333" s="15">
        <f>Output[[#This Row],[Capital Debut Period]]-Output[[#This Row],[Paiement Principal]]</f>
        <v>246082.80315721349</v>
      </c>
      <c r="Q333" s="15">
        <f>Output[[#This Row],[Droit Utilisation]]/Output[[#This Row],[Duree_Mois]]</f>
        <v>3178.1769702210531</v>
      </c>
    </row>
    <row r="334" spans="1:17" x14ac:dyDescent="0.25">
      <c r="A334" s="11" t="s">
        <v>6</v>
      </c>
      <c r="B334" s="12">
        <v>42552</v>
      </c>
      <c r="C334">
        <v>3900</v>
      </c>
      <c r="D334">
        <v>7</v>
      </c>
      <c r="E334">
        <v>0.06</v>
      </c>
      <c r="F334">
        <v>84</v>
      </c>
      <c r="G334" s="13">
        <v>42825</v>
      </c>
      <c r="H334">
        <v>333</v>
      </c>
      <c r="I334">
        <v>9</v>
      </c>
      <c r="J334">
        <v>5.0000000000000001E-3</v>
      </c>
      <c r="K334" s="14">
        <v>3728.8082535582448</v>
      </c>
      <c r="L334" s="14">
        <v>266966.86549856846</v>
      </c>
      <c r="M334" s="36">
        <f>IF(Output[[#This Row],[Index]]=1,Output[[#This Row],[Droit Utilisation]],P333)</f>
        <v>246082.80315721349</v>
      </c>
      <c r="N334" s="15">
        <f>Output[[#This Row],[Capital Debut Period]]*Output[[#This Row],[Tx_interet_M]]</f>
        <v>1230.4140157860675</v>
      </c>
      <c r="O334" s="15">
        <f>Output[[#This Row],[Mensualité initial]]-Output[[#This Row],[Interet]]</f>
        <v>2669.5859842139325</v>
      </c>
      <c r="P334" s="15">
        <f>Output[[#This Row],[Capital Debut Period]]-Output[[#This Row],[Paiement Principal]]</f>
        <v>243413.21717299958</v>
      </c>
      <c r="Q334" s="15">
        <f>Output[[#This Row],[Droit Utilisation]]/Output[[#This Row],[Duree_Mois]]</f>
        <v>3178.1769702210531</v>
      </c>
    </row>
    <row r="335" spans="1:17" x14ac:dyDescent="0.25">
      <c r="A335" s="11" t="s">
        <v>6</v>
      </c>
      <c r="B335" s="12">
        <v>42552</v>
      </c>
      <c r="C335">
        <v>3900</v>
      </c>
      <c r="D335">
        <v>7</v>
      </c>
      <c r="E335">
        <v>0.06</v>
      </c>
      <c r="F335">
        <v>84</v>
      </c>
      <c r="G335" s="13">
        <v>42855</v>
      </c>
      <c r="H335">
        <v>334</v>
      </c>
      <c r="I335">
        <v>10</v>
      </c>
      <c r="J335">
        <v>5.0000000000000001E-3</v>
      </c>
      <c r="K335" s="14">
        <v>3710.256968714672</v>
      </c>
      <c r="L335" s="14">
        <v>266966.86549856846</v>
      </c>
      <c r="M335" s="36">
        <f>IF(Output[[#This Row],[Index]]=1,Output[[#This Row],[Droit Utilisation]],P334)</f>
        <v>243413.21717299958</v>
      </c>
      <c r="N335" s="15">
        <f>Output[[#This Row],[Capital Debut Period]]*Output[[#This Row],[Tx_interet_M]]</f>
        <v>1217.0660858649978</v>
      </c>
      <c r="O335" s="15">
        <f>Output[[#This Row],[Mensualité initial]]-Output[[#This Row],[Interet]]</f>
        <v>2682.9339141350019</v>
      </c>
      <c r="P335" s="15">
        <f>Output[[#This Row],[Capital Debut Period]]-Output[[#This Row],[Paiement Principal]]</f>
        <v>240730.28325886457</v>
      </c>
      <c r="Q335" s="15">
        <f>Output[[#This Row],[Droit Utilisation]]/Output[[#This Row],[Duree_Mois]]</f>
        <v>3178.1769702210531</v>
      </c>
    </row>
    <row r="336" spans="1:17" x14ac:dyDescent="0.25">
      <c r="A336" s="11" t="s">
        <v>6</v>
      </c>
      <c r="B336" s="12">
        <v>42552</v>
      </c>
      <c r="C336">
        <v>3900</v>
      </c>
      <c r="D336">
        <v>7</v>
      </c>
      <c r="E336">
        <v>0.06</v>
      </c>
      <c r="F336">
        <v>84</v>
      </c>
      <c r="G336" s="13">
        <v>42886</v>
      </c>
      <c r="H336">
        <v>335</v>
      </c>
      <c r="I336">
        <v>11</v>
      </c>
      <c r="J336">
        <v>5.0000000000000001E-3</v>
      </c>
      <c r="K336" s="14">
        <v>3691.7979788205698</v>
      </c>
      <c r="L336" s="14">
        <v>266966.86549856846</v>
      </c>
      <c r="M336" s="36">
        <f>IF(Output[[#This Row],[Index]]=1,Output[[#This Row],[Droit Utilisation]],P335)</f>
        <v>240730.28325886457</v>
      </c>
      <c r="N336" s="15">
        <f>Output[[#This Row],[Capital Debut Period]]*Output[[#This Row],[Tx_interet_M]]</f>
        <v>1203.6514162943229</v>
      </c>
      <c r="O336" s="15">
        <f>Output[[#This Row],[Mensualité initial]]-Output[[#This Row],[Interet]]</f>
        <v>2696.3485837056769</v>
      </c>
      <c r="P336" s="15">
        <f>Output[[#This Row],[Capital Debut Period]]-Output[[#This Row],[Paiement Principal]]</f>
        <v>238033.9346751589</v>
      </c>
      <c r="Q336" s="15">
        <f>Output[[#This Row],[Droit Utilisation]]/Output[[#This Row],[Duree_Mois]]</f>
        <v>3178.1769702210531</v>
      </c>
    </row>
    <row r="337" spans="1:17" x14ac:dyDescent="0.25">
      <c r="A337" s="11" t="s">
        <v>6</v>
      </c>
      <c r="B337" s="12">
        <v>42552</v>
      </c>
      <c r="C337">
        <v>3900</v>
      </c>
      <c r="D337">
        <v>7</v>
      </c>
      <c r="E337">
        <v>0.06</v>
      </c>
      <c r="F337">
        <v>84</v>
      </c>
      <c r="G337" s="13">
        <v>42916</v>
      </c>
      <c r="H337">
        <v>336</v>
      </c>
      <c r="I337">
        <v>12</v>
      </c>
      <c r="J337">
        <v>5.0000000000000001E-3</v>
      </c>
      <c r="K337" s="14">
        <v>3673.4308246970845</v>
      </c>
      <c r="L337" s="14">
        <v>266966.86549856846</v>
      </c>
      <c r="M337" s="36">
        <f>IF(Output[[#This Row],[Index]]=1,Output[[#This Row],[Droit Utilisation]],P336)</f>
        <v>238033.9346751589</v>
      </c>
      <c r="N337" s="15">
        <f>Output[[#This Row],[Capital Debut Period]]*Output[[#This Row],[Tx_interet_M]]</f>
        <v>1190.1696733757944</v>
      </c>
      <c r="O337" s="15">
        <f>Output[[#This Row],[Mensualité initial]]-Output[[#This Row],[Interet]]</f>
        <v>2709.8303266242056</v>
      </c>
      <c r="P337" s="15">
        <f>Output[[#This Row],[Capital Debut Period]]-Output[[#This Row],[Paiement Principal]]</f>
        <v>235324.10434853469</v>
      </c>
      <c r="Q337" s="15">
        <f>Output[[#This Row],[Droit Utilisation]]/Output[[#This Row],[Duree_Mois]]</f>
        <v>3178.1769702210531</v>
      </c>
    </row>
    <row r="338" spans="1:17" x14ac:dyDescent="0.25">
      <c r="A338" s="11" t="s">
        <v>6</v>
      </c>
      <c r="B338" s="12">
        <v>42552</v>
      </c>
      <c r="C338">
        <v>3900</v>
      </c>
      <c r="D338">
        <v>7</v>
      </c>
      <c r="E338">
        <v>0.06</v>
      </c>
      <c r="F338">
        <v>84</v>
      </c>
      <c r="G338" s="13">
        <v>42947</v>
      </c>
      <c r="H338">
        <v>337</v>
      </c>
      <c r="I338">
        <v>13</v>
      </c>
      <c r="J338">
        <v>5.0000000000000001E-3</v>
      </c>
      <c r="K338" s="14">
        <v>3655.155049449836</v>
      </c>
      <c r="L338" s="14">
        <v>266966.86549856846</v>
      </c>
      <c r="M338" s="36">
        <f>IF(Output[[#This Row],[Index]]=1,Output[[#This Row],[Droit Utilisation]],P337)</f>
        <v>235324.10434853469</v>
      </c>
      <c r="N338" s="15">
        <f>Output[[#This Row],[Capital Debut Period]]*Output[[#This Row],[Tx_interet_M]]</f>
        <v>1176.6205217426734</v>
      </c>
      <c r="O338" s="15">
        <f>Output[[#This Row],[Mensualité initial]]-Output[[#This Row],[Interet]]</f>
        <v>2723.3794782573268</v>
      </c>
      <c r="P338" s="15">
        <f>Output[[#This Row],[Capital Debut Period]]-Output[[#This Row],[Paiement Principal]]</f>
        <v>232600.72487027736</v>
      </c>
      <c r="Q338" s="15">
        <f>Output[[#This Row],[Droit Utilisation]]/Output[[#This Row],[Duree_Mois]]</f>
        <v>3178.1769702210531</v>
      </c>
    </row>
    <row r="339" spans="1:17" x14ac:dyDescent="0.25">
      <c r="A339" s="11" t="s">
        <v>6</v>
      </c>
      <c r="B339" s="12">
        <v>42552</v>
      </c>
      <c r="C339">
        <v>3900</v>
      </c>
      <c r="D339">
        <v>7</v>
      </c>
      <c r="E339">
        <v>0.06</v>
      </c>
      <c r="F339">
        <v>84</v>
      </c>
      <c r="G339" s="13">
        <v>42978</v>
      </c>
      <c r="H339">
        <v>338</v>
      </c>
      <c r="I339">
        <v>14</v>
      </c>
      <c r="J339">
        <v>5.0000000000000001E-3</v>
      </c>
      <c r="K339" s="14">
        <v>3636.9701984575486</v>
      </c>
      <c r="L339" s="14">
        <v>266966.86549856846</v>
      </c>
      <c r="M339" s="36">
        <f>IF(Output[[#This Row],[Index]]=1,Output[[#This Row],[Droit Utilisation]],P338)</f>
        <v>232600.72487027736</v>
      </c>
      <c r="N339" s="15">
        <f>Output[[#This Row],[Capital Debut Period]]*Output[[#This Row],[Tx_interet_M]]</f>
        <v>1163.0036243513869</v>
      </c>
      <c r="O339" s="15">
        <f>Output[[#This Row],[Mensualité initial]]-Output[[#This Row],[Interet]]</f>
        <v>2736.9963756486131</v>
      </c>
      <c r="P339" s="15">
        <f>Output[[#This Row],[Capital Debut Period]]-Output[[#This Row],[Paiement Principal]]</f>
        <v>229863.72849462874</v>
      </c>
      <c r="Q339" s="15">
        <f>Output[[#This Row],[Droit Utilisation]]/Output[[#This Row],[Duree_Mois]]</f>
        <v>3178.1769702210531</v>
      </c>
    </row>
    <row r="340" spans="1:17" x14ac:dyDescent="0.25">
      <c r="A340" s="11" t="s">
        <v>6</v>
      </c>
      <c r="B340" s="12">
        <v>42552</v>
      </c>
      <c r="C340">
        <v>3900</v>
      </c>
      <c r="D340">
        <v>7</v>
      </c>
      <c r="E340">
        <v>0.06</v>
      </c>
      <c r="F340">
        <v>84</v>
      </c>
      <c r="G340" s="13">
        <v>43008</v>
      </c>
      <c r="H340">
        <v>339</v>
      </c>
      <c r="I340">
        <v>15</v>
      </c>
      <c r="J340">
        <v>5.0000000000000001E-3</v>
      </c>
      <c r="K340" s="14">
        <v>3618.8758193607455</v>
      </c>
      <c r="L340" s="14">
        <v>266966.86549856846</v>
      </c>
      <c r="M340" s="36">
        <f>IF(Output[[#This Row],[Index]]=1,Output[[#This Row],[Droit Utilisation]],P339)</f>
        <v>229863.72849462874</v>
      </c>
      <c r="N340" s="15">
        <f>Output[[#This Row],[Capital Debut Period]]*Output[[#This Row],[Tx_interet_M]]</f>
        <v>1149.3186424731437</v>
      </c>
      <c r="O340" s="15">
        <f>Output[[#This Row],[Mensualité initial]]-Output[[#This Row],[Interet]]</f>
        <v>2750.6813575268561</v>
      </c>
      <c r="P340" s="15">
        <f>Output[[#This Row],[Capital Debut Period]]-Output[[#This Row],[Paiement Principal]]</f>
        <v>227113.04713710188</v>
      </c>
      <c r="Q340" s="15">
        <f>Output[[#This Row],[Droit Utilisation]]/Output[[#This Row],[Duree_Mois]]</f>
        <v>3178.1769702210531</v>
      </c>
    </row>
    <row r="341" spans="1:17" x14ac:dyDescent="0.25">
      <c r="A341" s="11" t="s">
        <v>6</v>
      </c>
      <c r="B341" s="12">
        <v>42552</v>
      </c>
      <c r="C341">
        <v>3900</v>
      </c>
      <c r="D341">
        <v>7</v>
      </c>
      <c r="E341">
        <v>0.06</v>
      </c>
      <c r="F341">
        <v>84</v>
      </c>
      <c r="G341" s="13">
        <v>43039</v>
      </c>
      <c r="H341">
        <v>340</v>
      </c>
      <c r="I341">
        <v>16</v>
      </c>
      <c r="J341">
        <v>5.0000000000000001E-3</v>
      </c>
      <c r="K341" s="14">
        <v>3600.8714620504929</v>
      </c>
      <c r="L341" s="14">
        <v>266966.86549856846</v>
      </c>
      <c r="M341" s="36">
        <f>IF(Output[[#This Row],[Index]]=1,Output[[#This Row],[Droit Utilisation]],P340)</f>
        <v>227113.04713710188</v>
      </c>
      <c r="N341" s="15">
        <f>Output[[#This Row],[Capital Debut Period]]*Output[[#This Row],[Tx_interet_M]]</f>
        <v>1135.5652356855094</v>
      </c>
      <c r="O341" s="15">
        <f>Output[[#This Row],[Mensualité initial]]-Output[[#This Row],[Interet]]</f>
        <v>2764.4347643144906</v>
      </c>
      <c r="P341" s="15">
        <f>Output[[#This Row],[Capital Debut Period]]-Output[[#This Row],[Paiement Principal]]</f>
        <v>224348.61237278738</v>
      </c>
      <c r="Q341" s="15">
        <f>Output[[#This Row],[Droit Utilisation]]/Output[[#This Row],[Duree_Mois]]</f>
        <v>3178.1769702210531</v>
      </c>
    </row>
    <row r="342" spans="1:17" x14ac:dyDescent="0.25">
      <c r="A342" s="11" t="s">
        <v>6</v>
      </c>
      <c r="B342" s="12">
        <v>42552</v>
      </c>
      <c r="C342">
        <v>3900</v>
      </c>
      <c r="D342">
        <v>7</v>
      </c>
      <c r="E342">
        <v>0.06</v>
      </c>
      <c r="F342">
        <v>84</v>
      </c>
      <c r="G342" s="13">
        <v>43069</v>
      </c>
      <c r="H342">
        <v>341</v>
      </c>
      <c r="I342">
        <v>17</v>
      </c>
      <c r="J342">
        <v>5.0000000000000001E-3</v>
      </c>
      <c r="K342" s="14">
        <v>3582.9566786572072</v>
      </c>
      <c r="L342" s="14">
        <v>266966.86549856846</v>
      </c>
      <c r="M342" s="36">
        <f>IF(Output[[#This Row],[Index]]=1,Output[[#This Row],[Droit Utilisation]],P341)</f>
        <v>224348.61237278738</v>
      </c>
      <c r="N342" s="15">
        <f>Output[[#This Row],[Capital Debut Period]]*Output[[#This Row],[Tx_interet_M]]</f>
        <v>1121.7430618639369</v>
      </c>
      <c r="O342" s="15">
        <f>Output[[#This Row],[Mensualité initial]]-Output[[#This Row],[Interet]]</f>
        <v>2778.2569381360631</v>
      </c>
      <c r="P342" s="15">
        <f>Output[[#This Row],[Capital Debut Period]]-Output[[#This Row],[Paiement Principal]]</f>
        <v>221570.35543465131</v>
      </c>
      <c r="Q342" s="15">
        <f>Output[[#This Row],[Droit Utilisation]]/Output[[#This Row],[Duree_Mois]]</f>
        <v>3178.1769702210531</v>
      </c>
    </row>
    <row r="343" spans="1:17" x14ac:dyDescent="0.25">
      <c r="A343" s="11" t="s">
        <v>6</v>
      </c>
      <c r="B343" s="12">
        <v>42552</v>
      </c>
      <c r="C343">
        <v>3900</v>
      </c>
      <c r="D343">
        <v>7</v>
      </c>
      <c r="E343">
        <v>0.06</v>
      </c>
      <c r="F343">
        <v>84</v>
      </c>
      <c r="G343" s="13">
        <v>43100</v>
      </c>
      <c r="H343">
        <v>342</v>
      </c>
      <c r="I343">
        <v>18</v>
      </c>
      <c r="J343">
        <v>5.0000000000000001E-3</v>
      </c>
      <c r="K343" s="14">
        <v>3565.1310235395104</v>
      </c>
      <c r="L343" s="14">
        <v>266966.86549856846</v>
      </c>
      <c r="M343" s="36">
        <f>IF(Output[[#This Row],[Index]]=1,Output[[#This Row],[Droit Utilisation]],P342)</f>
        <v>221570.35543465131</v>
      </c>
      <c r="N343" s="15">
        <f>Output[[#This Row],[Capital Debut Period]]*Output[[#This Row],[Tx_interet_M]]</f>
        <v>1107.8517771732566</v>
      </c>
      <c r="O343" s="15">
        <f>Output[[#This Row],[Mensualité initial]]-Output[[#This Row],[Interet]]</f>
        <v>2792.1482228267432</v>
      </c>
      <c r="P343" s="15">
        <f>Output[[#This Row],[Capital Debut Period]]-Output[[#This Row],[Paiement Principal]]</f>
        <v>218778.20721182457</v>
      </c>
      <c r="Q343" s="15">
        <f>Output[[#This Row],[Droit Utilisation]]/Output[[#This Row],[Duree_Mois]]</f>
        <v>3178.1769702210531</v>
      </c>
    </row>
    <row r="344" spans="1:17" x14ac:dyDescent="0.25">
      <c r="A344" s="11" t="s">
        <v>6</v>
      </c>
      <c r="B344" s="12">
        <v>42552</v>
      </c>
      <c r="C344">
        <v>3900</v>
      </c>
      <c r="D344">
        <v>7</v>
      </c>
      <c r="E344">
        <v>0.06</v>
      </c>
      <c r="F344">
        <v>84</v>
      </c>
      <c r="G344" s="13">
        <v>43131</v>
      </c>
      <c r="H344">
        <v>343</v>
      </c>
      <c r="I344">
        <v>19</v>
      </c>
      <c r="J344">
        <v>5.0000000000000001E-3</v>
      </c>
      <c r="K344" s="14">
        <v>3547.3940532731449</v>
      </c>
      <c r="L344" s="14">
        <v>266966.86549856846</v>
      </c>
      <c r="M344" s="36">
        <f>IF(Output[[#This Row],[Index]]=1,Output[[#This Row],[Droit Utilisation]],P343)</f>
        <v>218778.20721182457</v>
      </c>
      <c r="N344" s="15">
        <f>Output[[#This Row],[Capital Debut Period]]*Output[[#This Row],[Tx_interet_M]]</f>
        <v>1093.8910360591228</v>
      </c>
      <c r="O344" s="15">
        <f>Output[[#This Row],[Mensualité initial]]-Output[[#This Row],[Interet]]</f>
        <v>2806.1089639408774</v>
      </c>
      <c r="P344" s="15">
        <f>Output[[#This Row],[Capital Debut Period]]-Output[[#This Row],[Paiement Principal]]</f>
        <v>215972.0982478837</v>
      </c>
      <c r="Q344" s="15">
        <f>Output[[#This Row],[Droit Utilisation]]/Output[[#This Row],[Duree_Mois]]</f>
        <v>3178.1769702210531</v>
      </c>
    </row>
    <row r="345" spans="1:17" x14ac:dyDescent="0.25">
      <c r="A345" s="11" t="s">
        <v>6</v>
      </c>
      <c r="B345" s="12">
        <v>42552</v>
      </c>
      <c r="C345">
        <v>3900</v>
      </c>
      <c r="D345">
        <v>7</v>
      </c>
      <c r="E345">
        <v>0.06</v>
      </c>
      <c r="F345">
        <v>84</v>
      </c>
      <c r="G345" s="13">
        <v>43159</v>
      </c>
      <c r="H345">
        <v>344</v>
      </c>
      <c r="I345">
        <v>20</v>
      </c>
      <c r="J345">
        <v>5.0000000000000001E-3</v>
      </c>
      <c r="K345" s="14">
        <v>3529.7453266399457</v>
      </c>
      <c r="L345" s="14">
        <v>266966.86549856846</v>
      </c>
      <c r="M345" s="36">
        <f>IF(Output[[#This Row],[Index]]=1,Output[[#This Row],[Droit Utilisation]],P344)</f>
        <v>215972.0982478837</v>
      </c>
      <c r="N345" s="15">
        <f>Output[[#This Row],[Capital Debut Period]]*Output[[#This Row],[Tx_interet_M]]</f>
        <v>1079.8604912394185</v>
      </c>
      <c r="O345" s="15">
        <f>Output[[#This Row],[Mensualité initial]]-Output[[#This Row],[Interet]]</f>
        <v>2820.1395087605815</v>
      </c>
      <c r="P345" s="15">
        <f>Output[[#This Row],[Capital Debut Period]]-Output[[#This Row],[Paiement Principal]]</f>
        <v>213151.9587391231</v>
      </c>
      <c r="Q345" s="15">
        <f>Output[[#This Row],[Droit Utilisation]]/Output[[#This Row],[Duree_Mois]]</f>
        <v>3178.1769702210531</v>
      </c>
    </row>
    <row r="346" spans="1:17" x14ac:dyDescent="0.25">
      <c r="A346" s="11" t="s">
        <v>6</v>
      </c>
      <c r="B346" s="12">
        <v>42552</v>
      </c>
      <c r="C346">
        <v>3900</v>
      </c>
      <c r="D346">
        <v>7</v>
      </c>
      <c r="E346">
        <v>0.06</v>
      </c>
      <c r="F346">
        <v>84</v>
      </c>
      <c r="G346" s="13">
        <v>43190</v>
      </c>
      <c r="H346">
        <v>345</v>
      </c>
      <c r="I346">
        <v>21</v>
      </c>
      <c r="J346">
        <v>5.0000000000000001E-3</v>
      </c>
      <c r="K346" s="14">
        <v>3512.1844046168617</v>
      </c>
      <c r="L346" s="14">
        <v>266966.86549856846</v>
      </c>
      <c r="M346" s="36">
        <f>IF(Output[[#This Row],[Index]]=1,Output[[#This Row],[Droit Utilisation]],P345)</f>
        <v>213151.9587391231</v>
      </c>
      <c r="N346" s="15">
        <f>Output[[#This Row],[Capital Debut Period]]*Output[[#This Row],[Tx_interet_M]]</f>
        <v>1065.7597936956156</v>
      </c>
      <c r="O346" s="15">
        <f>Output[[#This Row],[Mensualité initial]]-Output[[#This Row],[Interet]]</f>
        <v>2834.2402063043846</v>
      </c>
      <c r="P346" s="15">
        <f>Output[[#This Row],[Capital Debut Period]]-Output[[#This Row],[Paiement Principal]]</f>
        <v>210317.71853281872</v>
      </c>
      <c r="Q346" s="15">
        <f>Output[[#This Row],[Droit Utilisation]]/Output[[#This Row],[Duree_Mois]]</f>
        <v>3178.1769702210531</v>
      </c>
    </row>
    <row r="347" spans="1:17" x14ac:dyDescent="0.25">
      <c r="A347" s="11" t="s">
        <v>6</v>
      </c>
      <c r="B347" s="12">
        <v>42552</v>
      </c>
      <c r="C347">
        <v>3900</v>
      </c>
      <c r="D347">
        <v>7</v>
      </c>
      <c r="E347">
        <v>0.06</v>
      </c>
      <c r="F347">
        <v>84</v>
      </c>
      <c r="G347" s="13">
        <v>43220</v>
      </c>
      <c r="H347">
        <v>346</v>
      </c>
      <c r="I347">
        <v>22</v>
      </c>
      <c r="J347">
        <v>5.0000000000000001E-3</v>
      </c>
      <c r="K347" s="14">
        <v>3494.710850365037</v>
      </c>
      <c r="L347" s="14">
        <v>266966.86549856846</v>
      </c>
      <c r="M347" s="36">
        <f>IF(Output[[#This Row],[Index]]=1,Output[[#This Row],[Droit Utilisation]],P346)</f>
        <v>210317.71853281872</v>
      </c>
      <c r="N347" s="15">
        <f>Output[[#This Row],[Capital Debut Period]]*Output[[#This Row],[Tx_interet_M]]</f>
        <v>1051.5885926640935</v>
      </c>
      <c r="O347" s="15">
        <f>Output[[#This Row],[Mensualité initial]]-Output[[#This Row],[Interet]]</f>
        <v>2848.4114073359065</v>
      </c>
      <c r="P347" s="15">
        <f>Output[[#This Row],[Capital Debut Period]]-Output[[#This Row],[Paiement Principal]]</f>
        <v>207469.30712548282</v>
      </c>
      <c r="Q347" s="15">
        <f>Output[[#This Row],[Droit Utilisation]]/Output[[#This Row],[Duree_Mois]]</f>
        <v>3178.1769702210531</v>
      </c>
    </row>
    <row r="348" spans="1:17" x14ac:dyDescent="0.25">
      <c r="A348" s="11" t="s">
        <v>6</v>
      </c>
      <c r="B348" s="12">
        <v>42552</v>
      </c>
      <c r="C348">
        <v>3900</v>
      </c>
      <c r="D348">
        <v>7</v>
      </c>
      <c r="E348">
        <v>0.06</v>
      </c>
      <c r="F348">
        <v>84</v>
      </c>
      <c r="G348" s="13">
        <v>43251</v>
      </c>
      <c r="H348">
        <v>347</v>
      </c>
      <c r="I348">
        <v>23</v>
      </c>
      <c r="J348">
        <v>5.0000000000000001E-3</v>
      </c>
      <c r="K348" s="14">
        <v>3477.3242292189425</v>
      </c>
      <c r="L348" s="14">
        <v>266966.86549856846</v>
      </c>
      <c r="M348" s="36">
        <f>IF(Output[[#This Row],[Index]]=1,Output[[#This Row],[Droit Utilisation]],P347)</f>
        <v>207469.30712548282</v>
      </c>
      <c r="N348" s="15">
        <f>Output[[#This Row],[Capital Debut Period]]*Output[[#This Row],[Tx_interet_M]]</f>
        <v>1037.3465356274141</v>
      </c>
      <c r="O348" s="15">
        <f>Output[[#This Row],[Mensualité initial]]-Output[[#This Row],[Interet]]</f>
        <v>2862.6534643725859</v>
      </c>
      <c r="P348" s="15">
        <f>Output[[#This Row],[Capital Debut Period]]-Output[[#This Row],[Paiement Principal]]</f>
        <v>204606.65366111023</v>
      </c>
      <c r="Q348" s="15">
        <f>Output[[#This Row],[Droit Utilisation]]/Output[[#This Row],[Duree_Mois]]</f>
        <v>3178.1769702210531</v>
      </c>
    </row>
    <row r="349" spans="1:17" x14ac:dyDescent="0.25">
      <c r="A349" s="11" t="s">
        <v>6</v>
      </c>
      <c r="B349" s="12">
        <v>42552</v>
      </c>
      <c r="C349">
        <v>3900</v>
      </c>
      <c r="D349">
        <v>7</v>
      </c>
      <c r="E349">
        <v>0.06</v>
      </c>
      <c r="F349">
        <v>84</v>
      </c>
      <c r="G349" s="13">
        <v>43281</v>
      </c>
      <c r="H349">
        <v>348</v>
      </c>
      <c r="I349">
        <v>24</v>
      </c>
      <c r="J349">
        <v>5.0000000000000001E-3</v>
      </c>
      <c r="K349" s="14">
        <v>3460.024108675565</v>
      </c>
      <c r="L349" s="14">
        <v>266966.86549856846</v>
      </c>
      <c r="M349" s="36">
        <f>IF(Output[[#This Row],[Index]]=1,Output[[#This Row],[Droit Utilisation]],P348)</f>
        <v>204606.65366111023</v>
      </c>
      <c r="N349" s="15">
        <f>Output[[#This Row],[Capital Debut Period]]*Output[[#This Row],[Tx_interet_M]]</f>
        <v>1023.0332683055512</v>
      </c>
      <c r="O349" s="15">
        <f>Output[[#This Row],[Mensualité initial]]-Output[[#This Row],[Interet]]</f>
        <v>2876.9667316944488</v>
      </c>
      <c r="P349" s="15">
        <f>Output[[#This Row],[Capital Debut Period]]-Output[[#This Row],[Paiement Principal]]</f>
        <v>201729.6869294158</v>
      </c>
      <c r="Q349" s="15">
        <f>Output[[#This Row],[Droit Utilisation]]/Output[[#This Row],[Duree_Mois]]</f>
        <v>3178.1769702210531</v>
      </c>
    </row>
    <row r="350" spans="1:17" x14ac:dyDescent="0.25">
      <c r="A350" s="11" t="s">
        <v>6</v>
      </c>
      <c r="B350" s="12">
        <v>42552</v>
      </c>
      <c r="C350">
        <v>3900</v>
      </c>
      <c r="D350">
        <v>7</v>
      </c>
      <c r="E350">
        <v>0.06</v>
      </c>
      <c r="F350">
        <v>84</v>
      </c>
      <c r="G350" s="13">
        <v>43312</v>
      </c>
      <c r="H350">
        <v>349</v>
      </c>
      <c r="I350">
        <v>25</v>
      </c>
      <c r="J350">
        <v>5.0000000000000001E-3</v>
      </c>
      <c r="K350" s="14">
        <v>3442.8100583836472</v>
      </c>
      <c r="L350" s="14">
        <v>266966.86549856846</v>
      </c>
      <c r="M350" s="36">
        <f>IF(Output[[#This Row],[Index]]=1,Output[[#This Row],[Droit Utilisation]],P349)</f>
        <v>201729.6869294158</v>
      </c>
      <c r="N350" s="15">
        <f>Output[[#This Row],[Capital Debut Period]]*Output[[#This Row],[Tx_interet_M]]</f>
        <v>1008.6484346470789</v>
      </c>
      <c r="O350" s="15">
        <f>Output[[#This Row],[Mensualité initial]]-Output[[#This Row],[Interet]]</f>
        <v>2891.3515653529212</v>
      </c>
      <c r="P350" s="15">
        <f>Output[[#This Row],[Capital Debut Period]]-Output[[#This Row],[Paiement Principal]]</f>
        <v>198838.33536406286</v>
      </c>
      <c r="Q350" s="15">
        <f>Output[[#This Row],[Droit Utilisation]]/Output[[#This Row],[Duree_Mois]]</f>
        <v>3178.1769702210531</v>
      </c>
    </row>
    <row r="351" spans="1:17" x14ac:dyDescent="0.25">
      <c r="A351" s="11" t="s">
        <v>6</v>
      </c>
      <c r="B351" s="12">
        <v>42552</v>
      </c>
      <c r="C351">
        <v>3900</v>
      </c>
      <c r="D351">
        <v>7</v>
      </c>
      <c r="E351">
        <v>0.06</v>
      </c>
      <c r="F351">
        <v>84</v>
      </c>
      <c r="G351" s="13">
        <v>43343</v>
      </c>
      <c r="H351">
        <v>350</v>
      </c>
      <c r="I351">
        <v>26</v>
      </c>
      <c r="J351">
        <v>5.0000000000000001E-3</v>
      </c>
      <c r="K351" s="14">
        <v>3425.6816501329827</v>
      </c>
      <c r="L351" s="14">
        <v>266966.86549856846</v>
      </c>
      <c r="M351" s="36">
        <f>IF(Output[[#This Row],[Index]]=1,Output[[#This Row],[Droit Utilisation]],P350)</f>
        <v>198838.33536406286</v>
      </c>
      <c r="N351" s="15">
        <f>Output[[#This Row],[Capital Debut Period]]*Output[[#This Row],[Tx_interet_M]]</f>
        <v>994.19167682031434</v>
      </c>
      <c r="O351" s="15">
        <f>Output[[#This Row],[Mensualité initial]]-Output[[#This Row],[Interet]]</f>
        <v>2905.8083231796854</v>
      </c>
      <c r="P351" s="15">
        <f>Output[[#This Row],[Capital Debut Period]]-Output[[#This Row],[Paiement Principal]]</f>
        <v>195932.52704088317</v>
      </c>
      <c r="Q351" s="15">
        <f>Output[[#This Row],[Droit Utilisation]]/Output[[#This Row],[Duree_Mois]]</f>
        <v>3178.1769702210531</v>
      </c>
    </row>
    <row r="352" spans="1:17" x14ac:dyDescent="0.25">
      <c r="A352" s="11" t="s">
        <v>6</v>
      </c>
      <c r="B352" s="12">
        <v>42552</v>
      </c>
      <c r="C352">
        <v>3900</v>
      </c>
      <c r="D352">
        <v>7</v>
      </c>
      <c r="E352">
        <v>0.06</v>
      </c>
      <c r="F352">
        <v>84</v>
      </c>
      <c r="G352" s="13">
        <v>43373</v>
      </c>
      <c r="H352">
        <v>351</v>
      </c>
      <c r="I352">
        <v>27</v>
      </c>
      <c r="J352">
        <v>5.0000000000000001E-3</v>
      </c>
      <c r="K352" s="14">
        <v>3408.6384578437642</v>
      </c>
      <c r="L352" s="14">
        <v>266966.86549856846</v>
      </c>
      <c r="M352" s="36">
        <f>IF(Output[[#This Row],[Index]]=1,Output[[#This Row],[Droit Utilisation]],P351)</f>
        <v>195932.52704088317</v>
      </c>
      <c r="N352" s="15">
        <f>Output[[#This Row],[Capital Debut Period]]*Output[[#This Row],[Tx_interet_M]]</f>
        <v>979.66263520441589</v>
      </c>
      <c r="O352" s="15">
        <f>Output[[#This Row],[Mensualité initial]]-Output[[#This Row],[Interet]]</f>
        <v>2920.3373647955841</v>
      </c>
      <c r="P352" s="15">
        <f>Output[[#This Row],[Capital Debut Period]]-Output[[#This Row],[Paiement Principal]]</f>
        <v>193012.18967608758</v>
      </c>
      <c r="Q352" s="15">
        <f>Output[[#This Row],[Droit Utilisation]]/Output[[#This Row],[Duree_Mois]]</f>
        <v>3178.1769702210531</v>
      </c>
    </row>
    <row r="353" spans="1:17" x14ac:dyDescent="0.25">
      <c r="A353" s="11" t="s">
        <v>6</v>
      </c>
      <c r="B353" s="12">
        <v>42552</v>
      </c>
      <c r="C353">
        <v>3900</v>
      </c>
      <c r="D353">
        <v>7</v>
      </c>
      <c r="E353">
        <v>0.06</v>
      </c>
      <c r="F353">
        <v>84</v>
      </c>
      <c r="G353" s="13">
        <v>43404</v>
      </c>
      <c r="H353">
        <v>352</v>
      </c>
      <c r="I353">
        <v>28</v>
      </c>
      <c r="J353">
        <v>5.0000000000000001E-3</v>
      </c>
      <c r="K353" s="14">
        <v>3391.6800575559846</v>
      </c>
      <c r="L353" s="14">
        <v>266966.86549856846</v>
      </c>
      <c r="M353" s="36">
        <f>IF(Output[[#This Row],[Index]]=1,Output[[#This Row],[Droit Utilisation]],P352)</f>
        <v>193012.18967608758</v>
      </c>
      <c r="N353" s="15">
        <f>Output[[#This Row],[Capital Debut Period]]*Output[[#This Row],[Tx_interet_M]]</f>
        <v>965.06094838043794</v>
      </c>
      <c r="O353" s="15">
        <f>Output[[#This Row],[Mensualité initial]]-Output[[#This Row],[Interet]]</f>
        <v>2934.9390516195622</v>
      </c>
      <c r="P353" s="15">
        <f>Output[[#This Row],[Capital Debut Period]]-Output[[#This Row],[Paiement Principal]]</f>
        <v>190077.25062446803</v>
      </c>
      <c r="Q353" s="15">
        <f>Output[[#This Row],[Droit Utilisation]]/Output[[#This Row],[Duree_Mois]]</f>
        <v>3178.1769702210531</v>
      </c>
    </row>
    <row r="354" spans="1:17" x14ac:dyDescent="0.25">
      <c r="A354" s="11" t="s">
        <v>6</v>
      </c>
      <c r="B354" s="12">
        <v>42552</v>
      </c>
      <c r="C354">
        <v>3900</v>
      </c>
      <c r="D354">
        <v>7</v>
      </c>
      <c r="E354">
        <v>0.06</v>
      </c>
      <c r="F354">
        <v>84</v>
      </c>
      <c r="G354" s="13">
        <v>43434</v>
      </c>
      <c r="H354">
        <v>353</v>
      </c>
      <c r="I354">
        <v>29</v>
      </c>
      <c r="J354">
        <v>5.0000000000000001E-3</v>
      </c>
      <c r="K354" s="14">
        <v>3374.8060274188906</v>
      </c>
      <c r="L354" s="14">
        <v>266966.86549856846</v>
      </c>
      <c r="M354" s="36">
        <f>IF(Output[[#This Row],[Index]]=1,Output[[#This Row],[Droit Utilisation]],P353)</f>
        <v>190077.25062446803</v>
      </c>
      <c r="N354" s="15">
        <f>Output[[#This Row],[Capital Debut Period]]*Output[[#This Row],[Tx_interet_M]]</f>
        <v>950.38625312234012</v>
      </c>
      <c r="O354" s="15">
        <f>Output[[#This Row],[Mensualité initial]]-Output[[#This Row],[Interet]]</f>
        <v>2949.6137468776597</v>
      </c>
      <c r="P354" s="15">
        <f>Output[[#This Row],[Capital Debut Period]]-Output[[#This Row],[Paiement Principal]]</f>
        <v>187127.63687759035</v>
      </c>
      <c r="Q354" s="15">
        <f>Output[[#This Row],[Droit Utilisation]]/Output[[#This Row],[Duree_Mois]]</f>
        <v>3178.1769702210531</v>
      </c>
    </row>
    <row r="355" spans="1:17" x14ac:dyDescent="0.25">
      <c r="A355" s="11" t="s">
        <v>6</v>
      </c>
      <c r="B355" s="12">
        <v>42552</v>
      </c>
      <c r="C355">
        <v>3900</v>
      </c>
      <c r="D355">
        <v>7</v>
      </c>
      <c r="E355">
        <v>0.06</v>
      </c>
      <c r="F355">
        <v>84</v>
      </c>
      <c r="G355" s="13">
        <v>43465</v>
      </c>
      <c r="H355">
        <v>354</v>
      </c>
      <c r="I355">
        <v>30</v>
      </c>
      <c r="J355">
        <v>5.0000000000000001E-3</v>
      </c>
      <c r="K355" s="14">
        <v>3358.0159476804888</v>
      </c>
      <c r="L355" s="14">
        <v>266966.86549856846</v>
      </c>
      <c r="M355" s="36">
        <f>IF(Output[[#This Row],[Index]]=1,Output[[#This Row],[Droit Utilisation]],P354)</f>
        <v>187127.63687759035</v>
      </c>
      <c r="N355" s="15">
        <f>Output[[#This Row],[Capital Debut Period]]*Output[[#This Row],[Tx_interet_M]]</f>
        <v>935.63818438795181</v>
      </c>
      <c r="O355" s="15">
        <f>Output[[#This Row],[Mensualité initial]]-Output[[#This Row],[Interet]]</f>
        <v>2964.3618156120483</v>
      </c>
      <c r="P355" s="15">
        <f>Output[[#This Row],[Capital Debut Period]]-Output[[#This Row],[Paiement Principal]]</f>
        <v>184163.27506197832</v>
      </c>
      <c r="Q355" s="15">
        <f>Output[[#This Row],[Droit Utilisation]]/Output[[#This Row],[Duree_Mois]]</f>
        <v>3178.1769702210531</v>
      </c>
    </row>
    <row r="356" spans="1:17" x14ac:dyDescent="0.25">
      <c r="A356" s="11" t="s">
        <v>6</v>
      </c>
      <c r="B356" s="12">
        <v>42552</v>
      </c>
      <c r="C356">
        <v>3900</v>
      </c>
      <c r="D356">
        <v>7</v>
      </c>
      <c r="E356">
        <v>0.06</v>
      </c>
      <c r="F356">
        <v>84</v>
      </c>
      <c r="G356" s="13">
        <v>43496</v>
      </c>
      <c r="H356">
        <v>355</v>
      </c>
      <c r="I356">
        <v>31</v>
      </c>
      <c r="J356">
        <v>5.0000000000000001E-3</v>
      </c>
      <c r="K356" s="14">
        <v>3341.3094006771034</v>
      </c>
      <c r="L356" s="14">
        <v>266966.86549856846</v>
      </c>
      <c r="M356" s="36">
        <f>IF(Output[[#This Row],[Index]]=1,Output[[#This Row],[Droit Utilisation]],P355)</f>
        <v>184163.27506197832</v>
      </c>
      <c r="N356" s="15">
        <f>Output[[#This Row],[Capital Debut Period]]*Output[[#This Row],[Tx_interet_M]]</f>
        <v>920.81637530989155</v>
      </c>
      <c r="O356" s="15">
        <f>Output[[#This Row],[Mensualité initial]]-Output[[#This Row],[Interet]]</f>
        <v>2979.1836246901084</v>
      </c>
      <c r="P356" s="15">
        <f>Output[[#This Row],[Capital Debut Period]]-Output[[#This Row],[Paiement Principal]]</f>
        <v>181184.09143728821</v>
      </c>
      <c r="Q356" s="15">
        <f>Output[[#This Row],[Droit Utilisation]]/Output[[#This Row],[Duree_Mois]]</f>
        <v>3178.1769702210531</v>
      </c>
    </row>
    <row r="357" spans="1:17" x14ac:dyDescent="0.25">
      <c r="A357" s="11" t="s">
        <v>6</v>
      </c>
      <c r="B357" s="12">
        <v>42552</v>
      </c>
      <c r="C357">
        <v>3900</v>
      </c>
      <c r="D357">
        <v>7</v>
      </c>
      <c r="E357">
        <v>0.06</v>
      </c>
      <c r="F357">
        <v>84</v>
      </c>
      <c r="G357" s="13">
        <v>43524</v>
      </c>
      <c r="H357">
        <v>356</v>
      </c>
      <c r="I357">
        <v>32</v>
      </c>
      <c r="J357">
        <v>5.0000000000000001E-3</v>
      </c>
      <c r="K357" s="14">
        <v>3324.6859708229886</v>
      </c>
      <c r="L357" s="14">
        <v>266966.86549856846</v>
      </c>
      <c r="M357" s="36">
        <f>IF(Output[[#This Row],[Index]]=1,Output[[#This Row],[Droit Utilisation]],P356)</f>
        <v>181184.09143728821</v>
      </c>
      <c r="N357" s="15">
        <f>Output[[#This Row],[Capital Debut Period]]*Output[[#This Row],[Tx_interet_M]]</f>
        <v>905.92045718644113</v>
      </c>
      <c r="O357" s="15">
        <f>Output[[#This Row],[Mensualité initial]]-Output[[#This Row],[Interet]]</f>
        <v>2994.0795428135589</v>
      </c>
      <c r="P357" s="15">
        <f>Output[[#This Row],[Capital Debut Period]]-Output[[#This Row],[Paiement Principal]]</f>
        <v>178190.01189447465</v>
      </c>
      <c r="Q357" s="15">
        <f>Output[[#This Row],[Droit Utilisation]]/Output[[#This Row],[Duree_Mois]]</f>
        <v>3178.1769702210531</v>
      </c>
    </row>
    <row r="358" spans="1:17" x14ac:dyDescent="0.25">
      <c r="A358" s="11" t="s">
        <v>6</v>
      </c>
      <c r="B358" s="12">
        <v>42552</v>
      </c>
      <c r="C358">
        <v>3900</v>
      </c>
      <c r="D358">
        <v>7</v>
      </c>
      <c r="E358">
        <v>0.06</v>
      </c>
      <c r="F358">
        <v>84</v>
      </c>
      <c r="G358" s="13">
        <v>43555</v>
      </c>
      <c r="H358">
        <v>357</v>
      </c>
      <c r="I358">
        <v>33</v>
      </c>
      <c r="J358">
        <v>5.0000000000000001E-3</v>
      </c>
      <c r="K358" s="14">
        <v>3308.1452445999894</v>
      </c>
      <c r="L358" s="14">
        <v>266966.86549856846</v>
      </c>
      <c r="M358" s="36">
        <f>IF(Output[[#This Row],[Index]]=1,Output[[#This Row],[Droit Utilisation]],P357)</f>
        <v>178190.01189447465</v>
      </c>
      <c r="N358" s="15">
        <f>Output[[#This Row],[Capital Debut Period]]*Output[[#This Row],[Tx_interet_M]]</f>
        <v>890.95005947237325</v>
      </c>
      <c r="O358" s="15">
        <f>Output[[#This Row],[Mensualité initial]]-Output[[#This Row],[Interet]]</f>
        <v>3009.0499405276269</v>
      </c>
      <c r="P358" s="15">
        <f>Output[[#This Row],[Capital Debut Period]]-Output[[#This Row],[Paiement Principal]]</f>
        <v>175180.96195394703</v>
      </c>
      <c r="Q358" s="15">
        <f>Output[[#This Row],[Droit Utilisation]]/Output[[#This Row],[Duree_Mois]]</f>
        <v>3178.1769702210531</v>
      </c>
    </row>
    <row r="359" spans="1:17" x14ac:dyDescent="0.25">
      <c r="A359" s="11" t="s">
        <v>6</v>
      </c>
      <c r="B359" s="12">
        <v>42552</v>
      </c>
      <c r="C359">
        <v>3900</v>
      </c>
      <c r="D359">
        <v>7</v>
      </c>
      <c r="E359">
        <v>0.06</v>
      </c>
      <c r="F359">
        <v>84</v>
      </c>
      <c r="G359" s="13">
        <v>43585</v>
      </c>
      <c r="H359">
        <v>358</v>
      </c>
      <c r="I359">
        <v>34</v>
      </c>
      <c r="J359">
        <v>5.0000000000000001E-3</v>
      </c>
      <c r="K359" s="14">
        <v>3291.6868105472531</v>
      </c>
      <c r="L359" s="14">
        <v>266966.86549856846</v>
      </c>
      <c r="M359" s="36">
        <f>IF(Output[[#This Row],[Index]]=1,Output[[#This Row],[Droit Utilisation]],P358)</f>
        <v>175180.96195394703</v>
      </c>
      <c r="N359" s="15">
        <f>Output[[#This Row],[Capital Debut Period]]*Output[[#This Row],[Tx_interet_M]]</f>
        <v>875.90480976973515</v>
      </c>
      <c r="O359" s="15">
        <f>Output[[#This Row],[Mensualité initial]]-Output[[#This Row],[Interet]]</f>
        <v>3024.095190230265</v>
      </c>
      <c r="P359" s="15">
        <f>Output[[#This Row],[Capital Debut Period]]-Output[[#This Row],[Paiement Principal]]</f>
        <v>172156.86676371677</v>
      </c>
      <c r="Q359" s="15">
        <f>Output[[#This Row],[Droit Utilisation]]/Output[[#This Row],[Duree_Mois]]</f>
        <v>3178.1769702210531</v>
      </c>
    </row>
    <row r="360" spans="1:17" x14ac:dyDescent="0.25">
      <c r="A360" s="11" t="s">
        <v>6</v>
      </c>
      <c r="B360" s="12">
        <v>42552</v>
      </c>
      <c r="C360">
        <v>3900</v>
      </c>
      <c r="D360">
        <v>7</v>
      </c>
      <c r="E360">
        <v>0.06</v>
      </c>
      <c r="F360">
        <v>84</v>
      </c>
      <c r="G360" s="13">
        <v>43616</v>
      </c>
      <c r="H360">
        <v>359</v>
      </c>
      <c r="I360">
        <v>35</v>
      </c>
      <c r="J360">
        <v>5.0000000000000001E-3</v>
      </c>
      <c r="K360" s="14">
        <v>3275.3102592509986</v>
      </c>
      <c r="L360" s="14">
        <v>266966.86549856846</v>
      </c>
      <c r="M360" s="36">
        <f>IF(Output[[#This Row],[Index]]=1,Output[[#This Row],[Droit Utilisation]],P359)</f>
        <v>172156.86676371677</v>
      </c>
      <c r="N360" s="15">
        <f>Output[[#This Row],[Capital Debut Period]]*Output[[#This Row],[Tx_interet_M]]</f>
        <v>860.78433381858383</v>
      </c>
      <c r="O360" s="15">
        <f>Output[[#This Row],[Mensualité initial]]-Output[[#This Row],[Interet]]</f>
        <v>3039.2156661814161</v>
      </c>
      <c r="P360" s="15">
        <f>Output[[#This Row],[Capital Debut Period]]-Output[[#This Row],[Paiement Principal]]</f>
        <v>169117.65109753536</v>
      </c>
      <c r="Q360" s="15">
        <f>Output[[#This Row],[Droit Utilisation]]/Output[[#This Row],[Duree_Mois]]</f>
        <v>3178.1769702210531</v>
      </c>
    </row>
    <row r="361" spans="1:17" x14ac:dyDescent="0.25">
      <c r="A361" s="11" t="s">
        <v>6</v>
      </c>
      <c r="B361" s="12">
        <v>42552</v>
      </c>
      <c r="C361">
        <v>3900</v>
      </c>
      <c r="D361">
        <v>7</v>
      </c>
      <c r="E361">
        <v>0.06</v>
      </c>
      <c r="F361">
        <v>84</v>
      </c>
      <c r="G361" s="13">
        <v>43646</v>
      </c>
      <c r="H361">
        <v>360</v>
      </c>
      <c r="I361">
        <v>36</v>
      </c>
      <c r="J361">
        <v>5.0000000000000001E-3</v>
      </c>
      <c r="K361" s="14">
        <v>3259.015183334327</v>
      </c>
      <c r="L361" s="14">
        <v>266966.86549856846</v>
      </c>
      <c r="M361" s="36">
        <f>IF(Output[[#This Row],[Index]]=1,Output[[#This Row],[Droit Utilisation]],P360)</f>
        <v>169117.65109753536</v>
      </c>
      <c r="N361" s="15">
        <f>Output[[#This Row],[Capital Debut Period]]*Output[[#This Row],[Tx_interet_M]]</f>
        <v>845.58825548767686</v>
      </c>
      <c r="O361" s="15">
        <f>Output[[#This Row],[Mensualité initial]]-Output[[#This Row],[Interet]]</f>
        <v>3054.4117445123229</v>
      </c>
      <c r="P361" s="15">
        <f>Output[[#This Row],[Capital Debut Period]]-Output[[#This Row],[Paiement Principal]]</f>
        <v>166063.23935302303</v>
      </c>
      <c r="Q361" s="15">
        <f>Output[[#This Row],[Droit Utilisation]]/Output[[#This Row],[Duree_Mois]]</f>
        <v>3178.1769702210531</v>
      </c>
    </row>
    <row r="362" spans="1:17" x14ac:dyDescent="0.25">
      <c r="A362" s="11" t="s">
        <v>6</v>
      </c>
      <c r="B362" s="12">
        <v>42552</v>
      </c>
      <c r="C362">
        <v>3900</v>
      </c>
      <c r="D362">
        <v>7</v>
      </c>
      <c r="E362">
        <v>0.06</v>
      </c>
      <c r="F362">
        <v>84</v>
      </c>
      <c r="G362" s="13">
        <v>43677</v>
      </c>
      <c r="H362">
        <v>361</v>
      </c>
      <c r="I362">
        <v>37</v>
      </c>
      <c r="J362">
        <v>5.0000000000000001E-3</v>
      </c>
      <c r="K362" s="14">
        <v>3242.801177447092</v>
      </c>
      <c r="L362" s="14">
        <v>266966.86549856846</v>
      </c>
      <c r="M362" s="36">
        <f>IF(Output[[#This Row],[Index]]=1,Output[[#This Row],[Droit Utilisation]],P361)</f>
        <v>166063.23935302303</v>
      </c>
      <c r="N362" s="15">
        <f>Output[[#This Row],[Capital Debut Period]]*Output[[#This Row],[Tx_interet_M]]</f>
        <v>830.31619676511514</v>
      </c>
      <c r="O362" s="15">
        <f>Output[[#This Row],[Mensualité initial]]-Output[[#This Row],[Interet]]</f>
        <v>3069.6838032348851</v>
      </c>
      <c r="P362" s="15">
        <f>Output[[#This Row],[Capital Debut Period]]-Output[[#This Row],[Paiement Principal]]</f>
        <v>162993.55554978814</v>
      </c>
      <c r="Q362" s="15">
        <f>Output[[#This Row],[Droit Utilisation]]/Output[[#This Row],[Duree_Mois]]</f>
        <v>3178.1769702210531</v>
      </c>
    </row>
    <row r="363" spans="1:17" x14ac:dyDescent="0.25">
      <c r="A363" s="11" t="s">
        <v>6</v>
      </c>
      <c r="B363" s="12">
        <v>42552</v>
      </c>
      <c r="C363">
        <v>3900</v>
      </c>
      <c r="D363">
        <v>7</v>
      </c>
      <c r="E363">
        <v>0.06</v>
      </c>
      <c r="F363">
        <v>84</v>
      </c>
      <c r="G363" s="13">
        <v>43708</v>
      </c>
      <c r="H363">
        <v>362</v>
      </c>
      <c r="I363">
        <v>38</v>
      </c>
      <c r="J363">
        <v>5.0000000000000001E-3</v>
      </c>
      <c r="K363" s="14">
        <v>3226.6678382558134</v>
      </c>
      <c r="L363" s="14">
        <v>266966.86549856846</v>
      </c>
      <c r="M363" s="36">
        <f>IF(Output[[#This Row],[Index]]=1,Output[[#This Row],[Droit Utilisation]],P362)</f>
        <v>162993.55554978814</v>
      </c>
      <c r="N363" s="15">
        <f>Output[[#This Row],[Capital Debut Period]]*Output[[#This Row],[Tx_interet_M]]</f>
        <v>814.96777774894076</v>
      </c>
      <c r="O363" s="15">
        <f>Output[[#This Row],[Mensualité initial]]-Output[[#This Row],[Interet]]</f>
        <v>3085.0322222510595</v>
      </c>
      <c r="P363" s="15">
        <f>Output[[#This Row],[Capital Debut Period]]-Output[[#This Row],[Paiement Principal]]</f>
        <v>159908.52332753708</v>
      </c>
      <c r="Q363" s="15">
        <f>Output[[#This Row],[Droit Utilisation]]/Output[[#This Row],[Duree_Mois]]</f>
        <v>3178.1769702210531</v>
      </c>
    </row>
    <row r="364" spans="1:17" x14ac:dyDescent="0.25">
      <c r="A364" s="11" t="s">
        <v>6</v>
      </c>
      <c r="B364" s="12">
        <v>42552</v>
      </c>
      <c r="C364">
        <v>3900</v>
      </c>
      <c r="D364">
        <v>7</v>
      </c>
      <c r="E364">
        <v>0.06</v>
      </c>
      <c r="F364">
        <v>84</v>
      </c>
      <c r="G364" s="13">
        <v>43738</v>
      </c>
      <c r="H364">
        <v>363</v>
      </c>
      <c r="I364">
        <v>39</v>
      </c>
      <c r="J364">
        <v>5.0000000000000001E-3</v>
      </c>
      <c r="K364" s="14">
        <v>3210.6147644336456</v>
      </c>
      <c r="L364" s="14">
        <v>266966.86549856846</v>
      </c>
      <c r="M364" s="36">
        <f>IF(Output[[#This Row],[Index]]=1,Output[[#This Row],[Droit Utilisation]],P363)</f>
        <v>159908.52332753708</v>
      </c>
      <c r="N364" s="15">
        <f>Output[[#This Row],[Capital Debut Period]]*Output[[#This Row],[Tx_interet_M]]</f>
        <v>799.54261663768546</v>
      </c>
      <c r="O364" s="15">
        <f>Output[[#This Row],[Mensualité initial]]-Output[[#This Row],[Interet]]</f>
        <v>3100.4573833623144</v>
      </c>
      <c r="P364" s="15">
        <f>Output[[#This Row],[Capital Debut Period]]-Output[[#This Row],[Paiement Principal]]</f>
        <v>156808.06594417477</v>
      </c>
      <c r="Q364" s="15">
        <f>Output[[#This Row],[Droit Utilisation]]/Output[[#This Row],[Duree_Mois]]</f>
        <v>3178.1769702210531</v>
      </c>
    </row>
    <row r="365" spans="1:17" x14ac:dyDescent="0.25">
      <c r="A365" s="11" t="s">
        <v>6</v>
      </c>
      <c r="B365" s="12">
        <v>42552</v>
      </c>
      <c r="C365">
        <v>3900</v>
      </c>
      <c r="D365">
        <v>7</v>
      </c>
      <c r="E365">
        <v>0.06</v>
      </c>
      <c r="F365">
        <v>84</v>
      </c>
      <c r="G365" s="13">
        <v>43769</v>
      </c>
      <c r="H365">
        <v>364</v>
      </c>
      <c r="I365">
        <v>40</v>
      </c>
      <c r="J365">
        <v>5.0000000000000001E-3</v>
      </c>
      <c r="K365" s="14">
        <v>3194.6415566503938</v>
      </c>
      <c r="L365" s="14">
        <v>266966.86549856846</v>
      </c>
      <c r="M365" s="36">
        <f>IF(Output[[#This Row],[Index]]=1,Output[[#This Row],[Droit Utilisation]],P364)</f>
        <v>156808.06594417477</v>
      </c>
      <c r="N365" s="15">
        <f>Output[[#This Row],[Capital Debut Period]]*Output[[#This Row],[Tx_interet_M]]</f>
        <v>784.04032972087384</v>
      </c>
      <c r="O365" s="15">
        <f>Output[[#This Row],[Mensualité initial]]-Output[[#This Row],[Interet]]</f>
        <v>3115.9596702791259</v>
      </c>
      <c r="P365" s="15">
        <f>Output[[#This Row],[Capital Debut Period]]-Output[[#This Row],[Paiement Principal]]</f>
        <v>153692.10627389565</v>
      </c>
      <c r="Q365" s="15">
        <f>Output[[#This Row],[Droit Utilisation]]/Output[[#This Row],[Duree_Mois]]</f>
        <v>3178.1769702210531</v>
      </c>
    </row>
    <row r="366" spans="1:17" x14ac:dyDescent="0.25">
      <c r="A366" s="11" t="s">
        <v>6</v>
      </c>
      <c r="B366" s="12">
        <v>42552</v>
      </c>
      <c r="C366">
        <v>3900</v>
      </c>
      <c r="D366">
        <v>7</v>
      </c>
      <c r="E366">
        <v>0.06</v>
      </c>
      <c r="F366">
        <v>84</v>
      </c>
      <c r="G366" s="13">
        <v>43799</v>
      </c>
      <c r="H366">
        <v>365</v>
      </c>
      <c r="I366">
        <v>41</v>
      </c>
      <c r="J366">
        <v>5.0000000000000001E-3</v>
      </c>
      <c r="K366" s="14">
        <v>3178.7478175625815</v>
      </c>
      <c r="L366" s="14">
        <v>266966.86549856846</v>
      </c>
      <c r="M366" s="36">
        <f>IF(Output[[#This Row],[Index]]=1,Output[[#This Row],[Droit Utilisation]],P365)</f>
        <v>153692.10627389565</v>
      </c>
      <c r="N366" s="15">
        <f>Output[[#This Row],[Capital Debut Period]]*Output[[#This Row],[Tx_interet_M]]</f>
        <v>768.4605313694783</v>
      </c>
      <c r="O366" s="15">
        <f>Output[[#This Row],[Mensualité initial]]-Output[[#This Row],[Interet]]</f>
        <v>3131.5394686305217</v>
      </c>
      <c r="P366" s="15">
        <f>Output[[#This Row],[Capital Debut Period]]-Output[[#This Row],[Paiement Principal]]</f>
        <v>150560.56680526515</v>
      </c>
      <c r="Q366" s="15">
        <f>Output[[#This Row],[Droit Utilisation]]/Output[[#This Row],[Duree_Mois]]</f>
        <v>3178.1769702210531</v>
      </c>
    </row>
    <row r="367" spans="1:17" x14ac:dyDescent="0.25">
      <c r="A367" s="11" t="s">
        <v>6</v>
      </c>
      <c r="B367" s="12">
        <v>42552</v>
      </c>
      <c r="C367">
        <v>3900</v>
      </c>
      <c r="D367">
        <v>7</v>
      </c>
      <c r="E367">
        <v>0.06</v>
      </c>
      <c r="F367">
        <v>84</v>
      </c>
      <c r="G367" s="13">
        <v>43830</v>
      </c>
      <c r="H367">
        <v>366</v>
      </c>
      <c r="I367">
        <v>42</v>
      </c>
      <c r="J367">
        <v>5.0000000000000001E-3</v>
      </c>
      <c r="K367" s="14">
        <v>3162.9331518035642</v>
      </c>
      <c r="L367" s="14">
        <v>266966.86549856846</v>
      </c>
      <c r="M367" s="36">
        <f>IF(Output[[#This Row],[Index]]=1,Output[[#This Row],[Droit Utilisation]],P366)</f>
        <v>150560.56680526515</v>
      </c>
      <c r="N367" s="15">
        <f>Output[[#This Row],[Capital Debut Period]]*Output[[#This Row],[Tx_interet_M]]</f>
        <v>752.80283402632574</v>
      </c>
      <c r="O367" s="15">
        <f>Output[[#This Row],[Mensualité initial]]-Output[[#This Row],[Interet]]</f>
        <v>3147.1971659736741</v>
      </c>
      <c r="P367" s="15">
        <f>Output[[#This Row],[Capital Debut Period]]-Output[[#This Row],[Paiement Principal]]</f>
        <v>147413.36963929146</v>
      </c>
      <c r="Q367" s="15">
        <f>Output[[#This Row],[Droit Utilisation]]/Output[[#This Row],[Duree_Mois]]</f>
        <v>3178.1769702210531</v>
      </c>
    </row>
    <row r="368" spans="1:17" x14ac:dyDescent="0.25">
      <c r="A368" s="11" t="s">
        <v>6</v>
      </c>
      <c r="B368" s="12">
        <v>42552</v>
      </c>
      <c r="C368">
        <v>3900</v>
      </c>
      <c r="D368">
        <v>7</v>
      </c>
      <c r="E368">
        <v>0.06</v>
      </c>
      <c r="F368">
        <v>84</v>
      </c>
      <c r="G368" s="13">
        <v>43861</v>
      </c>
      <c r="H368">
        <v>367</v>
      </c>
      <c r="I368">
        <v>43</v>
      </c>
      <c r="J368">
        <v>5.0000000000000001E-3</v>
      </c>
      <c r="K368" s="14">
        <v>3147.197165973696</v>
      </c>
      <c r="L368" s="14">
        <v>266966.86549856846</v>
      </c>
      <c r="M368" s="36">
        <f>IF(Output[[#This Row],[Index]]=1,Output[[#This Row],[Droit Utilisation]],P367)</f>
        <v>147413.36963929146</v>
      </c>
      <c r="N368" s="15">
        <f>Output[[#This Row],[Capital Debut Period]]*Output[[#This Row],[Tx_interet_M]]</f>
        <v>737.06684819645727</v>
      </c>
      <c r="O368" s="15">
        <f>Output[[#This Row],[Mensualité initial]]-Output[[#This Row],[Interet]]</f>
        <v>3162.9331518035428</v>
      </c>
      <c r="P368" s="15">
        <f>Output[[#This Row],[Capital Debut Period]]-Output[[#This Row],[Paiement Principal]]</f>
        <v>144250.43648748792</v>
      </c>
      <c r="Q368" s="15">
        <f>Output[[#This Row],[Droit Utilisation]]/Output[[#This Row],[Duree_Mois]]</f>
        <v>3178.1769702210531</v>
      </c>
    </row>
    <row r="369" spans="1:17" x14ac:dyDescent="0.25">
      <c r="A369" s="11" t="s">
        <v>6</v>
      </c>
      <c r="B369" s="12">
        <v>42552</v>
      </c>
      <c r="C369">
        <v>3900</v>
      </c>
      <c r="D369">
        <v>7</v>
      </c>
      <c r="E369">
        <v>0.06</v>
      </c>
      <c r="F369">
        <v>84</v>
      </c>
      <c r="G369" s="13">
        <v>43890</v>
      </c>
      <c r="H369">
        <v>368</v>
      </c>
      <c r="I369">
        <v>44</v>
      </c>
      <c r="J369">
        <v>5.0000000000000001E-3</v>
      </c>
      <c r="K369" s="14">
        <v>3131.5394686305431</v>
      </c>
      <c r="L369" s="14">
        <v>266966.86549856846</v>
      </c>
      <c r="M369" s="36">
        <f>IF(Output[[#This Row],[Index]]=1,Output[[#This Row],[Droit Utilisation]],P368)</f>
        <v>144250.43648748792</v>
      </c>
      <c r="N369" s="15">
        <f>Output[[#This Row],[Capital Debut Period]]*Output[[#This Row],[Tx_interet_M]]</f>
        <v>721.25218243743961</v>
      </c>
      <c r="O369" s="15">
        <f>Output[[#This Row],[Mensualité initial]]-Output[[#This Row],[Interet]]</f>
        <v>3178.7478175625602</v>
      </c>
      <c r="P369" s="15">
        <f>Output[[#This Row],[Capital Debut Period]]-Output[[#This Row],[Paiement Principal]]</f>
        <v>141071.68866992535</v>
      </c>
      <c r="Q369" s="15">
        <f>Output[[#This Row],[Droit Utilisation]]/Output[[#This Row],[Duree_Mois]]</f>
        <v>3178.1769702210531</v>
      </c>
    </row>
    <row r="370" spans="1:17" x14ac:dyDescent="0.25">
      <c r="A370" s="11" t="s">
        <v>6</v>
      </c>
      <c r="B370" s="12">
        <v>42552</v>
      </c>
      <c r="C370">
        <v>3900</v>
      </c>
      <c r="D370">
        <v>7</v>
      </c>
      <c r="E370">
        <v>0.06</v>
      </c>
      <c r="F370">
        <v>84</v>
      </c>
      <c r="G370" s="13">
        <v>43921</v>
      </c>
      <c r="H370">
        <v>369</v>
      </c>
      <c r="I370">
        <v>45</v>
      </c>
      <c r="J370">
        <v>5.0000000000000001E-3</v>
      </c>
      <c r="K370" s="14">
        <v>3115.9596702791482</v>
      </c>
      <c r="L370" s="14">
        <v>266966.86549856846</v>
      </c>
      <c r="M370" s="36">
        <f>IF(Output[[#This Row],[Index]]=1,Output[[#This Row],[Droit Utilisation]],P369)</f>
        <v>141071.68866992535</v>
      </c>
      <c r="N370" s="15">
        <f>Output[[#This Row],[Capital Debut Period]]*Output[[#This Row],[Tx_interet_M]]</f>
        <v>705.35844334962678</v>
      </c>
      <c r="O370" s="15">
        <f>Output[[#This Row],[Mensualité initial]]-Output[[#This Row],[Interet]]</f>
        <v>3194.6415566503733</v>
      </c>
      <c r="P370" s="15">
        <f>Output[[#This Row],[Capital Debut Period]]-Output[[#This Row],[Paiement Principal]]</f>
        <v>137877.04711327498</v>
      </c>
      <c r="Q370" s="15">
        <f>Output[[#This Row],[Droit Utilisation]]/Output[[#This Row],[Duree_Mois]]</f>
        <v>3178.1769702210531</v>
      </c>
    </row>
    <row r="371" spans="1:17" x14ac:dyDescent="0.25">
      <c r="A371" s="11" t="s">
        <v>6</v>
      </c>
      <c r="B371" s="12">
        <v>42552</v>
      </c>
      <c r="C371">
        <v>3900</v>
      </c>
      <c r="D371">
        <v>7</v>
      </c>
      <c r="E371">
        <v>0.06</v>
      </c>
      <c r="F371">
        <v>84</v>
      </c>
      <c r="G371" s="13">
        <v>43951</v>
      </c>
      <c r="H371">
        <v>370</v>
      </c>
      <c r="I371">
        <v>46</v>
      </c>
      <c r="J371">
        <v>5.0000000000000001E-3</v>
      </c>
      <c r="K371" s="14">
        <v>3100.4573833623363</v>
      </c>
      <c r="L371" s="14">
        <v>266966.86549856846</v>
      </c>
      <c r="M371" s="36">
        <f>IF(Output[[#This Row],[Index]]=1,Output[[#This Row],[Droit Utilisation]],P370)</f>
        <v>137877.04711327498</v>
      </c>
      <c r="N371" s="15">
        <f>Output[[#This Row],[Capital Debut Period]]*Output[[#This Row],[Tx_interet_M]]</f>
        <v>689.38523556637494</v>
      </c>
      <c r="O371" s="15">
        <f>Output[[#This Row],[Mensualité initial]]-Output[[#This Row],[Interet]]</f>
        <v>3210.6147644336252</v>
      </c>
      <c r="P371" s="15">
        <f>Output[[#This Row],[Capital Debut Period]]-Output[[#This Row],[Paiement Principal]]</f>
        <v>134666.43234884136</v>
      </c>
      <c r="Q371" s="15">
        <f>Output[[#This Row],[Droit Utilisation]]/Output[[#This Row],[Duree_Mois]]</f>
        <v>3178.1769702210531</v>
      </c>
    </row>
    <row r="372" spans="1:17" x14ac:dyDescent="0.25">
      <c r="A372" s="11" t="s">
        <v>6</v>
      </c>
      <c r="B372" s="12">
        <v>42552</v>
      </c>
      <c r="C372">
        <v>3900</v>
      </c>
      <c r="D372">
        <v>7</v>
      </c>
      <c r="E372">
        <v>0.06</v>
      </c>
      <c r="F372">
        <v>84</v>
      </c>
      <c r="G372" s="13">
        <v>43982</v>
      </c>
      <c r="H372">
        <v>371</v>
      </c>
      <c r="I372">
        <v>47</v>
      </c>
      <c r="J372">
        <v>5.0000000000000001E-3</v>
      </c>
      <c r="K372" s="14">
        <v>3085.0322222510813</v>
      </c>
      <c r="L372" s="14">
        <v>266966.86549856846</v>
      </c>
      <c r="M372" s="36">
        <f>IF(Output[[#This Row],[Index]]=1,Output[[#This Row],[Droit Utilisation]],P371)</f>
        <v>134666.43234884136</v>
      </c>
      <c r="N372" s="15">
        <f>Output[[#This Row],[Capital Debut Period]]*Output[[#This Row],[Tx_interet_M]]</f>
        <v>673.33216174420681</v>
      </c>
      <c r="O372" s="15">
        <f>Output[[#This Row],[Mensualité initial]]-Output[[#This Row],[Interet]]</f>
        <v>3226.667838255793</v>
      </c>
      <c r="P372" s="15">
        <f>Output[[#This Row],[Capital Debut Period]]-Output[[#This Row],[Paiement Principal]]</f>
        <v>131439.76451058558</v>
      </c>
      <c r="Q372" s="15">
        <f>Output[[#This Row],[Droit Utilisation]]/Output[[#This Row],[Duree_Mois]]</f>
        <v>3178.1769702210531</v>
      </c>
    </row>
    <row r="373" spans="1:17" x14ac:dyDescent="0.25">
      <c r="A373" s="11" t="s">
        <v>6</v>
      </c>
      <c r="B373" s="12">
        <v>42552</v>
      </c>
      <c r="C373">
        <v>3900</v>
      </c>
      <c r="D373">
        <v>7</v>
      </c>
      <c r="E373">
        <v>0.06</v>
      </c>
      <c r="F373">
        <v>84</v>
      </c>
      <c r="G373" s="13">
        <v>44012</v>
      </c>
      <c r="H373">
        <v>372</v>
      </c>
      <c r="I373">
        <v>48</v>
      </c>
      <c r="J373">
        <v>5.0000000000000001E-3</v>
      </c>
      <c r="K373" s="14">
        <v>3069.6838032349074</v>
      </c>
      <c r="L373" s="14">
        <v>266966.86549856846</v>
      </c>
      <c r="M373" s="36">
        <f>IF(Output[[#This Row],[Index]]=1,Output[[#This Row],[Droit Utilisation]],P372)</f>
        <v>131439.76451058558</v>
      </c>
      <c r="N373" s="15">
        <f>Output[[#This Row],[Capital Debut Period]]*Output[[#This Row],[Tx_interet_M]]</f>
        <v>657.19882255292794</v>
      </c>
      <c r="O373" s="15">
        <f>Output[[#This Row],[Mensualité initial]]-Output[[#This Row],[Interet]]</f>
        <v>3242.801177447072</v>
      </c>
      <c r="P373" s="15">
        <f>Output[[#This Row],[Capital Debut Period]]-Output[[#This Row],[Paiement Principal]]</f>
        <v>128196.96333313851</v>
      </c>
      <c r="Q373" s="15">
        <f>Output[[#This Row],[Droit Utilisation]]/Output[[#This Row],[Duree_Mois]]</f>
        <v>3178.1769702210531</v>
      </c>
    </row>
    <row r="374" spans="1:17" x14ac:dyDescent="0.25">
      <c r="A374" s="11" t="s">
        <v>6</v>
      </c>
      <c r="B374" s="12">
        <v>42552</v>
      </c>
      <c r="C374">
        <v>3900</v>
      </c>
      <c r="D374">
        <v>7</v>
      </c>
      <c r="E374">
        <v>0.06</v>
      </c>
      <c r="F374">
        <v>84</v>
      </c>
      <c r="G374" s="13">
        <v>44043</v>
      </c>
      <c r="H374">
        <v>373</v>
      </c>
      <c r="I374">
        <v>49</v>
      </c>
      <c r="J374">
        <v>5.0000000000000001E-3</v>
      </c>
      <c r="K374" s="14">
        <v>3054.4117445123461</v>
      </c>
      <c r="L374" s="14">
        <v>266966.86549856846</v>
      </c>
      <c r="M374" s="36">
        <f>IF(Output[[#This Row],[Index]]=1,Output[[#This Row],[Droit Utilisation]],P373)</f>
        <v>128196.96333313851</v>
      </c>
      <c r="N374" s="15">
        <f>Output[[#This Row],[Capital Debut Period]]*Output[[#This Row],[Tx_interet_M]]</f>
        <v>640.98481666569262</v>
      </c>
      <c r="O374" s="15">
        <f>Output[[#This Row],[Mensualité initial]]-Output[[#This Row],[Interet]]</f>
        <v>3259.0151833343075</v>
      </c>
      <c r="P374" s="15">
        <f>Output[[#This Row],[Capital Debut Period]]-Output[[#This Row],[Paiement Principal]]</f>
        <v>124937.9481498042</v>
      </c>
      <c r="Q374" s="15">
        <f>Output[[#This Row],[Droit Utilisation]]/Output[[#This Row],[Duree_Mois]]</f>
        <v>3178.1769702210531</v>
      </c>
    </row>
    <row r="375" spans="1:17" x14ac:dyDescent="0.25">
      <c r="A375" s="11" t="s">
        <v>6</v>
      </c>
      <c r="B375" s="12">
        <v>42552</v>
      </c>
      <c r="C375">
        <v>3900</v>
      </c>
      <c r="D375">
        <v>7</v>
      </c>
      <c r="E375">
        <v>0.06</v>
      </c>
      <c r="F375">
        <v>84</v>
      </c>
      <c r="G375" s="13">
        <v>44074</v>
      </c>
      <c r="H375">
        <v>374</v>
      </c>
      <c r="I375">
        <v>50</v>
      </c>
      <c r="J375">
        <v>5.0000000000000001E-3</v>
      </c>
      <c r="K375" s="14">
        <v>3039.2156661814392</v>
      </c>
      <c r="L375" s="14">
        <v>266966.86549856846</v>
      </c>
      <c r="M375" s="36">
        <f>IF(Output[[#This Row],[Index]]=1,Output[[#This Row],[Droit Utilisation]],P374)</f>
        <v>124937.9481498042</v>
      </c>
      <c r="N375" s="15">
        <f>Output[[#This Row],[Capital Debut Period]]*Output[[#This Row],[Tx_interet_M]]</f>
        <v>624.68974074902098</v>
      </c>
      <c r="O375" s="15">
        <f>Output[[#This Row],[Mensualité initial]]-Output[[#This Row],[Interet]]</f>
        <v>3275.310259250979</v>
      </c>
      <c r="P375" s="15">
        <f>Output[[#This Row],[Capital Debut Period]]-Output[[#This Row],[Paiement Principal]]</f>
        <v>121662.63789055322</v>
      </c>
      <c r="Q375" s="15">
        <f>Output[[#This Row],[Droit Utilisation]]/Output[[#This Row],[Duree_Mois]]</f>
        <v>3178.1769702210531</v>
      </c>
    </row>
    <row r="376" spans="1:17" x14ac:dyDescent="0.25">
      <c r="A376" s="11" t="s">
        <v>6</v>
      </c>
      <c r="B376" s="12">
        <v>42552</v>
      </c>
      <c r="C376">
        <v>3900</v>
      </c>
      <c r="D376">
        <v>7</v>
      </c>
      <c r="E376">
        <v>0.06</v>
      </c>
      <c r="F376">
        <v>84</v>
      </c>
      <c r="G376" s="13">
        <v>44104</v>
      </c>
      <c r="H376">
        <v>375</v>
      </c>
      <c r="I376">
        <v>51</v>
      </c>
      <c r="J376">
        <v>5.0000000000000001E-3</v>
      </c>
      <c r="K376" s="14">
        <v>3024.0951902302882</v>
      </c>
      <c r="L376" s="14">
        <v>266966.86549856846</v>
      </c>
      <c r="M376" s="36">
        <f>IF(Output[[#This Row],[Index]]=1,Output[[#This Row],[Droit Utilisation]],P375)</f>
        <v>121662.63789055322</v>
      </c>
      <c r="N376" s="15">
        <f>Output[[#This Row],[Capital Debut Period]]*Output[[#This Row],[Tx_interet_M]]</f>
        <v>608.3131894527661</v>
      </c>
      <c r="O376" s="15">
        <f>Output[[#This Row],[Mensualité initial]]-Output[[#This Row],[Interet]]</f>
        <v>3291.686810547234</v>
      </c>
      <c r="P376" s="15">
        <f>Output[[#This Row],[Capital Debut Period]]-Output[[#This Row],[Paiement Principal]]</f>
        <v>118370.95108000598</v>
      </c>
      <c r="Q376" s="15">
        <f>Output[[#This Row],[Droit Utilisation]]/Output[[#This Row],[Duree_Mois]]</f>
        <v>3178.1769702210531</v>
      </c>
    </row>
    <row r="377" spans="1:17" x14ac:dyDescent="0.25">
      <c r="A377" s="11" t="s">
        <v>6</v>
      </c>
      <c r="B377" s="12">
        <v>42552</v>
      </c>
      <c r="C377">
        <v>3900</v>
      </c>
      <c r="D377">
        <v>7</v>
      </c>
      <c r="E377">
        <v>0.06</v>
      </c>
      <c r="F377">
        <v>84</v>
      </c>
      <c r="G377" s="13">
        <v>44135</v>
      </c>
      <c r="H377">
        <v>376</v>
      </c>
      <c r="I377">
        <v>52</v>
      </c>
      <c r="J377">
        <v>5.0000000000000001E-3</v>
      </c>
      <c r="K377" s="14">
        <v>3009.0499405276501</v>
      </c>
      <c r="L377" s="14">
        <v>266966.86549856846</v>
      </c>
      <c r="M377" s="36">
        <f>IF(Output[[#This Row],[Index]]=1,Output[[#This Row],[Droit Utilisation]],P376)</f>
        <v>118370.95108000598</v>
      </c>
      <c r="N377" s="15">
        <f>Output[[#This Row],[Capital Debut Period]]*Output[[#This Row],[Tx_interet_M]]</f>
        <v>591.85475540002994</v>
      </c>
      <c r="O377" s="15">
        <f>Output[[#This Row],[Mensualité initial]]-Output[[#This Row],[Interet]]</f>
        <v>3308.1452445999703</v>
      </c>
      <c r="P377" s="15">
        <f>Output[[#This Row],[Capital Debut Period]]-Output[[#This Row],[Paiement Principal]]</f>
        <v>115062.805835406</v>
      </c>
      <c r="Q377" s="15">
        <f>Output[[#This Row],[Droit Utilisation]]/Output[[#This Row],[Duree_Mois]]</f>
        <v>3178.1769702210531</v>
      </c>
    </row>
    <row r="378" spans="1:17" x14ac:dyDescent="0.25">
      <c r="A378" s="11" t="s">
        <v>6</v>
      </c>
      <c r="B378" s="12">
        <v>42552</v>
      </c>
      <c r="C378">
        <v>3900</v>
      </c>
      <c r="D378">
        <v>7</v>
      </c>
      <c r="E378">
        <v>0.06</v>
      </c>
      <c r="F378">
        <v>84</v>
      </c>
      <c r="G378" s="13">
        <v>44165</v>
      </c>
      <c r="H378">
        <v>377</v>
      </c>
      <c r="I378">
        <v>53</v>
      </c>
      <c r="J378">
        <v>5.0000000000000001E-3</v>
      </c>
      <c r="K378" s="14">
        <v>2994.0795428135825</v>
      </c>
      <c r="L378" s="14">
        <v>266966.86549856846</v>
      </c>
      <c r="M378" s="36">
        <f>IF(Output[[#This Row],[Index]]=1,Output[[#This Row],[Droit Utilisation]],P377)</f>
        <v>115062.805835406</v>
      </c>
      <c r="N378" s="15">
        <f>Output[[#This Row],[Capital Debut Period]]*Output[[#This Row],[Tx_interet_M]]</f>
        <v>575.31402917703008</v>
      </c>
      <c r="O378" s="15">
        <f>Output[[#This Row],[Mensualité initial]]-Output[[#This Row],[Interet]]</f>
        <v>3324.6859708229699</v>
      </c>
      <c r="P378" s="15">
        <f>Output[[#This Row],[Capital Debut Period]]-Output[[#This Row],[Paiement Principal]]</f>
        <v>111738.11986458303</v>
      </c>
      <c r="Q378" s="15">
        <f>Output[[#This Row],[Droit Utilisation]]/Output[[#This Row],[Duree_Mois]]</f>
        <v>3178.1769702210531</v>
      </c>
    </row>
    <row r="379" spans="1:17" x14ac:dyDescent="0.25">
      <c r="A379" s="11" t="s">
        <v>6</v>
      </c>
      <c r="B379" s="12">
        <v>42552</v>
      </c>
      <c r="C379">
        <v>3900</v>
      </c>
      <c r="D379">
        <v>7</v>
      </c>
      <c r="E379">
        <v>0.06</v>
      </c>
      <c r="F379">
        <v>84</v>
      </c>
      <c r="G379" s="13">
        <v>44196</v>
      </c>
      <c r="H379">
        <v>378</v>
      </c>
      <c r="I379">
        <v>54</v>
      </c>
      <c r="J379">
        <v>5.0000000000000001E-3</v>
      </c>
      <c r="K379" s="14">
        <v>2979.1836246901321</v>
      </c>
      <c r="L379" s="14">
        <v>266966.86549856846</v>
      </c>
      <c r="M379" s="36">
        <f>IF(Output[[#This Row],[Index]]=1,Output[[#This Row],[Droit Utilisation]],P378)</f>
        <v>111738.11986458303</v>
      </c>
      <c r="N379" s="15">
        <f>Output[[#This Row],[Capital Debut Period]]*Output[[#This Row],[Tx_interet_M]]</f>
        <v>558.6905993229152</v>
      </c>
      <c r="O379" s="15">
        <f>Output[[#This Row],[Mensualité initial]]-Output[[#This Row],[Interet]]</f>
        <v>3341.3094006770848</v>
      </c>
      <c r="P379" s="15">
        <f>Output[[#This Row],[Capital Debut Period]]-Output[[#This Row],[Paiement Principal]]</f>
        <v>108396.81046390595</v>
      </c>
      <c r="Q379" s="15">
        <f>Output[[#This Row],[Droit Utilisation]]/Output[[#This Row],[Duree_Mois]]</f>
        <v>3178.1769702210531</v>
      </c>
    </row>
    <row r="380" spans="1:17" x14ac:dyDescent="0.25">
      <c r="A380" s="11" t="s">
        <v>6</v>
      </c>
      <c r="B380" s="12">
        <v>42552</v>
      </c>
      <c r="C380">
        <v>3900</v>
      </c>
      <c r="D380">
        <v>7</v>
      </c>
      <c r="E380">
        <v>0.06</v>
      </c>
      <c r="F380">
        <v>84</v>
      </c>
      <c r="G380" s="13">
        <v>44227</v>
      </c>
      <c r="H380">
        <v>379</v>
      </c>
      <c r="I380">
        <v>55</v>
      </c>
      <c r="J380">
        <v>5.0000000000000001E-3</v>
      </c>
      <c r="K380" s="14">
        <v>2964.361815612072</v>
      </c>
      <c r="L380" s="14">
        <v>266966.86549856846</v>
      </c>
      <c r="M380" s="36">
        <f>IF(Output[[#This Row],[Index]]=1,Output[[#This Row],[Droit Utilisation]],P379)</f>
        <v>108396.81046390595</v>
      </c>
      <c r="N380" s="15">
        <f>Output[[#This Row],[Capital Debut Period]]*Output[[#This Row],[Tx_interet_M]]</f>
        <v>541.98405231952972</v>
      </c>
      <c r="O380" s="15">
        <f>Output[[#This Row],[Mensualité initial]]-Output[[#This Row],[Interet]]</f>
        <v>3358.0159476804702</v>
      </c>
      <c r="P380" s="15">
        <f>Output[[#This Row],[Capital Debut Period]]-Output[[#This Row],[Paiement Principal]]</f>
        <v>105038.79451622548</v>
      </c>
      <c r="Q380" s="15">
        <f>Output[[#This Row],[Droit Utilisation]]/Output[[#This Row],[Duree_Mois]]</f>
        <v>3178.1769702210531</v>
      </c>
    </row>
    <row r="381" spans="1:17" x14ac:dyDescent="0.25">
      <c r="A381" s="11" t="s">
        <v>6</v>
      </c>
      <c r="B381" s="12">
        <v>42552</v>
      </c>
      <c r="C381">
        <v>3900</v>
      </c>
      <c r="D381">
        <v>7</v>
      </c>
      <c r="E381">
        <v>0.06</v>
      </c>
      <c r="F381">
        <v>84</v>
      </c>
      <c r="G381" s="13">
        <v>44255</v>
      </c>
      <c r="H381">
        <v>380</v>
      </c>
      <c r="I381">
        <v>56</v>
      </c>
      <c r="J381">
        <v>5.0000000000000001E-3</v>
      </c>
      <c r="K381" s="14">
        <v>2949.6137468776842</v>
      </c>
      <c r="L381" s="14">
        <v>266966.86549856846</v>
      </c>
      <c r="M381" s="36">
        <f>IF(Output[[#This Row],[Index]]=1,Output[[#This Row],[Droit Utilisation]],P380)</f>
        <v>105038.79451622548</v>
      </c>
      <c r="N381" s="15">
        <f>Output[[#This Row],[Capital Debut Period]]*Output[[#This Row],[Tx_interet_M]]</f>
        <v>525.19397258112735</v>
      </c>
      <c r="O381" s="15">
        <f>Output[[#This Row],[Mensualité initial]]-Output[[#This Row],[Interet]]</f>
        <v>3374.8060274188729</v>
      </c>
      <c r="P381" s="15">
        <f>Output[[#This Row],[Capital Debut Period]]-Output[[#This Row],[Paiement Principal]]</f>
        <v>101663.9884888066</v>
      </c>
      <c r="Q381" s="15">
        <f>Output[[#This Row],[Droit Utilisation]]/Output[[#This Row],[Duree_Mois]]</f>
        <v>3178.1769702210531</v>
      </c>
    </row>
    <row r="382" spans="1:17" x14ac:dyDescent="0.25">
      <c r="A382" s="11" t="s">
        <v>6</v>
      </c>
      <c r="B382" s="12">
        <v>42552</v>
      </c>
      <c r="C382">
        <v>3900</v>
      </c>
      <c r="D382">
        <v>7</v>
      </c>
      <c r="E382">
        <v>0.06</v>
      </c>
      <c r="F382">
        <v>84</v>
      </c>
      <c r="G382" s="13">
        <v>44286</v>
      </c>
      <c r="H382">
        <v>381</v>
      </c>
      <c r="I382">
        <v>57</v>
      </c>
      <c r="J382">
        <v>5.0000000000000001E-3</v>
      </c>
      <c r="K382" s="14">
        <v>2934.9390516195863</v>
      </c>
      <c r="L382" s="14">
        <v>266966.86549856846</v>
      </c>
      <c r="M382" s="36">
        <f>IF(Output[[#This Row],[Index]]=1,Output[[#This Row],[Droit Utilisation]],P381)</f>
        <v>101663.9884888066</v>
      </c>
      <c r="N382" s="15">
        <f>Output[[#This Row],[Capital Debut Period]]*Output[[#This Row],[Tx_interet_M]]</f>
        <v>508.31994244403302</v>
      </c>
      <c r="O382" s="15">
        <f>Output[[#This Row],[Mensualité initial]]-Output[[#This Row],[Interet]]</f>
        <v>3391.6800575559669</v>
      </c>
      <c r="P382" s="15">
        <f>Output[[#This Row],[Capital Debut Period]]-Output[[#This Row],[Paiement Principal]]</f>
        <v>98272.30843125064</v>
      </c>
      <c r="Q382" s="15">
        <f>Output[[#This Row],[Droit Utilisation]]/Output[[#This Row],[Duree_Mois]]</f>
        <v>3178.1769702210531</v>
      </c>
    </row>
    <row r="383" spans="1:17" x14ac:dyDescent="0.25">
      <c r="A383" s="11" t="s">
        <v>6</v>
      </c>
      <c r="B383" s="12">
        <v>42552</v>
      </c>
      <c r="C383">
        <v>3900</v>
      </c>
      <c r="D383">
        <v>7</v>
      </c>
      <c r="E383">
        <v>0.06</v>
      </c>
      <c r="F383">
        <v>84</v>
      </c>
      <c r="G383" s="13">
        <v>44316</v>
      </c>
      <c r="H383">
        <v>382</v>
      </c>
      <c r="I383">
        <v>58</v>
      </c>
      <c r="J383">
        <v>5.0000000000000001E-3</v>
      </c>
      <c r="K383" s="14">
        <v>2920.3373647956087</v>
      </c>
      <c r="L383" s="14">
        <v>266966.86549856846</v>
      </c>
      <c r="M383" s="36">
        <f>IF(Output[[#This Row],[Index]]=1,Output[[#This Row],[Droit Utilisation]],P382)</f>
        <v>98272.30843125064</v>
      </c>
      <c r="N383" s="15">
        <f>Output[[#This Row],[Capital Debut Period]]*Output[[#This Row],[Tx_interet_M]]</f>
        <v>491.36154215625322</v>
      </c>
      <c r="O383" s="15">
        <f>Output[[#This Row],[Mensualité initial]]-Output[[#This Row],[Interet]]</f>
        <v>3408.6384578437469</v>
      </c>
      <c r="P383" s="15">
        <f>Output[[#This Row],[Capital Debut Period]]-Output[[#This Row],[Paiement Principal]]</f>
        <v>94863.669973406897</v>
      </c>
      <c r="Q383" s="15">
        <f>Output[[#This Row],[Droit Utilisation]]/Output[[#This Row],[Duree_Mois]]</f>
        <v>3178.1769702210531</v>
      </c>
    </row>
    <row r="384" spans="1:17" x14ac:dyDescent="0.25">
      <c r="A384" s="11" t="s">
        <v>6</v>
      </c>
      <c r="B384" s="12">
        <v>42552</v>
      </c>
      <c r="C384">
        <v>3900</v>
      </c>
      <c r="D384">
        <v>7</v>
      </c>
      <c r="E384">
        <v>0.06</v>
      </c>
      <c r="F384">
        <v>84</v>
      </c>
      <c r="G384" s="13">
        <v>44347</v>
      </c>
      <c r="H384">
        <v>383</v>
      </c>
      <c r="I384">
        <v>59</v>
      </c>
      <c r="J384">
        <v>5.0000000000000001E-3</v>
      </c>
      <c r="K384" s="14">
        <v>2905.8083231797104</v>
      </c>
      <c r="L384" s="14">
        <v>266966.86549856846</v>
      </c>
      <c r="M384" s="36">
        <f>IF(Output[[#This Row],[Index]]=1,Output[[#This Row],[Droit Utilisation]],P383)</f>
        <v>94863.669973406897</v>
      </c>
      <c r="N384" s="15">
        <f>Output[[#This Row],[Capital Debut Period]]*Output[[#This Row],[Tx_interet_M]]</f>
        <v>474.3183498670345</v>
      </c>
      <c r="O384" s="15">
        <f>Output[[#This Row],[Mensualité initial]]-Output[[#This Row],[Interet]]</f>
        <v>3425.6816501329654</v>
      </c>
      <c r="P384" s="15">
        <f>Output[[#This Row],[Capital Debut Period]]-Output[[#This Row],[Paiement Principal]]</f>
        <v>91437.988323273938</v>
      </c>
      <c r="Q384" s="15">
        <f>Output[[#This Row],[Droit Utilisation]]/Output[[#This Row],[Duree_Mois]]</f>
        <v>3178.1769702210531</v>
      </c>
    </row>
    <row r="385" spans="1:17" x14ac:dyDescent="0.25">
      <c r="A385" s="11" t="s">
        <v>6</v>
      </c>
      <c r="B385" s="12">
        <v>42552</v>
      </c>
      <c r="C385">
        <v>3900</v>
      </c>
      <c r="D385">
        <v>7</v>
      </c>
      <c r="E385">
        <v>0.06</v>
      </c>
      <c r="F385">
        <v>84</v>
      </c>
      <c r="G385" s="13">
        <v>44377</v>
      </c>
      <c r="H385">
        <v>384</v>
      </c>
      <c r="I385">
        <v>60</v>
      </c>
      <c r="J385">
        <v>5.0000000000000001E-3</v>
      </c>
      <c r="K385" s="14">
        <v>2891.3515653529462</v>
      </c>
      <c r="L385" s="14">
        <v>266966.86549856846</v>
      </c>
      <c r="M385" s="36">
        <f>IF(Output[[#This Row],[Index]]=1,Output[[#This Row],[Droit Utilisation]],P384)</f>
        <v>91437.988323273938</v>
      </c>
      <c r="N385" s="15">
        <f>Output[[#This Row],[Capital Debut Period]]*Output[[#This Row],[Tx_interet_M]]</f>
        <v>457.18994161636971</v>
      </c>
      <c r="O385" s="15">
        <f>Output[[#This Row],[Mensualité initial]]-Output[[#This Row],[Interet]]</f>
        <v>3442.8100583836303</v>
      </c>
      <c r="P385" s="15">
        <f>Output[[#This Row],[Capital Debut Period]]-Output[[#This Row],[Paiement Principal]]</f>
        <v>87995.178264890303</v>
      </c>
      <c r="Q385" s="15">
        <f>Output[[#This Row],[Droit Utilisation]]/Output[[#This Row],[Duree_Mois]]</f>
        <v>3178.1769702210531</v>
      </c>
    </row>
    <row r="386" spans="1:17" x14ac:dyDescent="0.25">
      <c r="A386" s="11" t="s">
        <v>6</v>
      </c>
      <c r="B386" s="12">
        <v>42552</v>
      </c>
      <c r="C386">
        <v>3900</v>
      </c>
      <c r="D386">
        <v>7</v>
      </c>
      <c r="E386">
        <v>0.06</v>
      </c>
      <c r="F386">
        <v>84</v>
      </c>
      <c r="G386" s="13">
        <v>44408</v>
      </c>
      <c r="H386">
        <v>385</v>
      </c>
      <c r="I386">
        <v>61</v>
      </c>
      <c r="J386">
        <v>5.0000000000000001E-3</v>
      </c>
      <c r="K386" s="14">
        <v>2876.9667316944738</v>
      </c>
      <c r="L386" s="14">
        <v>266966.86549856846</v>
      </c>
      <c r="M386" s="36">
        <f>IF(Output[[#This Row],[Index]]=1,Output[[#This Row],[Droit Utilisation]],P385)</f>
        <v>87995.178264890303</v>
      </c>
      <c r="N386" s="15">
        <f>Output[[#This Row],[Capital Debut Period]]*Output[[#This Row],[Tx_interet_M]]</f>
        <v>439.97589132445154</v>
      </c>
      <c r="O386" s="15">
        <f>Output[[#This Row],[Mensualité initial]]-Output[[#This Row],[Interet]]</f>
        <v>3460.0241086755486</v>
      </c>
      <c r="P386" s="15">
        <f>Output[[#This Row],[Capital Debut Period]]-Output[[#This Row],[Paiement Principal]]</f>
        <v>84535.154156214761</v>
      </c>
      <c r="Q386" s="15">
        <f>Output[[#This Row],[Droit Utilisation]]/Output[[#This Row],[Duree_Mois]]</f>
        <v>3178.1769702210531</v>
      </c>
    </row>
    <row r="387" spans="1:17" x14ac:dyDescent="0.25">
      <c r="A387" s="11" t="s">
        <v>6</v>
      </c>
      <c r="B387" s="12">
        <v>42552</v>
      </c>
      <c r="C387">
        <v>3900</v>
      </c>
      <c r="D387">
        <v>7</v>
      </c>
      <c r="E387">
        <v>0.06</v>
      </c>
      <c r="F387">
        <v>84</v>
      </c>
      <c r="G387" s="13">
        <v>44439</v>
      </c>
      <c r="H387">
        <v>386</v>
      </c>
      <c r="I387">
        <v>62</v>
      </c>
      <c r="J387">
        <v>5.0000000000000001E-3</v>
      </c>
      <c r="K387" s="14">
        <v>2862.6534643726113</v>
      </c>
      <c r="L387" s="14">
        <v>266966.86549856846</v>
      </c>
      <c r="M387" s="36">
        <f>IF(Output[[#This Row],[Index]]=1,Output[[#This Row],[Droit Utilisation]],P386)</f>
        <v>84535.154156214761</v>
      </c>
      <c r="N387" s="15">
        <f>Output[[#This Row],[Capital Debut Period]]*Output[[#This Row],[Tx_interet_M]]</f>
        <v>422.67577078107382</v>
      </c>
      <c r="O387" s="15">
        <f>Output[[#This Row],[Mensualité initial]]-Output[[#This Row],[Interet]]</f>
        <v>3477.3242292189261</v>
      </c>
      <c r="P387" s="15">
        <f>Output[[#This Row],[Capital Debut Period]]-Output[[#This Row],[Paiement Principal]]</f>
        <v>81057.829926995837</v>
      </c>
      <c r="Q387" s="15">
        <f>Output[[#This Row],[Droit Utilisation]]/Output[[#This Row],[Duree_Mois]]</f>
        <v>3178.1769702210531</v>
      </c>
    </row>
    <row r="388" spans="1:17" x14ac:dyDescent="0.25">
      <c r="A388" s="11" t="s">
        <v>6</v>
      </c>
      <c r="B388" s="12">
        <v>42552</v>
      </c>
      <c r="C388">
        <v>3900</v>
      </c>
      <c r="D388">
        <v>7</v>
      </c>
      <c r="E388">
        <v>0.06</v>
      </c>
      <c r="F388">
        <v>84</v>
      </c>
      <c r="G388" s="13">
        <v>44469</v>
      </c>
      <c r="H388">
        <v>387</v>
      </c>
      <c r="I388">
        <v>63</v>
      </c>
      <c r="J388">
        <v>5.0000000000000001E-3</v>
      </c>
      <c r="K388" s="14">
        <v>2848.4114073359315</v>
      </c>
      <c r="L388" s="14">
        <v>266966.86549856846</v>
      </c>
      <c r="M388" s="36">
        <f>IF(Output[[#This Row],[Index]]=1,Output[[#This Row],[Droit Utilisation]],P387)</f>
        <v>81057.829926995837</v>
      </c>
      <c r="N388" s="15">
        <f>Output[[#This Row],[Capital Debut Period]]*Output[[#This Row],[Tx_interet_M]]</f>
        <v>405.2891496349792</v>
      </c>
      <c r="O388" s="15">
        <f>Output[[#This Row],[Mensualité initial]]-Output[[#This Row],[Interet]]</f>
        <v>3494.7108503650206</v>
      </c>
      <c r="P388" s="15">
        <f>Output[[#This Row],[Capital Debut Period]]-Output[[#This Row],[Paiement Principal]]</f>
        <v>77563.119076630814</v>
      </c>
      <c r="Q388" s="15">
        <f>Output[[#This Row],[Droit Utilisation]]/Output[[#This Row],[Duree_Mois]]</f>
        <v>3178.1769702210531</v>
      </c>
    </row>
    <row r="389" spans="1:17" x14ac:dyDescent="0.25">
      <c r="A389" s="11" t="s">
        <v>6</v>
      </c>
      <c r="B389" s="12">
        <v>42552</v>
      </c>
      <c r="C389">
        <v>3900</v>
      </c>
      <c r="D389">
        <v>7</v>
      </c>
      <c r="E389">
        <v>0.06</v>
      </c>
      <c r="F389">
        <v>84</v>
      </c>
      <c r="G389" s="13">
        <v>44500</v>
      </c>
      <c r="H389">
        <v>388</v>
      </c>
      <c r="I389">
        <v>64</v>
      </c>
      <c r="J389">
        <v>5.0000000000000001E-3</v>
      </c>
      <c r="K389" s="14">
        <v>2834.2402063044101</v>
      </c>
      <c r="L389" s="14">
        <v>266966.86549856846</v>
      </c>
      <c r="M389" s="36">
        <f>IF(Output[[#This Row],[Index]]=1,Output[[#This Row],[Droit Utilisation]],P388)</f>
        <v>77563.119076630814</v>
      </c>
      <c r="N389" s="15">
        <f>Output[[#This Row],[Capital Debut Period]]*Output[[#This Row],[Tx_interet_M]]</f>
        <v>387.81559538315406</v>
      </c>
      <c r="O389" s="15">
        <f>Output[[#This Row],[Mensualité initial]]-Output[[#This Row],[Interet]]</f>
        <v>3512.1844046168458</v>
      </c>
      <c r="P389" s="15">
        <f>Output[[#This Row],[Capital Debut Period]]-Output[[#This Row],[Paiement Principal]]</f>
        <v>74050.934672013973</v>
      </c>
      <c r="Q389" s="15">
        <f>Output[[#This Row],[Droit Utilisation]]/Output[[#This Row],[Duree_Mois]]</f>
        <v>3178.1769702210531</v>
      </c>
    </row>
    <row r="390" spans="1:17" x14ac:dyDescent="0.25">
      <c r="A390" s="11" t="s">
        <v>6</v>
      </c>
      <c r="B390" s="12">
        <v>42552</v>
      </c>
      <c r="C390">
        <v>3900</v>
      </c>
      <c r="D390">
        <v>7</v>
      </c>
      <c r="E390">
        <v>0.06</v>
      </c>
      <c r="F390">
        <v>84</v>
      </c>
      <c r="G390" s="13">
        <v>44530</v>
      </c>
      <c r="H390">
        <v>389</v>
      </c>
      <c r="I390">
        <v>65</v>
      </c>
      <c r="J390">
        <v>5.0000000000000001E-3</v>
      </c>
      <c r="K390" s="14">
        <v>2820.139508760607</v>
      </c>
      <c r="L390" s="14">
        <v>266966.86549856846</v>
      </c>
      <c r="M390" s="36">
        <f>IF(Output[[#This Row],[Index]]=1,Output[[#This Row],[Droit Utilisation]],P389)</f>
        <v>74050.934672013973</v>
      </c>
      <c r="N390" s="15">
        <f>Output[[#This Row],[Capital Debut Period]]*Output[[#This Row],[Tx_interet_M]]</f>
        <v>370.25467336006989</v>
      </c>
      <c r="O390" s="15">
        <f>Output[[#This Row],[Mensualité initial]]-Output[[#This Row],[Interet]]</f>
        <v>3529.7453266399302</v>
      </c>
      <c r="P390" s="15">
        <f>Output[[#This Row],[Capital Debut Period]]-Output[[#This Row],[Paiement Principal]]</f>
        <v>70521.189345374049</v>
      </c>
      <c r="Q390" s="15">
        <f>Output[[#This Row],[Droit Utilisation]]/Output[[#This Row],[Duree_Mois]]</f>
        <v>3178.1769702210531</v>
      </c>
    </row>
    <row r="391" spans="1:17" x14ac:dyDescent="0.25">
      <c r="A391" s="11" t="s">
        <v>6</v>
      </c>
      <c r="B391" s="12">
        <v>42552</v>
      </c>
      <c r="C391">
        <v>3900</v>
      </c>
      <c r="D391">
        <v>7</v>
      </c>
      <c r="E391">
        <v>0.06</v>
      </c>
      <c r="F391">
        <v>84</v>
      </c>
      <c r="G391" s="13">
        <v>44561</v>
      </c>
      <c r="H391">
        <v>390</v>
      </c>
      <c r="I391">
        <v>66</v>
      </c>
      <c r="J391">
        <v>5.0000000000000001E-3</v>
      </c>
      <c r="K391" s="14">
        <v>2806.1089639409033</v>
      </c>
      <c r="L391" s="14">
        <v>266966.86549856846</v>
      </c>
      <c r="M391" s="36">
        <f>IF(Output[[#This Row],[Index]]=1,Output[[#This Row],[Droit Utilisation]],P390)</f>
        <v>70521.189345374049</v>
      </c>
      <c r="N391" s="15">
        <f>Output[[#This Row],[Capital Debut Period]]*Output[[#This Row],[Tx_interet_M]]</f>
        <v>352.60594672687023</v>
      </c>
      <c r="O391" s="15">
        <f>Output[[#This Row],[Mensualité initial]]-Output[[#This Row],[Interet]]</f>
        <v>3547.3940532731299</v>
      </c>
      <c r="P391" s="15">
        <f>Output[[#This Row],[Capital Debut Period]]-Output[[#This Row],[Paiement Principal]]</f>
        <v>66973.795292100913</v>
      </c>
      <c r="Q391" s="15">
        <f>Output[[#This Row],[Droit Utilisation]]/Output[[#This Row],[Duree_Mois]]</f>
        <v>3178.1769702210531</v>
      </c>
    </row>
    <row r="392" spans="1:17" x14ac:dyDescent="0.25">
      <c r="A392" s="11" t="s">
        <v>6</v>
      </c>
      <c r="B392" s="12">
        <v>42552</v>
      </c>
      <c r="C392">
        <v>3900</v>
      </c>
      <c r="D392">
        <v>7</v>
      </c>
      <c r="E392">
        <v>0.06</v>
      </c>
      <c r="F392">
        <v>84</v>
      </c>
      <c r="G392" s="13">
        <v>44592</v>
      </c>
      <c r="H392">
        <v>391</v>
      </c>
      <c r="I392">
        <v>67</v>
      </c>
      <c r="J392">
        <v>5.0000000000000001E-3</v>
      </c>
      <c r="K392" s="14">
        <v>2792.1482228267691</v>
      </c>
      <c r="L392" s="14">
        <v>266966.86549856846</v>
      </c>
      <c r="M392" s="36">
        <f>IF(Output[[#This Row],[Index]]=1,Output[[#This Row],[Droit Utilisation]],P391)</f>
        <v>66973.795292100913</v>
      </c>
      <c r="N392" s="15">
        <f>Output[[#This Row],[Capital Debut Period]]*Output[[#This Row],[Tx_interet_M]]</f>
        <v>334.8689764605046</v>
      </c>
      <c r="O392" s="15">
        <f>Output[[#This Row],[Mensualité initial]]-Output[[#This Row],[Interet]]</f>
        <v>3565.1310235394953</v>
      </c>
      <c r="P392" s="15">
        <f>Output[[#This Row],[Capital Debut Period]]-Output[[#This Row],[Paiement Principal]]</f>
        <v>63408.664268561421</v>
      </c>
      <c r="Q392" s="15">
        <f>Output[[#This Row],[Droit Utilisation]]/Output[[#This Row],[Duree_Mois]]</f>
        <v>3178.1769702210531</v>
      </c>
    </row>
    <row r="393" spans="1:17" x14ac:dyDescent="0.25">
      <c r="A393" s="11" t="s">
        <v>6</v>
      </c>
      <c r="B393" s="12">
        <v>42552</v>
      </c>
      <c r="C393">
        <v>3900</v>
      </c>
      <c r="D393">
        <v>7</v>
      </c>
      <c r="E393">
        <v>0.06</v>
      </c>
      <c r="F393">
        <v>84</v>
      </c>
      <c r="G393" s="13">
        <v>44620</v>
      </c>
      <c r="H393">
        <v>392</v>
      </c>
      <c r="I393">
        <v>68</v>
      </c>
      <c r="J393">
        <v>5.0000000000000001E-3</v>
      </c>
      <c r="K393" s="14">
        <v>2778.256938136089</v>
      </c>
      <c r="L393" s="14">
        <v>266966.86549856846</v>
      </c>
      <c r="M393" s="36">
        <f>IF(Output[[#This Row],[Index]]=1,Output[[#This Row],[Droit Utilisation]],P392)</f>
        <v>63408.664268561421</v>
      </c>
      <c r="N393" s="15">
        <f>Output[[#This Row],[Capital Debut Period]]*Output[[#This Row],[Tx_interet_M]]</f>
        <v>317.04332134280713</v>
      </c>
      <c r="O393" s="15">
        <f>Output[[#This Row],[Mensualité initial]]-Output[[#This Row],[Interet]]</f>
        <v>3582.9566786571927</v>
      </c>
      <c r="P393" s="15">
        <f>Output[[#This Row],[Capital Debut Period]]-Output[[#This Row],[Paiement Principal]]</f>
        <v>59825.707589904225</v>
      </c>
      <c r="Q393" s="15">
        <f>Output[[#This Row],[Droit Utilisation]]/Output[[#This Row],[Duree_Mois]]</f>
        <v>3178.1769702210531</v>
      </c>
    </row>
    <row r="394" spans="1:17" x14ac:dyDescent="0.25">
      <c r="A394" s="11" t="s">
        <v>6</v>
      </c>
      <c r="B394" s="12">
        <v>42552</v>
      </c>
      <c r="C394">
        <v>3900</v>
      </c>
      <c r="D394">
        <v>7</v>
      </c>
      <c r="E394">
        <v>0.06</v>
      </c>
      <c r="F394">
        <v>84</v>
      </c>
      <c r="G394" s="13">
        <v>44651</v>
      </c>
      <c r="H394">
        <v>393</v>
      </c>
      <c r="I394">
        <v>69</v>
      </c>
      <c r="J394">
        <v>5.0000000000000001E-3</v>
      </c>
      <c r="K394" s="14">
        <v>2764.434764314517</v>
      </c>
      <c r="L394" s="14">
        <v>266966.86549856846</v>
      </c>
      <c r="M394" s="36">
        <f>IF(Output[[#This Row],[Index]]=1,Output[[#This Row],[Droit Utilisation]],P393)</f>
        <v>59825.707589904225</v>
      </c>
      <c r="N394" s="15">
        <f>Output[[#This Row],[Capital Debut Period]]*Output[[#This Row],[Tx_interet_M]]</f>
        <v>299.1285379495211</v>
      </c>
      <c r="O394" s="15">
        <f>Output[[#This Row],[Mensualité initial]]-Output[[#This Row],[Interet]]</f>
        <v>3600.8714620504788</v>
      </c>
      <c r="P394" s="15">
        <f>Output[[#This Row],[Capital Debut Period]]-Output[[#This Row],[Paiement Principal]]</f>
        <v>56224.836127853749</v>
      </c>
      <c r="Q394" s="15">
        <f>Output[[#This Row],[Droit Utilisation]]/Output[[#This Row],[Duree_Mois]]</f>
        <v>3178.1769702210531</v>
      </c>
    </row>
    <row r="395" spans="1:17" x14ac:dyDescent="0.25">
      <c r="A395" s="11" t="s">
        <v>6</v>
      </c>
      <c r="B395" s="12">
        <v>42552</v>
      </c>
      <c r="C395">
        <v>3900</v>
      </c>
      <c r="D395">
        <v>7</v>
      </c>
      <c r="E395">
        <v>0.06</v>
      </c>
      <c r="F395">
        <v>84</v>
      </c>
      <c r="G395" s="13">
        <v>44681</v>
      </c>
      <c r="H395">
        <v>394</v>
      </c>
      <c r="I395">
        <v>70</v>
      </c>
      <c r="J395">
        <v>5.0000000000000001E-3</v>
      </c>
      <c r="K395" s="14">
        <v>2750.6813575268829</v>
      </c>
      <c r="L395" s="14">
        <v>266966.86549856846</v>
      </c>
      <c r="M395" s="36">
        <f>IF(Output[[#This Row],[Index]]=1,Output[[#This Row],[Droit Utilisation]],P394)</f>
        <v>56224.836127853749</v>
      </c>
      <c r="N395" s="15">
        <f>Output[[#This Row],[Capital Debut Period]]*Output[[#This Row],[Tx_interet_M]]</f>
        <v>281.12418063926873</v>
      </c>
      <c r="O395" s="15">
        <f>Output[[#This Row],[Mensualité initial]]-Output[[#This Row],[Interet]]</f>
        <v>3618.8758193607314</v>
      </c>
      <c r="P395" s="15">
        <f>Output[[#This Row],[Capital Debut Period]]-Output[[#This Row],[Paiement Principal]]</f>
        <v>52605.96030849302</v>
      </c>
      <c r="Q395" s="15">
        <f>Output[[#This Row],[Droit Utilisation]]/Output[[#This Row],[Duree_Mois]]</f>
        <v>3178.1769702210531</v>
      </c>
    </row>
    <row r="396" spans="1:17" x14ac:dyDescent="0.25">
      <c r="A396" s="11" t="s">
        <v>6</v>
      </c>
      <c r="B396" s="12">
        <v>42552</v>
      </c>
      <c r="C396">
        <v>3900</v>
      </c>
      <c r="D396">
        <v>7</v>
      </c>
      <c r="E396">
        <v>0.06</v>
      </c>
      <c r="F396">
        <v>84</v>
      </c>
      <c r="G396" s="13">
        <v>44712</v>
      </c>
      <c r="H396">
        <v>395</v>
      </c>
      <c r="I396">
        <v>71</v>
      </c>
      <c r="J396">
        <v>5.0000000000000001E-3</v>
      </c>
      <c r="K396" s="14">
        <v>2736.99637564864</v>
      </c>
      <c r="L396" s="14">
        <v>266966.86549856846</v>
      </c>
      <c r="M396" s="36">
        <f>IF(Output[[#This Row],[Index]]=1,Output[[#This Row],[Droit Utilisation]],P395)</f>
        <v>52605.96030849302</v>
      </c>
      <c r="N396" s="15">
        <f>Output[[#This Row],[Capital Debut Period]]*Output[[#This Row],[Tx_interet_M]]</f>
        <v>263.02980154246512</v>
      </c>
      <c r="O396" s="15">
        <f>Output[[#This Row],[Mensualité initial]]-Output[[#This Row],[Interet]]</f>
        <v>3636.9701984575349</v>
      </c>
      <c r="P396" s="15">
        <f>Output[[#This Row],[Capital Debut Period]]-Output[[#This Row],[Paiement Principal]]</f>
        <v>48968.990110035484</v>
      </c>
      <c r="Q396" s="15">
        <f>Output[[#This Row],[Droit Utilisation]]/Output[[#This Row],[Duree_Mois]]</f>
        <v>3178.1769702210531</v>
      </c>
    </row>
    <row r="397" spans="1:17" x14ac:dyDescent="0.25">
      <c r="A397" s="11" t="s">
        <v>6</v>
      </c>
      <c r="B397" s="12">
        <v>42552</v>
      </c>
      <c r="C397">
        <v>3900</v>
      </c>
      <c r="D397">
        <v>7</v>
      </c>
      <c r="E397">
        <v>0.06</v>
      </c>
      <c r="F397">
        <v>84</v>
      </c>
      <c r="G397" s="13">
        <v>44742</v>
      </c>
      <c r="H397">
        <v>396</v>
      </c>
      <c r="I397">
        <v>72</v>
      </c>
      <c r="J397">
        <v>5.0000000000000001E-3</v>
      </c>
      <c r="K397" s="14">
        <v>2723.3794782573536</v>
      </c>
      <c r="L397" s="14">
        <v>266966.86549856846</v>
      </c>
      <c r="M397" s="36">
        <f>IF(Output[[#This Row],[Index]]=1,Output[[#This Row],[Droit Utilisation]],P396)</f>
        <v>48968.990110035484</v>
      </c>
      <c r="N397" s="15">
        <f>Output[[#This Row],[Capital Debut Period]]*Output[[#This Row],[Tx_interet_M]]</f>
        <v>244.84495055017743</v>
      </c>
      <c r="O397" s="15">
        <f>Output[[#This Row],[Mensualité initial]]-Output[[#This Row],[Interet]]</f>
        <v>3655.1550494498224</v>
      </c>
      <c r="P397" s="15">
        <f>Output[[#This Row],[Capital Debut Period]]-Output[[#This Row],[Paiement Principal]]</f>
        <v>45313.835060585661</v>
      </c>
      <c r="Q397" s="15">
        <f>Output[[#This Row],[Droit Utilisation]]/Output[[#This Row],[Duree_Mois]]</f>
        <v>3178.1769702210531</v>
      </c>
    </row>
    <row r="398" spans="1:17" x14ac:dyDescent="0.25">
      <c r="A398" s="11" t="s">
        <v>6</v>
      </c>
      <c r="B398" s="12">
        <v>42552</v>
      </c>
      <c r="C398">
        <v>3900</v>
      </c>
      <c r="D398">
        <v>7</v>
      </c>
      <c r="E398">
        <v>0.06</v>
      </c>
      <c r="F398">
        <v>84</v>
      </c>
      <c r="G398" s="13">
        <v>44773</v>
      </c>
      <c r="H398">
        <v>397</v>
      </c>
      <c r="I398">
        <v>73</v>
      </c>
      <c r="J398">
        <v>5.0000000000000001E-3</v>
      </c>
      <c r="K398" s="14">
        <v>2709.8303266242328</v>
      </c>
      <c r="L398" s="14">
        <v>266966.86549856846</v>
      </c>
      <c r="M398" s="36">
        <f>IF(Output[[#This Row],[Index]]=1,Output[[#This Row],[Droit Utilisation]],P397)</f>
        <v>45313.835060585661</v>
      </c>
      <c r="N398" s="15">
        <f>Output[[#This Row],[Capital Debut Period]]*Output[[#This Row],[Tx_interet_M]]</f>
        <v>226.5691753029283</v>
      </c>
      <c r="O398" s="15">
        <f>Output[[#This Row],[Mensualité initial]]-Output[[#This Row],[Interet]]</f>
        <v>3673.4308246970718</v>
      </c>
      <c r="P398" s="15">
        <f>Output[[#This Row],[Capital Debut Period]]-Output[[#This Row],[Paiement Principal]]</f>
        <v>41640.404235888593</v>
      </c>
      <c r="Q398" s="15">
        <f>Output[[#This Row],[Droit Utilisation]]/Output[[#This Row],[Duree_Mois]]</f>
        <v>3178.1769702210531</v>
      </c>
    </row>
    <row r="399" spans="1:17" x14ac:dyDescent="0.25">
      <c r="A399" s="11" t="s">
        <v>6</v>
      </c>
      <c r="B399" s="12">
        <v>42552</v>
      </c>
      <c r="C399">
        <v>3900</v>
      </c>
      <c r="D399">
        <v>7</v>
      </c>
      <c r="E399">
        <v>0.06</v>
      </c>
      <c r="F399">
        <v>84</v>
      </c>
      <c r="G399" s="13">
        <v>44804</v>
      </c>
      <c r="H399">
        <v>398</v>
      </c>
      <c r="I399">
        <v>74</v>
      </c>
      <c r="J399">
        <v>5.0000000000000001E-3</v>
      </c>
      <c r="K399" s="14">
        <v>2696.3485837057046</v>
      </c>
      <c r="L399" s="14">
        <v>266966.86549856846</v>
      </c>
      <c r="M399" s="36">
        <f>IF(Output[[#This Row],[Index]]=1,Output[[#This Row],[Droit Utilisation]],P398)</f>
        <v>41640.404235888593</v>
      </c>
      <c r="N399" s="15">
        <f>Output[[#This Row],[Capital Debut Period]]*Output[[#This Row],[Tx_interet_M]]</f>
        <v>208.20202117944297</v>
      </c>
      <c r="O399" s="15">
        <f>Output[[#This Row],[Mensualité initial]]-Output[[#This Row],[Interet]]</f>
        <v>3691.7979788205571</v>
      </c>
      <c r="P399" s="15">
        <f>Output[[#This Row],[Capital Debut Period]]-Output[[#This Row],[Paiement Principal]]</f>
        <v>37948.606257068037</v>
      </c>
      <c r="Q399" s="15">
        <f>Output[[#This Row],[Droit Utilisation]]/Output[[#This Row],[Duree_Mois]]</f>
        <v>3178.1769702210531</v>
      </c>
    </row>
    <row r="400" spans="1:17" x14ac:dyDescent="0.25">
      <c r="A400" s="11" t="s">
        <v>6</v>
      </c>
      <c r="B400" s="12">
        <v>42552</v>
      </c>
      <c r="C400">
        <v>3900</v>
      </c>
      <c r="D400">
        <v>7</v>
      </c>
      <c r="E400">
        <v>0.06</v>
      </c>
      <c r="F400">
        <v>84</v>
      </c>
      <c r="G400" s="13">
        <v>44834</v>
      </c>
      <c r="H400">
        <v>399</v>
      </c>
      <c r="I400">
        <v>75</v>
      </c>
      <c r="J400">
        <v>5.0000000000000001E-3</v>
      </c>
      <c r="K400" s="14">
        <v>2682.9339141350292</v>
      </c>
      <c r="L400" s="14">
        <v>266966.86549856846</v>
      </c>
      <c r="M400" s="36">
        <f>IF(Output[[#This Row],[Index]]=1,Output[[#This Row],[Droit Utilisation]],P399)</f>
        <v>37948.606257068037</v>
      </c>
      <c r="N400" s="15">
        <f>Output[[#This Row],[Capital Debut Period]]*Output[[#This Row],[Tx_interet_M]]</f>
        <v>189.74303128534018</v>
      </c>
      <c r="O400" s="15">
        <f>Output[[#This Row],[Mensualité initial]]-Output[[#This Row],[Interet]]</f>
        <v>3710.2569687146597</v>
      </c>
      <c r="P400" s="15">
        <f>Output[[#This Row],[Capital Debut Period]]-Output[[#This Row],[Paiement Principal]]</f>
        <v>34238.349288353376</v>
      </c>
      <c r="Q400" s="15">
        <f>Output[[#This Row],[Droit Utilisation]]/Output[[#This Row],[Duree_Mois]]</f>
        <v>3178.1769702210531</v>
      </c>
    </row>
    <row r="401" spans="1:17" x14ac:dyDescent="0.25">
      <c r="A401" s="11" t="s">
        <v>6</v>
      </c>
      <c r="B401" s="12">
        <v>42552</v>
      </c>
      <c r="C401">
        <v>3900</v>
      </c>
      <c r="D401">
        <v>7</v>
      </c>
      <c r="E401">
        <v>0.06</v>
      </c>
      <c r="F401">
        <v>84</v>
      </c>
      <c r="G401" s="13">
        <v>44865</v>
      </c>
      <c r="H401">
        <v>400</v>
      </c>
      <c r="I401">
        <v>76</v>
      </c>
      <c r="J401">
        <v>5.0000000000000001E-3</v>
      </c>
      <c r="K401" s="14">
        <v>2669.5859842139603</v>
      </c>
      <c r="L401" s="14">
        <v>266966.86549856846</v>
      </c>
      <c r="M401" s="36">
        <f>IF(Output[[#This Row],[Index]]=1,Output[[#This Row],[Droit Utilisation]],P400)</f>
        <v>34238.349288353376</v>
      </c>
      <c r="N401" s="15">
        <f>Output[[#This Row],[Capital Debut Period]]*Output[[#This Row],[Tx_interet_M]]</f>
        <v>171.1917464417669</v>
      </c>
      <c r="O401" s="15">
        <f>Output[[#This Row],[Mensualité initial]]-Output[[#This Row],[Interet]]</f>
        <v>3728.808253558233</v>
      </c>
      <c r="P401" s="15">
        <f>Output[[#This Row],[Capital Debut Period]]-Output[[#This Row],[Paiement Principal]]</f>
        <v>30509.541034795144</v>
      </c>
      <c r="Q401" s="15">
        <f>Output[[#This Row],[Droit Utilisation]]/Output[[#This Row],[Duree_Mois]]</f>
        <v>3178.1769702210531</v>
      </c>
    </row>
    <row r="402" spans="1:17" x14ac:dyDescent="0.25">
      <c r="A402" s="11" t="s">
        <v>6</v>
      </c>
      <c r="B402" s="12">
        <v>42552</v>
      </c>
      <c r="C402">
        <v>3900</v>
      </c>
      <c r="D402">
        <v>7</v>
      </c>
      <c r="E402">
        <v>0.06</v>
      </c>
      <c r="F402">
        <v>84</v>
      </c>
      <c r="G402" s="13">
        <v>44895</v>
      </c>
      <c r="H402">
        <v>401</v>
      </c>
      <c r="I402">
        <v>77</v>
      </c>
      <c r="J402">
        <v>5.0000000000000001E-3</v>
      </c>
      <c r="K402" s="14">
        <v>2656.3044619044381</v>
      </c>
      <c r="L402" s="14">
        <v>266966.86549856846</v>
      </c>
      <c r="M402" s="36">
        <f>IF(Output[[#This Row],[Index]]=1,Output[[#This Row],[Droit Utilisation]],P401)</f>
        <v>30509.541034795144</v>
      </c>
      <c r="N402" s="15">
        <f>Output[[#This Row],[Capital Debut Period]]*Output[[#This Row],[Tx_interet_M]]</f>
        <v>152.54770517397571</v>
      </c>
      <c r="O402" s="15">
        <f>Output[[#This Row],[Mensualité initial]]-Output[[#This Row],[Interet]]</f>
        <v>3747.4522948260242</v>
      </c>
      <c r="P402" s="15">
        <f>Output[[#This Row],[Capital Debut Period]]-Output[[#This Row],[Paiement Principal]]</f>
        <v>26762.08873996912</v>
      </c>
      <c r="Q402" s="15">
        <f>Output[[#This Row],[Droit Utilisation]]/Output[[#This Row],[Duree_Mois]]</f>
        <v>3178.1769702210531</v>
      </c>
    </row>
    <row r="403" spans="1:17" x14ac:dyDescent="0.25">
      <c r="A403" s="11" t="s">
        <v>6</v>
      </c>
      <c r="B403" s="12">
        <v>42552</v>
      </c>
      <c r="C403">
        <v>3900</v>
      </c>
      <c r="D403">
        <v>7</v>
      </c>
      <c r="E403">
        <v>0.06</v>
      </c>
      <c r="F403">
        <v>84</v>
      </c>
      <c r="G403" s="13">
        <v>44926</v>
      </c>
      <c r="H403">
        <v>402</v>
      </c>
      <c r="I403">
        <v>78</v>
      </c>
      <c r="J403">
        <v>5.0000000000000001E-3</v>
      </c>
      <c r="K403" s="14">
        <v>2643.0890168203368</v>
      </c>
      <c r="L403" s="14">
        <v>266966.86549856846</v>
      </c>
      <c r="M403" s="36">
        <f>IF(Output[[#This Row],[Index]]=1,Output[[#This Row],[Droit Utilisation]],P402)</f>
        <v>26762.08873996912</v>
      </c>
      <c r="N403" s="15">
        <f>Output[[#This Row],[Capital Debut Period]]*Output[[#This Row],[Tx_interet_M]]</f>
        <v>133.81044369984559</v>
      </c>
      <c r="O403" s="15">
        <f>Output[[#This Row],[Mensualité initial]]-Output[[#This Row],[Interet]]</f>
        <v>3766.1895563001544</v>
      </c>
      <c r="P403" s="15">
        <f>Output[[#This Row],[Capital Debut Period]]-Output[[#This Row],[Paiement Principal]]</f>
        <v>22995.899183668967</v>
      </c>
      <c r="Q403" s="15">
        <f>Output[[#This Row],[Droit Utilisation]]/Output[[#This Row],[Duree_Mois]]</f>
        <v>3178.1769702210531</v>
      </c>
    </row>
    <row r="404" spans="1:17" x14ac:dyDescent="0.25">
      <c r="A404" s="11" t="s">
        <v>6</v>
      </c>
      <c r="B404" s="12">
        <v>42552</v>
      </c>
      <c r="C404">
        <v>3900</v>
      </c>
      <c r="D404">
        <v>7</v>
      </c>
      <c r="E404">
        <v>0.06</v>
      </c>
      <c r="F404">
        <v>84</v>
      </c>
      <c r="G404" s="13">
        <v>44957</v>
      </c>
      <c r="H404">
        <v>403</v>
      </c>
      <c r="I404">
        <v>79</v>
      </c>
      <c r="J404">
        <v>5.0000000000000001E-3</v>
      </c>
      <c r="K404" s="14">
        <v>2629.9393202192409</v>
      </c>
      <c r="L404" s="14">
        <v>266966.86549856846</v>
      </c>
      <c r="M404" s="36">
        <f>IF(Output[[#This Row],[Index]]=1,Output[[#This Row],[Droit Utilisation]],P403)</f>
        <v>22995.899183668967</v>
      </c>
      <c r="N404" s="15">
        <f>Output[[#This Row],[Capital Debut Period]]*Output[[#This Row],[Tx_interet_M]]</f>
        <v>114.97949591834484</v>
      </c>
      <c r="O404" s="15">
        <f>Output[[#This Row],[Mensualité initial]]-Output[[#This Row],[Interet]]</f>
        <v>3785.020504081655</v>
      </c>
      <c r="P404" s="15">
        <f>Output[[#This Row],[Capital Debut Period]]-Output[[#This Row],[Paiement Principal]]</f>
        <v>19210.878679587313</v>
      </c>
      <c r="Q404" s="15">
        <f>Output[[#This Row],[Droit Utilisation]]/Output[[#This Row],[Duree_Mois]]</f>
        <v>3178.1769702210531</v>
      </c>
    </row>
    <row r="405" spans="1:17" x14ac:dyDescent="0.25">
      <c r="A405" s="11" t="s">
        <v>6</v>
      </c>
      <c r="B405" s="12">
        <v>42552</v>
      </c>
      <c r="C405">
        <v>3900</v>
      </c>
      <c r="D405">
        <v>7</v>
      </c>
      <c r="E405">
        <v>0.06</v>
      </c>
      <c r="F405">
        <v>84</v>
      </c>
      <c r="G405" s="13">
        <v>44985</v>
      </c>
      <c r="H405">
        <v>404</v>
      </c>
      <c r="I405">
        <v>80</v>
      </c>
      <c r="J405">
        <v>5.0000000000000001E-3</v>
      </c>
      <c r="K405" s="14">
        <v>2616.8550449942695</v>
      </c>
      <c r="L405" s="14">
        <v>266966.86549856846</v>
      </c>
      <c r="M405" s="36">
        <f>IF(Output[[#This Row],[Index]]=1,Output[[#This Row],[Droit Utilisation]],P404)</f>
        <v>19210.878679587313</v>
      </c>
      <c r="N405" s="15">
        <f>Output[[#This Row],[Capital Debut Period]]*Output[[#This Row],[Tx_interet_M]]</f>
        <v>96.054393397936565</v>
      </c>
      <c r="O405" s="15">
        <f>Output[[#This Row],[Mensualité initial]]-Output[[#This Row],[Interet]]</f>
        <v>3803.9456066020634</v>
      </c>
      <c r="P405" s="15">
        <f>Output[[#This Row],[Capital Debut Period]]-Output[[#This Row],[Paiement Principal]]</f>
        <v>15406.93307298525</v>
      </c>
      <c r="Q405" s="15">
        <f>Output[[#This Row],[Droit Utilisation]]/Output[[#This Row],[Duree_Mois]]</f>
        <v>3178.1769702210531</v>
      </c>
    </row>
    <row r="406" spans="1:17" x14ac:dyDescent="0.25">
      <c r="A406" s="11" t="s">
        <v>6</v>
      </c>
      <c r="B406" s="12">
        <v>42552</v>
      </c>
      <c r="C406">
        <v>3900</v>
      </c>
      <c r="D406">
        <v>7</v>
      </c>
      <c r="E406">
        <v>0.06</v>
      </c>
      <c r="F406">
        <v>84</v>
      </c>
      <c r="G406" s="13">
        <v>45016</v>
      </c>
      <c r="H406">
        <v>405</v>
      </c>
      <c r="I406">
        <v>81</v>
      </c>
      <c r="J406">
        <v>5.0000000000000001E-3</v>
      </c>
      <c r="K406" s="14">
        <v>2603.8358656659402</v>
      </c>
      <c r="L406" s="14">
        <v>266966.86549856846</v>
      </c>
      <c r="M406" s="36">
        <f>IF(Output[[#This Row],[Index]]=1,Output[[#This Row],[Droit Utilisation]],P405)</f>
        <v>15406.93307298525</v>
      </c>
      <c r="N406" s="15">
        <f>Output[[#This Row],[Capital Debut Period]]*Output[[#This Row],[Tx_interet_M]]</f>
        <v>77.034665364926255</v>
      </c>
      <c r="O406" s="15">
        <f>Output[[#This Row],[Mensualité initial]]-Output[[#This Row],[Interet]]</f>
        <v>3822.9653346350738</v>
      </c>
      <c r="P406" s="15">
        <f>Output[[#This Row],[Capital Debut Period]]-Output[[#This Row],[Paiement Principal]]</f>
        <v>11583.967738350177</v>
      </c>
      <c r="Q406" s="15">
        <f>Output[[#This Row],[Droit Utilisation]]/Output[[#This Row],[Duree_Mois]]</f>
        <v>3178.1769702210531</v>
      </c>
    </row>
    <row r="407" spans="1:17" x14ac:dyDescent="0.25">
      <c r="A407" s="11" t="s">
        <v>6</v>
      </c>
      <c r="B407" s="12">
        <v>42552</v>
      </c>
      <c r="C407">
        <v>3900</v>
      </c>
      <c r="D407">
        <v>7</v>
      </c>
      <c r="E407">
        <v>0.06</v>
      </c>
      <c r="F407">
        <v>84</v>
      </c>
      <c r="G407" s="13">
        <v>45046</v>
      </c>
      <c r="H407">
        <v>406</v>
      </c>
      <c r="I407">
        <v>82</v>
      </c>
      <c r="J407">
        <v>5.0000000000000001E-3</v>
      </c>
      <c r="K407" s="14">
        <v>2590.8814583740705</v>
      </c>
      <c r="L407" s="14">
        <v>266966.86549856846</v>
      </c>
      <c r="M407" s="36">
        <f>IF(Output[[#This Row],[Index]]=1,Output[[#This Row],[Droit Utilisation]],P406)</f>
        <v>11583.967738350177</v>
      </c>
      <c r="N407" s="15">
        <f>Output[[#This Row],[Capital Debut Period]]*Output[[#This Row],[Tx_interet_M]]</f>
        <v>57.919838691750883</v>
      </c>
      <c r="O407" s="15">
        <f>Output[[#This Row],[Mensualité initial]]-Output[[#This Row],[Interet]]</f>
        <v>3842.080161308249</v>
      </c>
      <c r="P407" s="15">
        <f>Output[[#This Row],[Capital Debut Period]]-Output[[#This Row],[Paiement Principal]]</f>
        <v>7741.8875770419272</v>
      </c>
      <c r="Q407" s="15">
        <f>Output[[#This Row],[Droit Utilisation]]/Output[[#This Row],[Duree_Mois]]</f>
        <v>3178.1769702210531</v>
      </c>
    </row>
    <row r="408" spans="1:17" x14ac:dyDescent="0.25">
      <c r="A408" s="11" t="s">
        <v>6</v>
      </c>
      <c r="B408" s="12">
        <v>42552</v>
      </c>
      <c r="C408">
        <v>3900</v>
      </c>
      <c r="D408">
        <v>7</v>
      </c>
      <c r="E408">
        <v>0.06</v>
      </c>
      <c r="F408">
        <v>84</v>
      </c>
      <c r="G408" s="13">
        <v>45077</v>
      </c>
      <c r="H408">
        <v>407</v>
      </c>
      <c r="I408">
        <v>83</v>
      </c>
      <c r="J408">
        <v>5.0000000000000001E-3</v>
      </c>
      <c r="K408" s="14">
        <v>2577.9915008697217</v>
      </c>
      <c r="L408" s="14">
        <v>266966.86549856846</v>
      </c>
      <c r="M408" s="36">
        <f>IF(Output[[#This Row],[Index]]=1,Output[[#This Row],[Droit Utilisation]],P407)</f>
        <v>7741.8875770419272</v>
      </c>
      <c r="N408" s="15">
        <f>Output[[#This Row],[Capital Debut Period]]*Output[[#This Row],[Tx_interet_M]]</f>
        <v>38.709437885209638</v>
      </c>
      <c r="O408" s="15">
        <f>Output[[#This Row],[Mensualité initial]]-Output[[#This Row],[Interet]]</f>
        <v>3861.2905621147902</v>
      </c>
      <c r="P408" s="15">
        <f>Output[[#This Row],[Capital Debut Period]]-Output[[#This Row],[Paiement Principal]]</f>
        <v>3880.597014927137</v>
      </c>
      <c r="Q408" s="15">
        <f>Output[[#This Row],[Droit Utilisation]]/Output[[#This Row],[Duree_Mois]]</f>
        <v>3178.1769702210531</v>
      </c>
    </row>
    <row r="409" spans="1:17" x14ac:dyDescent="0.25">
      <c r="A409" s="11" t="s">
        <v>6</v>
      </c>
      <c r="B409" s="12">
        <v>42552</v>
      </c>
      <c r="C409">
        <v>3900</v>
      </c>
      <c r="D409">
        <v>7</v>
      </c>
      <c r="E409">
        <v>0.06</v>
      </c>
      <c r="F409">
        <v>84</v>
      </c>
      <c r="G409" s="13">
        <v>45107</v>
      </c>
      <c r="H409">
        <v>408</v>
      </c>
      <c r="I409">
        <v>84</v>
      </c>
      <c r="J409">
        <v>5.0000000000000001E-3</v>
      </c>
      <c r="K409" s="14">
        <v>2565.1656725071862</v>
      </c>
      <c r="L409" s="14">
        <v>266966.86549856846</v>
      </c>
      <c r="M409" s="36">
        <f>IF(Output[[#This Row],[Index]]=1,Output[[#This Row],[Droit Utilisation]],P408)</f>
        <v>3880.597014927137</v>
      </c>
      <c r="N409" s="15">
        <f>Output[[#This Row],[Capital Debut Period]]*Output[[#This Row],[Tx_interet_M]]</f>
        <v>19.402985074635687</v>
      </c>
      <c r="O409" s="15">
        <f>Output[[#This Row],[Mensualité initial]]-Output[[#This Row],[Interet]]</f>
        <v>3880.5970149253644</v>
      </c>
      <c r="P409" s="15">
        <f>Output[[#This Row],[Capital Debut Period]]-Output[[#This Row],[Paiement Principal]]</f>
        <v>1.7726051737554371E-9</v>
      </c>
      <c r="Q409" s="15">
        <f>Output[[#This Row],[Droit Utilisation]]/Output[[#This Row],[Duree_Mois]]</f>
        <v>3178.1769702210531</v>
      </c>
    </row>
    <row r="410" spans="1:17" x14ac:dyDescent="0.25">
      <c r="A410" s="11" t="s">
        <v>7</v>
      </c>
      <c r="B410" s="12">
        <v>43800</v>
      </c>
      <c r="C410">
        <v>2000</v>
      </c>
      <c r="D410">
        <v>3</v>
      </c>
      <c r="E410">
        <v>0.03</v>
      </c>
      <c r="F410">
        <v>36</v>
      </c>
      <c r="G410" s="13">
        <v>43830</v>
      </c>
      <c r="H410">
        <v>409</v>
      </c>
      <c r="I410">
        <v>1</v>
      </c>
      <c r="J410">
        <v>2.5000000000000001E-3</v>
      </c>
      <c r="K410" s="14">
        <v>1995.0124688279302</v>
      </c>
      <c r="L410" s="14">
        <v>68772.930197922411</v>
      </c>
      <c r="M410" s="36">
        <f>IF(Output[[#This Row],[Index]]=1,Output[[#This Row],[Droit Utilisation]],P409)</f>
        <v>68772.930197922411</v>
      </c>
      <c r="N410" s="15">
        <f>Output[[#This Row],[Capital Debut Period]]*Output[[#This Row],[Tx_interet_M]]</f>
        <v>171.93232549480604</v>
      </c>
      <c r="O410" s="15">
        <f>Output[[#This Row],[Mensualité initial]]-Output[[#This Row],[Interet]]</f>
        <v>1828.067674505194</v>
      </c>
      <c r="P410" s="15">
        <f>Output[[#This Row],[Capital Debut Period]]-Output[[#This Row],[Paiement Principal]]</f>
        <v>66944.862523417221</v>
      </c>
      <c r="Q410" s="15">
        <f>Output[[#This Row],[Droit Utilisation]]/Output[[#This Row],[Duree_Mois]]</f>
        <v>1910.3591721645114</v>
      </c>
    </row>
    <row r="411" spans="1:17" x14ac:dyDescent="0.25">
      <c r="A411" s="11" t="s">
        <v>7</v>
      </c>
      <c r="B411" s="12">
        <v>43800</v>
      </c>
      <c r="C411">
        <v>2000</v>
      </c>
      <c r="D411">
        <v>3</v>
      </c>
      <c r="E411">
        <v>0.03</v>
      </c>
      <c r="F411">
        <v>36</v>
      </c>
      <c r="G411" s="13">
        <v>43861</v>
      </c>
      <c r="H411">
        <v>410</v>
      </c>
      <c r="I411">
        <v>2</v>
      </c>
      <c r="J411">
        <v>2.5000000000000001E-3</v>
      </c>
      <c r="K411" s="14">
        <v>1990.0373753894567</v>
      </c>
      <c r="L411" s="14">
        <v>68772.930197922411</v>
      </c>
      <c r="M411" s="36">
        <f>IF(Output[[#This Row],[Index]]=1,Output[[#This Row],[Droit Utilisation]],P410)</f>
        <v>66944.862523417221</v>
      </c>
      <c r="N411" s="15">
        <f>Output[[#This Row],[Capital Debut Period]]*Output[[#This Row],[Tx_interet_M]]</f>
        <v>167.36215630854306</v>
      </c>
      <c r="O411" s="15">
        <f>Output[[#This Row],[Mensualité initial]]-Output[[#This Row],[Interet]]</f>
        <v>1832.637843691457</v>
      </c>
      <c r="P411" s="15">
        <f>Output[[#This Row],[Capital Debut Period]]-Output[[#This Row],[Paiement Principal]]</f>
        <v>65112.224679725761</v>
      </c>
      <c r="Q411" s="15">
        <f>Output[[#This Row],[Droit Utilisation]]/Output[[#This Row],[Duree_Mois]]</f>
        <v>1910.3591721645114</v>
      </c>
    </row>
    <row r="412" spans="1:17" x14ac:dyDescent="0.25">
      <c r="A412" s="11" t="s">
        <v>7</v>
      </c>
      <c r="B412" s="12">
        <v>43800</v>
      </c>
      <c r="C412">
        <v>2000</v>
      </c>
      <c r="D412">
        <v>3</v>
      </c>
      <c r="E412">
        <v>0.03</v>
      </c>
      <c r="F412">
        <v>36</v>
      </c>
      <c r="G412" s="13">
        <v>43890</v>
      </c>
      <c r="H412">
        <v>411</v>
      </c>
      <c r="I412">
        <v>3</v>
      </c>
      <c r="J412">
        <v>2.5000000000000001E-3</v>
      </c>
      <c r="K412" s="14">
        <v>1985.0746886677875</v>
      </c>
      <c r="L412" s="14">
        <v>68772.930197922411</v>
      </c>
      <c r="M412" s="36">
        <f>IF(Output[[#This Row],[Index]]=1,Output[[#This Row],[Droit Utilisation]],P411)</f>
        <v>65112.224679725761</v>
      </c>
      <c r="N412" s="15">
        <f>Output[[#This Row],[Capital Debut Period]]*Output[[#This Row],[Tx_interet_M]]</f>
        <v>162.7805616993144</v>
      </c>
      <c r="O412" s="15">
        <f>Output[[#This Row],[Mensualité initial]]-Output[[#This Row],[Interet]]</f>
        <v>1837.2194383006856</v>
      </c>
      <c r="P412" s="15">
        <f>Output[[#This Row],[Capital Debut Period]]-Output[[#This Row],[Paiement Principal]]</f>
        <v>63275.005241425075</v>
      </c>
      <c r="Q412" s="15">
        <f>Output[[#This Row],[Droit Utilisation]]/Output[[#This Row],[Duree_Mois]]</f>
        <v>1910.3591721645114</v>
      </c>
    </row>
    <row r="413" spans="1:17" x14ac:dyDescent="0.25">
      <c r="A413" s="11" t="s">
        <v>7</v>
      </c>
      <c r="B413" s="12">
        <v>43800</v>
      </c>
      <c r="C413">
        <v>2000</v>
      </c>
      <c r="D413">
        <v>3</v>
      </c>
      <c r="E413">
        <v>0.03</v>
      </c>
      <c r="F413">
        <v>36</v>
      </c>
      <c r="G413" s="13">
        <v>43921</v>
      </c>
      <c r="H413">
        <v>412</v>
      </c>
      <c r="I413">
        <v>4</v>
      </c>
      <c r="J413">
        <v>2.5000000000000001E-3</v>
      </c>
      <c r="K413" s="14">
        <v>1980.1243777234788</v>
      </c>
      <c r="L413" s="14">
        <v>68772.930197922411</v>
      </c>
      <c r="M413" s="36">
        <f>IF(Output[[#This Row],[Index]]=1,Output[[#This Row],[Droit Utilisation]],P412)</f>
        <v>63275.005241425075</v>
      </c>
      <c r="N413" s="15">
        <f>Output[[#This Row],[Capital Debut Period]]*Output[[#This Row],[Tx_interet_M]]</f>
        <v>158.18751310356268</v>
      </c>
      <c r="O413" s="15">
        <f>Output[[#This Row],[Mensualité initial]]-Output[[#This Row],[Interet]]</f>
        <v>1841.8124868964373</v>
      </c>
      <c r="P413" s="15">
        <f>Output[[#This Row],[Capital Debut Period]]-Output[[#This Row],[Paiement Principal]]</f>
        <v>61433.192754528638</v>
      </c>
      <c r="Q413" s="15">
        <f>Output[[#This Row],[Droit Utilisation]]/Output[[#This Row],[Duree_Mois]]</f>
        <v>1910.3591721645114</v>
      </c>
    </row>
    <row r="414" spans="1:17" x14ac:dyDescent="0.25">
      <c r="A414" s="11" t="s">
        <v>7</v>
      </c>
      <c r="B414" s="12">
        <v>43800</v>
      </c>
      <c r="C414">
        <v>2000</v>
      </c>
      <c r="D414">
        <v>3</v>
      </c>
      <c r="E414">
        <v>0.03</v>
      </c>
      <c r="F414">
        <v>36</v>
      </c>
      <c r="G414" s="13">
        <v>43951</v>
      </c>
      <c r="H414">
        <v>413</v>
      </c>
      <c r="I414">
        <v>5</v>
      </c>
      <c r="J414">
        <v>2.5000000000000001E-3</v>
      </c>
      <c r="K414" s="14">
        <v>1975.1864116942434</v>
      </c>
      <c r="L414" s="14">
        <v>68772.930197922411</v>
      </c>
      <c r="M414" s="36">
        <f>IF(Output[[#This Row],[Index]]=1,Output[[#This Row],[Droit Utilisation]],P413)</f>
        <v>61433.192754528638</v>
      </c>
      <c r="N414" s="15">
        <f>Output[[#This Row],[Capital Debut Period]]*Output[[#This Row],[Tx_interet_M]]</f>
        <v>153.58298188632159</v>
      </c>
      <c r="O414" s="15">
        <f>Output[[#This Row],[Mensualité initial]]-Output[[#This Row],[Interet]]</f>
        <v>1846.4170181136783</v>
      </c>
      <c r="P414" s="15">
        <f>Output[[#This Row],[Capital Debut Period]]-Output[[#This Row],[Paiement Principal]]</f>
        <v>59586.775736414958</v>
      </c>
      <c r="Q414" s="15">
        <f>Output[[#This Row],[Droit Utilisation]]/Output[[#This Row],[Duree_Mois]]</f>
        <v>1910.3591721645114</v>
      </c>
    </row>
    <row r="415" spans="1:17" x14ac:dyDescent="0.25">
      <c r="A415" s="11" t="s">
        <v>7</v>
      </c>
      <c r="B415" s="12">
        <v>43800</v>
      </c>
      <c r="C415">
        <v>2000</v>
      </c>
      <c r="D415">
        <v>3</v>
      </c>
      <c r="E415">
        <v>0.03</v>
      </c>
      <c r="F415">
        <v>36</v>
      </c>
      <c r="G415" s="13">
        <v>43982</v>
      </c>
      <c r="H415">
        <v>414</v>
      </c>
      <c r="I415">
        <v>6</v>
      </c>
      <c r="J415">
        <v>2.5000000000000001E-3</v>
      </c>
      <c r="K415" s="14">
        <v>1970.2607597947565</v>
      </c>
      <c r="L415" s="14">
        <v>68772.930197922411</v>
      </c>
      <c r="M415" s="36">
        <f>IF(Output[[#This Row],[Index]]=1,Output[[#This Row],[Droit Utilisation]],P414)</f>
        <v>59586.775736414958</v>
      </c>
      <c r="N415" s="15">
        <f>Output[[#This Row],[Capital Debut Period]]*Output[[#This Row],[Tx_interet_M]]</f>
        <v>148.9669393410374</v>
      </c>
      <c r="O415" s="15">
        <f>Output[[#This Row],[Mensualité initial]]-Output[[#This Row],[Interet]]</f>
        <v>1851.0330606589625</v>
      </c>
      <c r="P415" s="15">
        <f>Output[[#This Row],[Capital Debut Period]]-Output[[#This Row],[Paiement Principal]]</f>
        <v>57735.742675755995</v>
      </c>
      <c r="Q415" s="15">
        <f>Output[[#This Row],[Droit Utilisation]]/Output[[#This Row],[Duree_Mois]]</f>
        <v>1910.3591721645114</v>
      </c>
    </row>
    <row r="416" spans="1:17" x14ac:dyDescent="0.25">
      <c r="A416" s="11" t="s">
        <v>7</v>
      </c>
      <c r="B416" s="12">
        <v>43800</v>
      </c>
      <c r="C416">
        <v>2000</v>
      </c>
      <c r="D416">
        <v>3</v>
      </c>
      <c r="E416">
        <v>0.03</v>
      </c>
      <c r="F416">
        <v>36</v>
      </c>
      <c r="G416" s="13">
        <v>44012</v>
      </c>
      <c r="H416">
        <v>415</v>
      </c>
      <c r="I416">
        <v>7</v>
      </c>
      <c r="J416">
        <v>2.5000000000000001E-3</v>
      </c>
      <c r="K416" s="14">
        <v>1965.3473913164655</v>
      </c>
      <c r="L416" s="14">
        <v>68772.930197922411</v>
      </c>
      <c r="M416" s="36">
        <f>IF(Output[[#This Row],[Index]]=1,Output[[#This Row],[Droit Utilisation]],P415)</f>
        <v>57735.742675755995</v>
      </c>
      <c r="N416" s="15">
        <f>Output[[#This Row],[Capital Debut Period]]*Output[[#This Row],[Tx_interet_M]]</f>
        <v>144.33935668939</v>
      </c>
      <c r="O416" s="15">
        <f>Output[[#This Row],[Mensualité initial]]-Output[[#This Row],[Interet]]</f>
        <v>1855.6606433106099</v>
      </c>
      <c r="P416" s="15">
        <f>Output[[#This Row],[Capital Debut Period]]-Output[[#This Row],[Paiement Principal]]</f>
        <v>55880.082032445382</v>
      </c>
      <c r="Q416" s="15">
        <f>Output[[#This Row],[Droit Utilisation]]/Output[[#This Row],[Duree_Mois]]</f>
        <v>1910.3591721645114</v>
      </c>
    </row>
    <row r="417" spans="1:17" x14ac:dyDescent="0.25">
      <c r="A417" s="11" t="s">
        <v>7</v>
      </c>
      <c r="B417" s="12">
        <v>43800</v>
      </c>
      <c r="C417">
        <v>2000</v>
      </c>
      <c r="D417">
        <v>3</v>
      </c>
      <c r="E417">
        <v>0.03</v>
      </c>
      <c r="F417">
        <v>36</v>
      </c>
      <c r="G417" s="13">
        <v>44043</v>
      </c>
      <c r="H417">
        <v>416</v>
      </c>
      <c r="I417">
        <v>8</v>
      </c>
      <c r="J417">
        <v>2.5000000000000001E-3</v>
      </c>
      <c r="K417" s="14">
        <v>1960.446275627397</v>
      </c>
      <c r="L417" s="14">
        <v>68772.930197922411</v>
      </c>
      <c r="M417" s="36">
        <f>IF(Output[[#This Row],[Index]]=1,Output[[#This Row],[Droit Utilisation]],P416)</f>
        <v>55880.082032445382</v>
      </c>
      <c r="N417" s="15">
        <f>Output[[#This Row],[Capital Debut Period]]*Output[[#This Row],[Tx_interet_M]]</f>
        <v>139.70020508111347</v>
      </c>
      <c r="O417" s="15">
        <f>Output[[#This Row],[Mensualité initial]]-Output[[#This Row],[Interet]]</f>
        <v>1860.2997949188866</v>
      </c>
      <c r="P417" s="15">
        <f>Output[[#This Row],[Capital Debut Period]]-Output[[#This Row],[Paiement Principal]]</f>
        <v>54019.782237526495</v>
      </c>
      <c r="Q417" s="15">
        <f>Output[[#This Row],[Droit Utilisation]]/Output[[#This Row],[Duree_Mois]]</f>
        <v>1910.3591721645114</v>
      </c>
    </row>
    <row r="418" spans="1:17" x14ac:dyDescent="0.25">
      <c r="A418" s="11" t="s">
        <v>7</v>
      </c>
      <c r="B418" s="12">
        <v>43800</v>
      </c>
      <c r="C418">
        <v>2000</v>
      </c>
      <c r="D418">
        <v>3</v>
      </c>
      <c r="E418">
        <v>0.03</v>
      </c>
      <c r="F418">
        <v>36</v>
      </c>
      <c r="G418" s="13">
        <v>44074</v>
      </c>
      <c r="H418">
        <v>417</v>
      </c>
      <c r="I418">
        <v>9</v>
      </c>
      <c r="J418">
        <v>2.5000000000000001E-3</v>
      </c>
      <c r="K418" s="14">
        <v>1955.5573821719672</v>
      </c>
      <c r="L418" s="14">
        <v>68772.930197922411</v>
      </c>
      <c r="M418" s="36">
        <f>IF(Output[[#This Row],[Index]]=1,Output[[#This Row],[Droit Utilisation]],P417)</f>
        <v>54019.782237526495</v>
      </c>
      <c r="N418" s="15">
        <f>Output[[#This Row],[Capital Debut Period]]*Output[[#This Row],[Tx_interet_M]]</f>
        <v>135.04945559381625</v>
      </c>
      <c r="O418" s="15">
        <f>Output[[#This Row],[Mensualité initial]]-Output[[#This Row],[Interet]]</f>
        <v>1864.9505444061838</v>
      </c>
      <c r="P418" s="15">
        <f>Output[[#This Row],[Capital Debut Period]]-Output[[#This Row],[Paiement Principal]]</f>
        <v>52154.831693120308</v>
      </c>
      <c r="Q418" s="15">
        <f>Output[[#This Row],[Droit Utilisation]]/Output[[#This Row],[Duree_Mois]]</f>
        <v>1910.3591721645114</v>
      </c>
    </row>
    <row r="419" spans="1:17" x14ac:dyDescent="0.25">
      <c r="A419" s="11" t="s">
        <v>7</v>
      </c>
      <c r="B419" s="12">
        <v>43800</v>
      </c>
      <c r="C419">
        <v>2000</v>
      </c>
      <c r="D419">
        <v>3</v>
      </c>
      <c r="E419">
        <v>0.03</v>
      </c>
      <c r="F419">
        <v>36</v>
      </c>
      <c r="G419" s="13">
        <v>44104</v>
      </c>
      <c r="H419">
        <v>418</v>
      </c>
      <c r="I419">
        <v>10</v>
      </c>
      <c r="J419">
        <v>2.5000000000000001E-3</v>
      </c>
      <c r="K419" s="14">
        <v>1950.6806804707903</v>
      </c>
      <c r="L419" s="14">
        <v>68772.930197922411</v>
      </c>
      <c r="M419" s="36">
        <f>IF(Output[[#This Row],[Index]]=1,Output[[#This Row],[Droit Utilisation]],P418)</f>
        <v>52154.831693120308</v>
      </c>
      <c r="N419" s="15">
        <f>Output[[#This Row],[Capital Debut Period]]*Output[[#This Row],[Tx_interet_M]]</f>
        <v>130.38707923280077</v>
      </c>
      <c r="O419" s="15">
        <f>Output[[#This Row],[Mensualité initial]]-Output[[#This Row],[Interet]]</f>
        <v>1869.6129207671993</v>
      </c>
      <c r="P419" s="15">
        <f>Output[[#This Row],[Capital Debut Period]]-Output[[#This Row],[Paiement Principal]]</f>
        <v>50285.21877235311</v>
      </c>
      <c r="Q419" s="15">
        <f>Output[[#This Row],[Droit Utilisation]]/Output[[#This Row],[Duree_Mois]]</f>
        <v>1910.3591721645114</v>
      </c>
    </row>
    <row r="420" spans="1:17" x14ac:dyDescent="0.25">
      <c r="A420" s="11" t="s">
        <v>7</v>
      </c>
      <c r="B420" s="12">
        <v>43800</v>
      </c>
      <c r="C420">
        <v>2000</v>
      </c>
      <c r="D420">
        <v>3</v>
      </c>
      <c r="E420">
        <v>0.03</v>
      </c>
      <c r="F420">
        <v>36</v>
      </c>
      <c r="G420" s="13">
        <v>44135</v>
      </c>
      <c r="H420">
        <v>419</v>
      </c>
      <c r="I420">
        <v>11</v>
      </c>
      <c r="J420">
        <v>2.5000000000000001E-3</v>
      </c>
      <c r="K420" s="14">
        <v>1945.8161401204893</v>
      </c>
      <c r="L420" s="14">
        <v>68772.930197922411</v>
      </c>
      <c r="M420" s="36">
        <f>IF(Output[[#This Row],[Index]]=1,Output[[#This Row],[Droit Utilisation]],P419)</f>
        <v>50285.21877235311</v>
      </c>
      <c r="N420" s="15">
        <f>Output[[#This Row],[Capital Debut Period]]*Output[[#This Row],[Tx_interet_M]]</f>
        <v>125.71304693088278</v>
      </c>
      <c r="O420" s="15">
        <f>Output[[#This Row],[Mensualité initial]]-Output[[#This Row],[Interet]]</f>
        <v>1874.2869530691173</v>
      </c>
      <c r="P420" s="15">
        <f>Output[[#This Row],[Capital Debut Period]]-Output[[#This Row],[Paiement Principal]]</f>
        <v>48410.931819283993</v>
      </c>
      <c r="Q420" s="15">
        <f>Output[[#This Row],[Droit Utilisation]]/Output[[#This Row],[Duree_Mois]]</f>
        <v>1910.3591721645114</v>
      </c>
    </row>
    <row r="421" spans="1:17" x14ac:dyDescent="0.25">
      <c r="A421" s="11" t="s">
        <v>7</v>
      </c>
      <c r="B421" s="12">
        <v>43800</v>
      </c>
      <c r="C421">
        <v>2000</v>
      </c>
      <c r="D421">
        <v>3</v>
      </c>
      <c r="E421">
        <v>0.03</v>
      </c>
      <c r="F421">
        <v>36</v>
      </c>
      <c r="G421" s="13">
        <v>44165</v>
      </c>
      <c r="H421">
        <v>420</v>
      </c>
      <c r="I421">
        <v>12</v>
      </c>
      <c r="J421">
        <v>2.5000000000000001E-3</v>
      </c>
      <c r="K421" s="14">
        <v>1940.9637307935054</v>
      </c>
      <c r="L421" s="14">
        <v>68772.930197922411</v>
      </c>
      <c r="M421" s="36">
        <f>IF(Output[[#This Row],[Index]]=1,Output[[#This Row],[Droit Utilisation]],P420)</f>
        <v>48410.931819283993</v>
      </c>
      <c r="N421" s="15">
        <f>Output[[#This Row],[Capital Debut Period]]*Output[[#This Row],[Tx_interet_M]]</f>
        <v>121.02732954820999</v>
      </c>
      <c r="O421" s="15">
        <f>Output[[#This Row],[Mensualité initial]]-Output[[#This Row],[Interet]]</f>
        <v>1878.97267045179</v>
      </c>
      <c r="P421" s="15">
        <f>Output[[#This Row],[Capital Debut Period]]-Output[[#This Row],[Paiement Principal]]</f>
        <v>46531.959148832204</v>
      </c>
      <c r="Q421" s="15">
        <f>Output[[#This Row],[Droit Utilisation]]/Output[[#This Row],[Duree_Mois]]</f>
        <v>1910.3591721645114</v>
      </c>
    </row>
    <row r="422" spans="1:17" x14ac:dyDescent="0.25">
      <c r="A422" s="11" t="s">
        <v>7</v>
      </c>
      <c r="B422" s="12">
        <v>43800</v>
      </c>
      <c r="C422">
        <v>2000</v>
      </c>
      <c r="D422">
        <v>3</v>
      </c>
      <c r="E422">
        <v>0.03</v>
      </c>
      <c r="F422">
        <v>36</v>
      </c>
      <c r="G422" s="13">
        <v>44196</v>
      </c>
      <c r="H422">
        <v>421</v>
      </c>
      <c r="I422">
        <v>13</v>
      </c>
      <c r="J422">
        <v>2.5000000000000001E-3</v>
      </c>
      <c r="K422" s="14">
        <v>1936.123422237911</v>
      </c>
      <c r="L422" s="14">
        <v>68772.930197922411</v>
      </c>
      <c r="M422" s="36">
        <f>IF(Output[[#This Row],[Index]]=1,Output[[#This Row],[Droit Utilisation]],P421)</f>
        <v>46531.959148832204</v>
      </c>
      <c r="N422" s="15">
        <f>Output[[#This Row],[Capital Debut Period]]*Output[[#This Row],[Tx_interet_M]]</f>
        <v>116.32989787208051</v>
      </c>
      <c r="O422" s="15">
        <f>Output[[#This Row],[Mensualité initial]]-Output[[#This Row],[Interet]]</f>
        <v>1883.6701021279196</v>
      </c>
      <c r="P422" s="15">
        <f>Output[[#This Row],[Capital Debut Period]]-Output[[#This Row],[Paiement Principal]]</f>
        <v>44648.289046704282</v>
      </c>
      <c r="Q422" s="15">
        <f>Output[[#This Row],[Droit Utilisation]]/Output[[#This Row],[Duree_Mois]]</f>
        <v>1910.3591721645114</v>
      </c>
    </row>
    <row r="423" spans="1:17" x14ac:dyDescent="0.25">
      <c r="A423" s="11" t="s">
        <v>7</v>
      </c>
      <c r="B423" s="12">
        <v>43800</v>
      </c>
      <c r="C423">
        <v>2000</v>
      </c>
      <c r="D423">
        <v>3</v>
      </c>
      <c r="E423">
        <v>0.03</v>
      </c>
      <c r="F423">
        <v>36</v>
      </c>
      <c r="G423" s="13">
        <v>44227</v>
      </c>
      <c r="H423">
        <v>422</v>
      </c>
      <c r="I423">
        <v>14</v>
      </c>
      <c r="J423">
        <v>2.5000000000000001E-3</v>
      </c>
      <c r="K423" s="14">
        <v>1931.2951842772179</v>
      </c>
      <c r="L423" s="14">
        <v>68772.930197922411</v>
      </c>
      <c r="M423" s="36">
        <f>IF(Output[[#This Row],[Index]]=1,Output[[#This Row],[Droit Utilisation]],P422)</f>
        <v>44648.289046704282</v>
      </c>
      <c r="N423" s="15">
        <f>Output[[#This Row],[Capital Debut Period]]*Output[[#This Row],[Tx_interet_M]]</f>
        <v>111.6207226167607</v>
      </c>
      <c r="O423" s="15">
        <f>Output[[#This Row],[Mensualité initial]]-Output[[#This Row],[Interet]]</f>
        <v>1888.3792773832392</v>
      </c>
      <c r="P423" s="15">
        <f>Output[[#This Row],[Capital Debut Period]]-Output[[#This Row],[Paiement Principal]]</f>
        <v>42759.909769321042</v>
      </c>
      <c r="Q423" s="15">
        <f>Output[[#This Row],[Droit Utilisation]]/Output[[#This Row],[Duree_Mois]]</f>
        <v>1910.3591721645114</v>
      </c>
    </row>
    <row r="424" spans="1:17" x14ac:dyDescent="0.25">
      <c r="A424" s="11" t="s">
        <v>7</v>
      </c>
      <c r="B424" s="12">
        <v>43800</v>
      </c>
      <c r="C424">
        <v>2000</v>
      </c>
      <c r="D424">
        <v>3</v>
      </c>
      <c r="E424">
        <v>0.03</v>
      </c>
      <c r="F424">
        <v>36</v>
      </c>
      <c r="G424" s="13">
        <v>44255</v>
      </c>
      <c r="H424">
        <v>423</v>
      </c>
      <c r="I424">
        <v>15</v>
      </c>
      <c r="J424">
        <v>2.5000000000000001E-3</v>
      </c>
      <c r="K424" s="14">
        <v>1926.4789868101925</v>
      </c>
      <c r="L424" s="14">
        <v>68772.930197922411</v>
      </c>
      <c r="M424" s="36">
        <f>IF(Output[[#This Row],[Index]]=1,Output[[#This Row],[Droit Utilisation]],P423)</f>
        <v>42759.909769321042</v>
      </c>
      <c r="N424" s="15">
        <f>Output[[#This Row],[Capital Debut Period]]*Output[[#This Row],[Tx_interet_M]]</f>
        <v>106.8997744233026</v>
      </c>
      <c r="O424" s="15">
        <f>Output[[#This Row],[Mensualité initial]]-Output[[#This Row],[Interet]]</f>
        <v>1893.1002255766973</v>
      </c>
      <c r="P424" s="15">
        <f>Output[[#This Row],[Capital Debut Period]]-Output[[#This Row],[Paiement Principal]]</f>
        <v>40866.809543744348</v>
      </c>
      <c r="Q424" s="15">
        <f>Output[[#This Row],[Droit Utilisation]]/Output[[#This Row],[Duree_Mois]]</f>
        <v>1910.3591721645114</v>
      </c>
    </row>
    <row r="425" spans="1:17" x14ac:dyDescent="0.25">
      <c r="A425" s="11" t="s">
        <v>7</v>
      </c>
      <c r="B425" s="12">
        <v>43800</v>
      </c>
      <c r="C425">
        <v>2000</v>
      </c>
      <c r="D425">
        <v>3</v>
      </c>
      <c r="E425">
        <v>0.03</v>
      </c>
      <c r="F425">
        <v>36</v>
      </c>
      <c r="G425" s="13">
        <v>44286</v>
      </c>
      <c r="H425">
        <v>424</v>
      </c>
      <c r="I425">
        <v>16</v>
      </c>
      <c r="J425">
        <v>2.5000000000000001E-3</v>
      </c>
      <c r="K425" s="14">
        <v>1921.6747998106659</v>
      </c>
      <c r="L425" s="14">
        <v>68772.930197922411</v>
      </c>
      <c r="M425" s="36">
        <f>IF(Output[[#This Row],[Index]]=1,Output[[#This Row],[Droit Utilisation]],P424)</f>
        <v>40866.809543744348</v>
      </c>
      <c r="N425" s="15">
        <f>Output[[#This Row],[Capital Debut Period]]*Output[[#This Row],[Tx_interet_M]]</f>
        <v>102.16702385936087</v>
      </c>
      <c r="O425" s="15">
        <f>Output[[#This Row],[Mensualité initial]]-Output[[#This Row],[Interet]]</f>
        <v>1897.8329761406392</v>
      </c>
      <c r="P425" s="15">
        <f>Output[[#This Row],[Capital Debut Period]]-Output[[#This Row],[Paiement Principal]]</f>
        <v>38968.976567603706</v>
      </c>
      <c r="Q425" s="15">
        <f>Output[[#This Row],[Droit Utilisation]]/Output[[#This Row],[Duree_Mois]]</f>
        <v>1910.3591721645114</v>
      </c>
    </row>
    <row r="426" spans="1:17" x14ac:dyDescent="0.25">
      <c r="A426" s="11" t="s">
        <v>7</v>
      </c>
      <c r="B426" s="12">
        <v>43800</v>
      </c>
      <c r="C426">
        <v>2000</v>
      </c>
      <c r="D426">
        <v>3</v>
      </c>
      <c r="E426">
        <v>0.03</v>
      </c>
      <c r="F426">
        <v>36</v>
      </c>
      <c r="G426" s="13">
        <v>44316</v>
      </c>
      <c r="H426">
        <v>425</v>
      </c>
      <c r="I426">
        <v>17</v>
      </c>
      <c r="J426">
        <v>2.5000000000000001E-3</v>
      </c>
      <c r="K426" s="14">
        <v>1916.8825933273476</v>
      </c>
      <c r="L426" s="14">
        <v>68772.930197922411</v>
      </c>
      <c r="M426" s="36">
        <f>IF(Output[[#This Row],[Index]]=1,Output[[#This Row],[Droit Utilisation]],P425)</f>
        <v>38968.976567603706</v>
      </c>
      <c r="N426" s="15">
        <f>Output[[#This Row],[Capital Debut Period]]*Output[[#This Row],[Tx_interet_M]]</f>
        <v>97.42244141900926</v>
      </c>
      <c r="O426" s="15">
        <f>Output[[#This Row],[Mensualité initial]]-Output[[#This Row],[Interet]]</f>
        <v>1902.5775585809906</v>
      </c>
      <c r="P426" s="15">
        <f>Output[[#This Row],[Capital Debut Period]]-Output[[#This Row],[Paiement Principal]]</f>
        <v>37066.399009022716</v>
      </c>
      <c r="Q426" s="15">
        <f>Output[[#This Row],[Droit Utilisation]]/Output[[#This Row],[Duree_Mois]]</f>
        <v>1910.3591721645114</v>
      </c>
    </row>
    <row r="427" spans="1:17" x14ac:dyDescent="0.25">
      <c r="A427" s="11" t="s">
        <v>7</v>
      </c>
      <c r="B427" s="12">
        <v>43800</v>
      </c>
      <c r="C427">
        <v>2000</v>
      </c>
      <c r="D427">
        <v>3</v>
      </c>
      <c r="E427">
        <v>0.03</v>
      </c>
      <c r="F427">
        <v>36</v>
      </c>
      <c r="G427" s="13">
        <v>44347</v>
      </c>
      <c r="H427">
        <v>426</v>
      </c>
      <c r="I427">
        <v>18</v>
      </c>
      <c r="J427">
        <v>2.5000000000000001E-3</v>
      </c>
      <c r="K427" s="14">
        <v>1912.1023374836388</v>
      </c>
      <c r="L427" s="14">
        <v>68772.930197922411</v>
      </c>
      <c r="M427" s="36">
        <f>IF(Output[[#This Row],[Index]]=1,Output[[#This Row],[Droit Utilisation]],P426)</f>
        <v>37066.399009022716</v>
      </c>
      <c r="N427" s="15">
        <f>Output[[#This Row],[Capital Debut Period]]*Output[[#This Row],[Tx_interet_M]]</f>
        <v>92.665997522556793</v>
      </c>
      <c r="O427" s="15">
        <f>Output[[#This Row],[Mensualité initial]]-Output[[#This Row],[Interet]]</f>
        <v>1907.3340024774432</v>
      </c>
      <c r="P427" s="15">
        <f>Output[[#This Row],[Capital Debut Period]]-Output[[#This Row],[Paiement Principal]]</f>
        <v>35159.065006545272</v>
      </c>
      <c r="Q427" s="15">
        <f>Output[[#This Row],[Droit Utilisation]]/Output[[#This Row],[Duree_Mois]]</f>
        <v>1910.3591721645114</v>
      </c>
    </row>
    <row r="428" spans="1:17" x14ac:dyDescent="0.25">
      <c r="A428" s="11" t="s">
        <v>7</v>
      </c>
      <c r="B428" s="12">
        <v>43800</v>
      </c>
      <c r="C428">
        <v>2000</v>
      </c>
      <c r="D428">
        <v>3</v>
      </c>
      <c r="E428">
        <v>0.03</v>
      </c>
      <c r="F428">
        <v>36</v>
      </c>
      <c r="G428" s="13">
        <v>44377</v>
      </c>
      <c r="H428">
        <v>427</v>
      </c>
      <c r="I428">
        <v>19</v>
      </c>
      <c r="J428">
        <v>2.5000000000000001E-3</v>
      </c>
      <c r="K428" s="14">
        <v>1907.3340024774452</v>
      </c>
      <c r="L428" s="14">
        <v>68772.930197922411</v>
      </c>
      <c r="M428" s="36">
        <f>IF(Output[[#This Row],[Index]]=1,Output[[#This Row],[Droit Utilisation]],P427)</f>
        <v>35159.065006545272</v>
      </c>
      <c r="N428" s="15">
        <f>Output[[#This Row],[Capital Debut Period]]*Output[[#This Row],[Tx_interet_M]]</f>
        <v>87.897662516363184</v>
      </c>
      <c r="O428" s="15">
        <f>Output[[#This Row],[Mensualité initial]]-Output[[#This Row],[Interet]]</f>
        <v>1912.1023374836368</v>
      </c>
      <c r="P428" s="15">
        <f>Output[[#This Row],[Capital Debut Period]]-Output[[#This Row],[Paiement Principal]]</f>
        <v>33246.962669061635</v>
      </c>
      <c r="Q428" s="15">
        <f>Output[[#This Row],[Droit Utilisation]]/Output[[#This Row],[Duree_Mois]]</f>
        <v>1910.3591721645114</v>
      </c>
    </row>
    <row r="429" spans="1:17" x14ac:dyDescent="0.25">
      <c r="A429" s="11" t="s">
        <v>7</v>
      </c>
      <c r="B429" s="12">
        <v>43800</v>
      </c>
      <c r="C429">
        <v>2000</v>
      </c>
      <c r="D429">
        <v>3</v>
      </c>
      <c r="E429">
        <v>0.03</v>
      </c>
      <c r="F429">
        <v>36</v>
      </c>
      <c r="G429" s="13">
        <v>44408</v>
      </c>
      <c r="H429">
        <v>428</v>
      </c>
      <c r="I429">
        <v>20</v>
      </c>
      <c r="J429">
        <v>2.5000000000000001E-3</v>
      </c>
      <c r="K429" s="14">
        <v>1902.5775585809929</v>
      </c>
      <c r="L429" s="14">
        <v>68772.930197922411</v>
      </c>
      <c r="M429" s="36">
        <f>IF(Output[[#This Row],[Index]]=1,Output[[#This Row],[Droit Utilisation]],P428)</f>
        <v>33246.962669061635</v>
      </c>
      <c r="N429" s="15">
        <f>Output[[#This Row],[Capital Debut Period]]*Output[[#This Row],[Tx_interet_M]]</f>
        <v>83.117406672654084</v>
      </c>
      <c r="O429" s="15">
        <f>Output[[#This Row],[Mensualité initial]]-Output[[#This Row],[Interet]]</f>
        <v>1916.8825933273458</v>
      </c>
      <c r="P429" s="15">
        <f>Output[[#This Row],[Capital Debut Period]]-Output[[#This Row],[Paiement Principal]]</f>
        <v>31330.080075734288</v>
      </c>
      <c r="Q429" s="15">
        <f>Output[[#This Row],[Droit Utilisation]]/Output[[#This Row],[Duree_Mois]]</f>
        <v>1910.3591721645114</v>
      </c>
    </row>
    <row r="430" spans="1:17" x14ac:dyDescent="0.25">
      <c r="A430" s="11" t="s">
        <v>7</v>
      </c>
      <c r="B430" s="12">
        <v>43800</v>
      </c>
      <c r="C430">
        <v>2000</v>
      </c>
      <c r="D430">
        <v>3</v>
      </c>
      <c r="E430">
        <v>0.03</v>
      </c>
      <c r="F430">
        <v>36</v>
      </c>
      <c r="G430" s="13">
        <v>44439</v>
      </c>
      <c r="H430">
        <v>429</v>
      </c>
      <c r="I430">
        <v>21</v>
      </c>
      <c r="J430">
        <v>2.5000000000000001E-3</v>
      </c>
      <c r="K430" s="14">
        <v>1897.8329761406414</v>
      </c>
      <c r="L430" s="14">
        <v>68772.930197922411</v>
      </c>
      <c r="M430" s="36">
        <f>IF(Output[[#This Row],[Index]]=1,Output[[#This Row],[Droit Utilisation]],P429)</f>
        <v>31330.080075734288</v>
      </c>
      <c r="N430" s="15">
        <f>Output[[#This Row],[Capital Debut Period]]*Output[[#This Row],[Tx_interet_M]]</f>
        <v>78.325200189335717</v>
      </c>
      <c r="O430" s="15">
        <f>Output[[#This Row],[Mensualité initial]]-Output[[#This Row],[Interet]]</f>
        <v>1921.6747998106644</v>
      </c>
      <c r="P430" s="15">
        <f>Output[[#This Row],[Capital Debut Period]]-Output[[#This Row],[Paiement Principal]]</f>
        <v>29408.405275923622</v>
      </c>
      <c r="Q430" s="15">
        <f>Output[[#This Row],[Droit Utilisation]]/Output[[#This Row],[Duree_Mois]]</f>
        <v>1910.3591721645114</v>
      </c>
    </row>
    <row r="431" spans="1:17" x14ac:dyDescent="0.25">
      <c r="A431" s="11" t="s">
        <v>7</v>
      </c>
      <c r="B431" s="12">
        <v>43800</v>
      </c>
      <c r="C431">
        <v>2000</v>
      </c>
      <c r="D431">
        <v>3</v>
      </c>
      <c r="E431">
        <v>0.03</v>
      </c>
      <c r="F431">
        <v>36</v>
      </c>
      <c r="G431" s="13">
        <v>44469</v>
      </c>
      <c r="H431">
        <v>430</v>
      </c>
      <c r="I431">
        <v>22</v>
      </c>
      <c r="J431">
        <v>2.5000000000000001E-3</v>
      </c>
      <c r="K431" s="14">
        <v>1893.1002255766998</v>
      </c>
      <c r="L431" s="14">
        <v>68772.930197922411</v>
      </c>
      <c r="M431" s="36">
        <f>IF(Output[[#This Row],[Index]]=1,Output[[#This Row],[Droit Utilisation]],P430)</f>
        <v>29408.405275923622</v>
      </c>
      <c r="N431" s="15">
        <f>Output[[#This Row],[Capital Debut Period]]*Output[[#This Row],[Tx_interet_M]]</f>
        <v>73.521013189809054</v>
      </c>
      <c r="O431" s="15">
        <f>Output[[#This Row],[Mensualité initial]]-Output[[#This Row],[Interet]]</f>
        <v>1926.4789868101909</v>
      </c>
      <c r="P431" s="15">
        <f>Output[[#This Row],[Capital Debut Period]]-Output[[#This Row],[Paiement Principal]]</f>
        <v>27481.926289113431</v>
      </c>
      <c r="Q431" s="15">
        <f>Output[[#This Row],[Droit Utilisation]]/Output[[#This Row],[Duree_Mois]]</f>
        <v>1910.3591721645114</v>
      </c>
    </row>
    <row r="432" spans="1:17" x14ac:dyDescent="0.25">
      <c r="A432" s="11" t="s">
        <v>7</v>
      </c>
      <c r="B432" s="12">
        <v>43800</v>
      </c>
      <c r="C432">
        <v>2000</v>
      </c>
      <c r="D432">
        <v>3</v>
      </c>
      <c r="E432">
        <v>0.03</v>
      </c>
      <c r="F432">
        <v>36</v>
      </c>
      <c r="G432" s="13">
        <v>44500</v>
      </c>
      <c r="H432">
        <v>431</v>
      </c>
      <c r="I432">
        <v>23</v>
      </c>
      <c r="J432">
        <v>2.5000000000000001E-3</v>
      </c>
      <c r="K432" s="14">
        <v>1888.3792773832417</v>
      </c>
      <c r="L432" s="14">
        <v>68772.930197922411</v>
      </c>
      <c r="M432" s="36">
        <f>IF(Output[[#This Row],[Index]]=1,Output[[#This Row],[Droit Utilisation]],P431)</f>
        <v>27481.926289113431</v>
      </c>
      <c r="N432" s="15">
        <f>Output[[#This Row],[Capital Debut Period]]*Output[[#This Row],[Tx_interet_M]]</f>
        <v>68.704815722783579</v>
      </c>
      <c r="O432" s="15">
        <f>Output[[#This Row],[Mensualité initial]]-Output[[#This Row],[Interet]]</f>
        <v>1931.2951842772163</v>
      </c>
      <c r="P432" s="15">
        <f>Output[[#This Row],[Capital Debut Period]]-Output[[#This Row],[Paiement Principal]]</f>
        <v>25550.631104836215</v>
      </c>
      <c r="Q432" s="15">
        <f>Output[[#This Row],[Droit Utilisation]]/Output[[#This Row],[Duree_Mois]]</f>
        <v>1910.3591721645114</v>
      </c>
    </row>
    <row r="433" spans="1:17" x14ac:dyDescent="0.25">
      <c r="A433" s="11" t="s">
        <v>7</v>
      </c>
      <c r="B433" s="12">
        <v>43800</v>
      </c>
      <c r="C433">
        <v>2000</v>
      </c>
      <c r="D433">
        <v>3</v>
      </c>
      <c r="E433">
        <v>0.03</v>
      </c>
      <c r="F433">
        <v>36</v>
      </c>
      <c r="G433" s="13">
        <v>44530</v>
      </c>
      <c r="H433">
        <v>432</v>
      </c>
      <c r="I433">
        <v>24</v>
      </c>
      <c r="J433">
        <v>2.5000000000000001E-3</v>
      </c>
      <c r="K433" s="14">
        <v>1883.6701021279221</v>
      </c>
      <c r="L433" s="14">
        <v>68772.930197922411</v>
      </c>
      <c r="M433" s="36">
        <f>IF(Output[[#This Row],[Index]]=1,Output[[#This Row],[Droit Utilisation]],P432)</f>
        <v>25550.631104836215</v>
      </c>
      <c r="N433" s="15">
        <f>Output[[#This Row],[Capital Debut Period]]*Output[[#This Row],[Tx_interet_M]]</f>
        <v>63.876577762090541</v>
      </c>
      <c r="O433" s="15">
        <f>Output[[#This Row],[Mensualité initial]]-Output[[#This Row],[Interet]]</f>
        <v>1936.1234222379094</v>
      </c>
      <c r="P433" s="15">
        <f>Output[[#This Row],[Capital Debut Period]]-Output[[#This Row],[Paiement Principal]]</f>
        <v>23614.507682598305</v>
      </c>
      <c r="Q433" s="15">
        <f>Output[[#This Row],[Droit Utilisation]]/Output[[#This Row],[Duree_Mois]]</f>
        <v>1910.3591721645114</v>
      </c>
    </row>
    <row r="434" spans="1:17" x14ac:dyDescent="0.25">
      <c r="A434" s="11" t="s">
        <v>7</v>
      </c>
      <c r="B434" s="12">
        <v>43800</v>
      </c>
      <c r="C434">
        <v>2000</v>
      </c>
      <c r="D434">
        <v>3</v>
      </c>
      <c r="E434">
        <v>0.03</v>
      </c>
      <c r="F434">
        <v>36</v>
      </c>
      <c r="G434" s="13">
        <v>44561</v>
      </c>
      <c r="H434">
        <v>433</v>
      </c>
      <c r="I434">
        <v>25</v>
      </c>
      <c r="J434">
        <v>2.5000000000000001E-3</v>
      </c>
      <c r="K434" s="14">
        <v>1878.9726704517925</v>
      </c>
      <c r="L434" s="14">
        <v>68772.930197922411</v>
      </c>
      <c r="M434" s="36">
        <f>IF(Output[[#This Row],[Index]]=1,Output[[#This Row],[Droit Utilisation]],P433)</f>
        <v>23614.507682598305</v>
      </c>
      <c r="N434" s="15">
        <f>Output[[#This Row],[Capital Debut Period]]*Output[[#This Row],[Tx_interet_M]]</f>
        <v>59.036269206495767</v>
      </c>
      <c r="O434" s="15">
        <f>Output[[#This Row],[Mensualité initial]]-Output[[#This Row],[Interet]]</f>
        <v>1940.9637307935043</v>
      </c>
      <c r="P434" s="15">
        <f>Output[[#This Row],[Capital Debut Period]]-Output[[#This Row],[Paiement Principal]]</f>
        <v>21673.543951804801</v>
      </c>
      <c r="Q434" s="15">
        <f>Output[[#This Row],[Droit Utilisation]]/Output[[#This Row],[Duree_Mois]]</f>
        <v>1910.3591721645114</v>
      </c>
    </row>
    <row r="435" spans="1:17" x14ac:dyDescent="0.25">
      <c r="A435" s="11" t="s">
        <v>7</v>
      </c>
      <c r="B435" s="12">
        <v>43800</v>
      </c>
      <c r="C435">
        <v>2000</v>
      </c>
      <c r="D435">
        <v>3</v>
      </c>
      <c r="E435">
        <v>0.03</v>
      </c>
      <c r="F435">
        <v>36</v>
      </c>
      <c r="G435" s="13">
        <v>44592</v>
      </c>
      <c r="H435">
        <v>434</v>
      </c>
      <c r="I435">
        <v>26</v>
      </c>
      <c r="J435">
        <v>2.5000000000000001E-3</v>
      </c>
      <c r="K435" s="14">
        <v>1874.28695306912</v>
      </c>
      <c r="L435" s="14">
        <v>68772.930197922411</v>
      </c>
      <c r="M435" s="36">
        <f>IF(Output[[#This Row],[Index]]=1,Output[[#This Row],[Droit Utilisation]],P434)</f>
        <v>21673.543951804801</v>
      </c>
      <c r="N435" s="15">
        <f>Output[[#This Row],[Capital Debut Period]]*Output[[#This Row],[Tx_interet_M]]</f>
        <v>54.183859879511999</v>
      </c>
      <c r="O435" s="15">
        <f>Output[[#This Row],[Mensualité initial]]-Output[[#This Row],[Interet]]</f>
        <v>1945.8161401204879</v>
      </c>
      <c r="P435" s="15">
        <f>Output[[#This Row],[Capital Debut Period]]-Output[[#This Row],[Paiement Principal]]</f>
        <v>19727.727811684312</v>
      </c>
      <c r="Q435" s="15">
        <f>Output[[#This Row],[Droit Utilisation]]/Output[[#This Row],[Duree_Mois]]</f>
        <v>1910.3591721645114</v>
      </c>
    </row>
    <row r="436" spans="1:17" x14ac:dyDescent="0.25">
      <c r="A436" s="11" t="s">
        <v>7</v>
      </c>
      <c r="B436" s="12">
        <v>43800</v>
      </c>
      <c r="C436">
        <v>2000</v>
      </c>
      <c r="D436">
        <v>3</v>
      </c>
      <c r="E436">
        <v>0.03</v>
      </c>
      <c r="F436">
        <v>36</v>
      </c>
      <c r="G436" s="13">
        <v>44620</v>
      </c>
      <c r="H436">
        <v>435</v>
      </c>
      <c r="I436">
        <v>27</v>
      </c>
      <c r="J436">
        <v>2.5000000000000001E-3</v>
      </c>
      <c r="K436" s="14">
        <v>1869.612920767202</v>
      </c>
      <c r="L436" s="14">
        <v>68772.930197922411</v>
      </c>
      <c r="M436" s="36">
        <f>IF(Output[[#This Row],[Index]]=1,Output[[#This Row],[Droit Utilisation]],P435)</f>
        <v>19727.727811684312</v>
      </c>
      <c r="N436" s="15">
        <f>Output[[#This Row],[Capital Debut Period]]*Output[[#This Row],[Tx_interet_M]]</f>
        <v>49.31931952921078</v>
      </c>
      <c r="O436" s="15">
        <f>Output[[#This Row],[Mensualité initial]]-Output[[#This Row],[Interet]]</f>
        <v>1950.6806804707892</v>
      </c>
      <c r="P436" s="15">
        <f>Output[[#This Row],[Capital Debut Period]]-Output[[#This Row],[Paiement Principal]]</f>
        <v>17777.047131213523</v>
      </c>
      <c r="Q436" s="15">
        <f>Output[[#This Row],[Droit Utilisation]]/Output[[#This Row],[Duree_Mois]]</f>
        <v>1910.3591721645114</v>
      </c>
    </row>
    <row r="437" spans="1:17" x14ac:dyDescent="0.25">
      <c r="A437" s="11" t="s">
        <v>7</v>
      </c>
      <c r="B437" s="12">
        <v>43800</v>
      </c>
      <c r="C437">
        <v>2000</v>
      </c>
      <c r="D437">
        <v>3</v>
      </c>
      <c r="E437">
        <v>0.03</v>
      </c>
      <c r="F437">
        <v>36</v>
      </c>
      <c r="G437" s="13">
        <v>44651</v>
      </c>
      <c r="H437">
        <v>436</v>
      </c>
      <c r="I437">
        <v>28</v>
      </c>
      <c r="J437">
        <v>2.5000000000000001E-3</v>
      </c>
      <c r="K437" s="14">
        <v>1864.9505444061867</v>
      </c>
      <c r="L437" s="14">
        <v>68772.930197922411</v>
      </c>
      <c r="M437" s="36">
        <f>IF(Output[[#This Row],[Index]]=1,Output[[#This Row],[Droit Utilisation]],P436)</f>
        <v>17777.047131213523</v>
      </c>
      <c r="N437" s="15">
        <f>Output[[#This Row],[Capital Debut Period]]*Output[[#This Row],[Tx_interet_M]]</f>
        <v>44.442617828033811</v>
      </c>
      <c r="O437" s="15">
        <f>Output[[#This Row],[Mensualité initial]]-Output[[#This Row],[Interet]]</f>
        <v>1955.5573821719661</v>
      </c>
      <c r="P437" s="15">
        <f>Output[[#This Row],[Capital Debut Period]]-Output[[#This Row],[Paiement Principal]]</f>
        <v>15821.489749041557</v>
      </c>
      <c r="Q437" s="15">
        <f>Output[[#This Row],[Droit Utilisation]]/Output[[#This Row],[Duree_Mois]]</f>
        <v>1910.3591721645114</v>
      </c>
    </row>
    <row r="438" spans="1:17" x14ac:dyDescent="0.25">
      <c r="A438" s="11" t="s">
        <v>7</v>
      </c>
      <c r="B438" s="12">
        <v>43800</v>
      </c>
      <c r="C438">
        <v>2000</v>
      </c>
      <c r="D438">
        <v>3</v>
      </c>
      <c r="E438">
        <v>0.03</v>
      </c>
      <c r="F438">
        <v>36</v>
      </c>
      <c r="G438" s="13">
        <v>44681</v>
      </c>
      <c r="H438">
        <v>437</v>
      </c>
      <c r="I438">
        <v>29</v>
      </c>
      <c r="J438">
        <v>2.5000000000000001E-3</v>
      </c>
      <c r="K438" s="14">
        <v>1860.2997949188896</v>
      </c>
      <c r="L438" s="14">
        <v>68772.930197922411</v>
      </c>
      <c r="M438" s="36">
        <f>IF(Output[[#This Row],[Index]]=1,Output[[#This Row],[Droit Utilisation]],P437)</f>
        <v>15821.489749041557</v>
      </c>
      <c r="N438" s="15">
        <f>Output[[#This Row],[Capital Debut Period]]*Output[[#This Row],[Tx_interet_M]]</f>
        <v>39.553724372603895</v>
      </c>
      <c r="O438" s="15">
        <f>Output[[#This Row],[Mensualité initial]]-Output[[#This Row],[Interet]]</f>
        <v>1960.4462756273961</v>
      </c>
      <c r="P438" s="15">
        <f>Output[[#This Row],[Capital Debut Period]]-Output[[#This Row],[Paiement Principal]]</f>
        <v>13861.04347341416</v>
      </c>
      <c r="Q438" s="15">
        <f>Output[[#This Row],[Droit Utilisation]]/Output[[#This Row],[Duree_Mois]]</f>
        <v>1910.3591721645114</v>
      </c>
    </row>
    <row r="439" spans="1:17" x14ac:dyDescent="0.25">
      <c r="A439" s="11" t="s">
        <v>7</v>
      </c>
      <c r="B439" s="12">
        <v>43800</v>
      </c>
      <c r="C439">
        <v>2000</v>
      </c>
      <c r="D439">
        <v>3</v>
      </c>
      <c r="E439">
        <v>0.03</v>
      </c>
      <c r="F439">
        <v>36</v>
      </c>
      <c r="G439" s="13">
        <v>44712</v>
      </c>
      <c r="H439">
        <v>438</v>
      </c>
      <c r="I439">
        <v>30</v>
      </c>
      <c r="J439">
        <v>2.5000000000000001E-3</v>
      </c>
      <c r="K439" s="14">
        <v>1855.6606433106131</v>
      </c>
      <c r="L439" s="14">
        <v>68772.930197922411</v>
      </c>
      <c r="M439" s="36">
        <f>IF(Output[[#This Row],[Index]]=1,Output[[#This Row],[Droit Utilisation]],P438)</f>
        <v>13861.04347341416</v>
      </c>
      <c r="N439" s="15">
        <f>Output[[#This Row],[Capital Debut Period]]*Output[[#This Row],[Tx_interet_M]]</f>
        <v>34.652608683535398</v>
      </c>
      <c r="O439" s="15">
        <f>Output[[#This Row],[Mensualité initial]]-Output[[#This Row],[Interet]]</f>
        <v>1965.3473913164646</v>
      </c>
      <c r="P439" s="15">
        <f>Output[[#This Row],[Capital Debut Period]]-Output[[#This Row],[Paiement Principal]]</f>
        <v>11895.696082097695</v>
      </c>
      <c r="Q439" s="15">
        <f>Output[[#This Row],[Droit Utilisation]]/Output[[#This Row],[Duree_Mois]]</f>
        <v>1910.3591721645114</v>
      </c>
    </row>
    <row r="440" spans="1:17" x14ac:dyDescent="0.25">
      <c r="A440" s="11" t="s">
        <v>7</v>
      </c>
      <c r="B440" s="12">
        <v>43800</v>
      </c>
      <c r="C440">
        <v>2000</v>
      </c>
      <c r="D440">
        <v>3</v>
      </c>
      <c r="E440">
        <v>0.03</v>
      </c>
      <c r="F440">
        <v>36</v>
      </c>
      <c r="G440" s="13">
        <v>44742</v>
      </c>
      <c r="H440">
        <v>439</v>
      </c>
      <c r="I440">
        <v>31</v>
      </c>
      <c r="J440">
        <v>2.5000000000000001E-3</v>
      </c>
      <c r="K440" s="14">
        <v>1851.0330606589657</v>
      </c>
      <c r="L440" s="14">
        <v>68772.930197922411</v>
      </c>
      <c r="M440" s="36">
        <f>IF(Output[[#This Row],[Index]]=1,Output[[#This Row],[Droit Utilisation]],P439)</f>
        <v>11895.696082097695</v>
      </c>
      <c r="N440" s="15">
        <f>Output[[#This Row],[Capital Debut Period]]*Output[[#This Row],[Tx_interet_M]]</f>
        <v>29.739240205244236</v>
      </c>
      <c r="O440" s="15">
        <f>Output[[#This Row],[Mensualité initial]]-Output[[#This Row],[Interet]]</f>
        <v>1970.2607597947558</v>
      </c>
      <c r="P440" s="15">
        <f>Output[[#This Row],[Capital Debut Period]]-Output[[#This Row],[Paiement Principal]]</f>
        <v>9925.4353223029393</v>
      </c>
      <c r="Q440" s="15">
        <f>Output[[#This Row],[Droit Utilisation]]/Output[[#This Row],[Duree_Mois]]</f>
        <v>1910.3591721645114</v>
      </c>
    </row>
    <row r="441" spans="1:17" x14ac:dyDescent="0.25">
      <c r="A441" s="11" t="s">
        <v>7</v>
      </c>
      <c r="B441" s="12">
        <v>43800</v>
      </c>
      <c r="C441">
        <v>2000</v>
      </c>
      <c r="D441">
        <v>3</v>
      </c>
      <c r="E441">
        <v>0.03</v>
      </c>
      <c r="F441">
        <v>36</v>
      </c>
      <c r="G441" s="13">
        <v>44773</v>
      </c>
      <c r="H441">
        <v>440</v>
      </c>
      <c r="I441">
        <v>32</v>
      </c>
      <c r="J441">
        <v>2.5000000000000001E-3</v>
      </c>
      <c r="K441" s="14">
        <v>1846.4170181136817</v>
      </c>
      <c r="L441" s="14">
        <v>68772.930197922411</v>
      </c>
      <c r="M441" s="36">
        <f>IF(Output[[#This Row],[Index]]=1,Output[[#This Row],[Droit Utilisation]],P440)</f>
        <v>9925.4353223029393</v>
      </c>
      <c r="N441" s="15">
        <f>Output[[#This Row],[Capital Debut Period]]*Output[[#This Row],[Tx_interet_M]]</f>
        <v>24.813588305757349</v>
      </c>
      <c r="O441" s="15">
        <f>Output[[#This Row],[Mensualité initial]]-Output[[#This Row],[Interet]]</f>
        <v>1975.1864116942427</v>
      </c>
      <c r="P441" s="15">
        <f>Output[[#This Row],[Capital Debut Period]]-Output[[#This Row],[Paiement Principal]]</f>
        <v>7950.2489106086969</v>
      </c>
      <c r="Q441" s="15">
        <f>Output[[#This Row],[Droit Utilisation]]/Output[[#This Row],[Duree_Mois]]</f>
        <v>1910.3591721645114</v>
      </c>
    </row>
    <row r="442" spans="1:17" x14ac:dyDescent="0.25">
      <c r="A442" s="11" t="s">
        <v>7</v>
      </c>
      <c r="B442" s="12">
        <v>43800</v>
      </c>
      <c r="C442">
        <v>2000</v>
      </c>
      <c r="D442">
        <v>3</v>
      </c>
      <c r="E442">
        <v>0.03</v>
      </c>
      <c r="F442">
        <v>36</v>
      </c>
      <c r="G442" s="13">
        <v>44804</v>
      </c>
      <c r="H442">
        <v>441</v>
      </c>
      <c r="I442">
        <v>33</v>
      </c>
      <c r="J442">
        <v>2.5000000000000001E-3</v>
      </c>
      <c r="K442" s="14">
        <v>1841.8124868964408</v>
      </c>
      <c r="L442" s="14">
        <v>68772.930197922411</v>
      </c>
      <c r="M442" s="36">
        <f>IF(Output[[#This Row],[Index]]=1,Output[[#This Row],[Droit Utilisation]],P441)</f>
        <v>7950.2489106086969</v>
      </c>
      <c r="N442" s="15">
        <f>Output[[#This Row],[Capital Debut Period]]*Output[[#This Row],[Tx_interet_M]]</f>
        <v>19.875622276521742</v>
      </c>
      <c r="O442" s="15">
        <f>Output[[#This Row],[Mensualité initial]]-Output[[#This Row],[Interet]]</f>
        <v>1980.1243777234783</v>
      </c>
      <c r="P442" s="15">
        <f>Output[[#This Row],[Capital Debut Period]]-Output[[#This Row],[Paiement Principal]]</f>
        <v>5970.1245328852183</v>
      </c>
      <c r="Q442" s="15">
        <f>Output[[#This Row],[Droit Utilisation]]/Output[[#This Row],[Duree_Mois]]</f>
        <v>1910.3591721645114</v>
      </c>
    </row>
    <row r="443" spans="1:17" x14ac:dyDescent="0.25">
      <c r="A443" s="11" t="s">
        <v>7</v>
      </c>
      <c r="B443" s="12">
        <v>43800</v>
      </c>
      <c r="C443">
        <v>2000</v>
      </c>
      <c r="D443">
        <v>3</v>
      </c>
      <c r="E443">
        <v>0.03</v>
      </c>
      <c r="F443">
        <v>36</v>
      </c>
      <c r="G443" s="13">
        <v>44834</v>
      </c>
      <c r="H443">
        <v>442</v>
      </c>
      <c r="I443">
        <v>34</v>
      </c>
      <c r="J443">
        <v>2.5000000000000001E-3</v>
      </c>
      <c r="K443" s="14">
        <v>1837.219438300689</v>
      </c>
      <c r="L443" s="14">
        <v>68772.930197922411</v>
      </c>
      <c r="M443" s="36">
        <f>IF(Output[[#This Row],[Index]]=1,Output[[#This Row],[Droit Utilisation]],P442)</f>
        <v>5970.1245328852183</v>
      </c>
      <c r="N443" s="15">
        <f>Output[[#This Row],[Capital Debut Period]]*Output[[#This Row],[Tx_interet_M]]</f>
        <v>14.925311332213045</v>
      </c>
      <c r="O443" s="15">
        <f>Output[[#This Row],[Mensualité initial]]-Output[[#This Row],[Interet]]</f>
        <v>1985.0746886677869</v>
      </c>
      <c r="P443" s="15">
        <f>Output[[#This Row],[Capital Debut Period]]-Output[[#This Row],[Paiement Principal]]</f>
        <v>3985.0498442174312</v>
      </c>
      <c r="Q443" s="15">
        <f>Output[[#This Row],[Droit Utilisation]]/Output[[#This Row],[Duree_Mois]]</f>
        <v>1910.3591721645114</v>
      </c>
    </row>
    <row r="444" spans="1:17" x14ac:dyDescent="0.25">
      <c r="A444" s="11" t="s">
        <v>7</v>
      </c>
      <c r="B444" s="12">
        <v>43800</v>
      </c>
      <c r="C444">
        <v>2000</v>
      </c>
      <c r="D444">
        <v>3</v>
      </c>
      <c r="E444">
        <v>0.03</v>
      </c>
      <c r="F444">
        <v>36</v>
      </c>
      <c r="G444" s="13">
        <v>44865</v>
      </c>
      <c r="H444">
        <v>443</v>
      </c>
      <c r="I444">
        <v>35</v>
      </c>
      <c r="J444">
        <v>2.5000000000000001E-3</v>
      </c>
      <c r="K444" s="14">
        <v>1832.6378436914606</v>
      </c>
      <c r="L444" s="14">
        <v>68772.930197922411</v>
      </c>
      <c r="M444" s="36">
        <f>IF(Output[[#This Row],[Index]]=1,Output[[#This Row],[Droit Utilisation]],P443)</f>
        <v>3985.0498442174312</v>
      </c>
      <c r="N444" s="15">
        <f>Output[[#This Row],[Capital Debut Period]]*Output[[#This Row],[Tx_interet_M]]</f>
        <v>9.9626246105435783</v>
      </c>
      <c r="O444" s="15">
        <f>Output[[#This Row],[Mensualité initial]]-Output[[#This Row],[Interet]]</f>
        <v>1990.0373753894564</v>
      </c>
      <c r="P444" s="15">
        <f>Output[[#This Row],[Capital Debut Period]]-Output[[#This Row],[Paiement Principal]]</f>
        <v>1995.0124688279748</v>
      </c>
      <c r="Q444" s="15">
        <f>Output[[#This Row],[Droit Utilisation]]/Output[[#This Row],[Duree_Mois]]</f>
        <v>1910.3591721645114</v>
      </c>
    </row>
    <row r="445" spans="1:17" x14ac:dyDescent="0.25">
      <c r="A445" s="11" t="s">
        <v>7</v>
      </c>
      <c r="B445" s="12">
        <v>43800</v>
      </c>
      <c r="C445">
        <v>2000</v>
      </c>
      <c r="D445">
        <v>3</v>
      </c>
      <c r="E445">
        <v>0.03</v>
      </c>
      <c r="F445">
        <v>36</v>
      </c>
      <c r="G445" s="13">
        <v>44895</v>
      </c>
      <c r="H445">
        <v>444</v>
      </c>
      <c r="I445">
        <v>36</v>
      </c>
      <c r="J445">
        <v>2.5000000000000001E-3</v>
      </c>
      <c r="K445" s="14">
        <v>1828.0676745051976</v>
      </c>
      <c r="L445" s="14">
        <v>68772.930197922411</v>
      </c>
      <c r="M445" s="36">
        <f>IF(Output[[#This Row],[Index]]=1,Output[[#This Row],[Droit Utilisation]],P444)</f>
        <v>1995.0124688279748</v>
      </c>
      <c r="N445" s="15">
        <f>Output[[#This Row],[Capital Debut Period]]*Output[[#This Row],[Tx_interet_M]]</f>
        <v>4.9875311720699367</v>
      </c>
      <c r="O445" s="15">
        <f>Output[[#This Row],[Mensualité initial]]-Output[[#This Row],[Interet]]</f>
        <v>1995.01246882793</v>
      </c>
      <c r="P445" s="15">
        <f>Output[[#This Row],[Capital Debut Period]]-Output[[#This Row],[Paiement Principal]]</f>
        <v>4.4792614062316716E-11</v>
      </c>
      <c r="Q445" s="15">
        <f>Output[[#This Row],[Droit Utilisation]]/Output[[#This Row],[Duree_Mois]]</f>
        <v>1910.3591721645114</v>
      </c>
    </row>
    <row r="446" spans="1:17" x14ac:dyDescent="0.25">
      <c r="A446" s="11" t="s">
        <v>8</v>
      </c>
      <c r="B446" s="12">
        <v>43831</v>
      </c>
      <c r="C446">
        <v>2500</v>
      </c>
      <c r="D446">
        <v>5</v>
      </c>
      <c r="E446">
        <v>0.03</v>
      </c>
      <c r="F446">
        <v>60</v>
      </c>
      <c r="G446" s="13">
        <v>43861</v>
      </c>
      <c r="H446">
        <v>445</v>
      </c>
      <c r="I446">
        <v>1</v>
      </c>
      <c r="J446">
        <v>2.5000000000000001E-3</v>
      </c>
      <c r="K446" s="14">
        <v>2493.7655860349128</v>
      </c>
      <c r="L446" s="14">
        <v>139130.89421701338</v>
      </c>
      <c r="M446" s="36">
        <f>IF(Output[[#This Row],[Index]]=1,Output[[#This Row],[Droit Utilisation]],P445)</f>
        <v>139130.89421701338</v>
      </c>
      <c r="N446" s="15">
        <f>Output[[#This Row],[Capital Debut Period]]*Output[[#This Row],[Tx_interet_M]]</f>
        <v>347.82723554253346</v>
      </c>
      <c r="O446" s="15">
        <f>Output[[#This Row],[Mensualité initial]]-Output[[#This Row],[Interet]]</f>
        <v>2152.1727644574667</v>
      </c>
      <c r="P446" s="15">
        <f>Output[[#This Row],[Capital Debut Period]]-Output[[#This Row],[Paiement Principal]]</f>
        <v>136978.72145255591</v>
      </c>
      <c r="Q446" s="15">
        <f>Output[[#This Row],[Droit Utilisation]]/Output[[#This Row],[Duree_Mois]]</f>
        <v>2318.8482369502231</v>
      </c>
    </row>
    <row r="447" spans="1:17" x14ac:dyDescent="0.25">
      <c r="A447" s="11" t="s">
        <v>8</v>
      </c>
      <c r="B447" s="12">
        <v>43831</v>
      </c>
      <c r="C447">
        <v>2500</v>
      </c>
      <c r="D447">
        <v>5</v>
      </c>
      <c r="E447">
        <v>0.03</v>
      </c>
      <c r="F447">
        <v>60</v>
      </c>
      <c r="G447" s="13">
        <v>43890</v>
      </c>
      <c r="H447">
        <v>446</v>
      </c>
      <c r="I447">
        <v>2</v>
      </c>
      <c r="J447">
        <v>2.5000000000000001E-3</v>
      </c>
      <c r="K447" s="14">
        <v>2487.546719236821</v>
      </c>
      <c r="L447" s="14">
        <v>139130.89421701338</v>
      </c>
      <c r="M447" s="36">
        <f>IF(Output[[#This Row],[Index]]=1,Output[[#This Row],[Droit Utilisation]],P446)</f>
        <v>136978.72145255591</v>
      </c>
      <c r="N447" s="15">
        <f>Output[[#This Row],[Capital Debut Period]]*Output[[#This Row],[Tx_interet_M]]</f>
        <v>342.4468036313898</v>
      </c>
      <c r="O447" s="15">
        <f>Output[[#This Row],[Mensualité initial]]-Output[[#This Row],[Interet]]</f>
        <v>2157.5531963686103</v>
      </c>
      <c r="P447" s="15">
        <f>Output[[#This Row],[Capital Debut Period]]-Output[[#This Row],[Paiement Principal]]</f>
        <v>134821.16825618729</v>
      </c>
      <c r="Q447" s="15">
        <f>Output[[#This Row],[Droit Utilisation]]/Output[[#This Row],[Duree_Mois]]</f>
        <v>2318.8482369502231</v>
      </c>
    </row>
    <row r="448" spans="1:17" x14ac:dyDescent="0.25">
      <c r="A448" s="11" t="s">
        <v>8</v>
      </c>
      <c r="B448" s="12">
        <v>43831</v>
      </c>
      <c r="C448">
        <v>2500</v>
      </c>
      <c r="D448">
        <v>5</v>
      </c>
      <c r="E448">
        <v>0.03</v>
      </c>
      <c r="F448">
        <v>60</v>
      </c>
      <c r="G448" s="13">
        <v>43921</v>
      </c>
      <c r="H448">
        <v>447</v>
      </c>
      <c r="I448">
        <v>3</v>
      </c>
      <c r="J448">
        <v>2.5000000000000001E-3</v>
      </c>
      <c r="K448" s="14">
        <v>2481.3433608347345</v>
      </c>
      <c r="L448" s="14">
        <v>139130.89421701338</v>
      </c>
      <c r="M448" s="36">
        <f>IF(Output[[#This Row],[Index]]=1,Output[[#This Row],[Droit Utilisation]],P447)</f>
        <v>134821.16825618729</v>
      </c>
      <c r="N448" s="15">
        <f>Output[[#This Row],[Capital Debut Period]]*Output[[#This Row],[Tx_interet_M]]</f>
        <v>337.05292064046824</v>
      </c>
      <c r="O448" s="15">
        <f>Output[[#This Row],[Mensualité initial]]-Output[[#This Row],[Interet]]</f>
        <v>2162.9470793595319</v>
      </c>
      <c r="P448" s="15">
        <f>Output[[#This Row],[Capital Debut Period]]-Output[[#This Row],[Paiement Principal]]</f>
        <v>132658.22117682776</v>
      </c>
      <c r="Q448" s="15">
        <f>Output[[#This Row],[Droit Utilisation]]/Output[[#This Row],[Duree_Mois]]</f>
        <v>2318.8482369502231</v>
      </c>
    </row>
    <row r="449" spans="1:17" x14ac:dyDescent="0.25">
      <c r="A449" s="11" t="s">
        <v>8</v>
      </c>
      <c r="B449" s="12">
        <v>43831</v>
      </c>
      <c r="C449">
        <v>2500</v>
      </c>
      <c r="D449">
        <v>5</v>
      </c>
      <c r="E449">
        <v>0.03</v>
      </c>
      <c r="F449">
        <v>60</v>
      </c>
      <c r="G449" s="13">
        <v>43951</v>
      </c>
      <c r="H449">
        <v>448</v>
      </c>
      <c r="I449">
        <v>4</v>
      </c>
      <c r="J449">
        <v>2.5000000000000001E-3</v>
      </c>
      <c r="K449" s="14">
        <v>2475.1554721543484</v>
      </c>
      <c r="L449" s="14">
        <v>139130.89421701338</v>
      </c>
      <c r="M449" s="36">
        <f>IF(Output[[#This Row],[Index]]=1,Output[[#This Row],[Droit Utilisation]],P448)</f>
        <v>132658.22117682776</v>
      </c>
      <c r="N449" s="15">
        <f>Output[[#This Row],[Capital Debut Period]]*Output[[#This Row],[Tx_interet_M]]</f>
        <v>331.6455529420694</v>
      </c>
      <c r="O449" s="15">
        <f>Output[[#This Row],[Mensualité initial]]-Output[[#This Row],[Interet]]</f>
        <v>2168.3544470579304</v>
      </c>
      <c r="P449" s="15">
        <f>Output[[#This Row],[Capital Debut Period]]-Output[[#This Row],[Paiement Principal]]</f>
        <v>130489.86672976983</v>
      </c>
      <c r="Q449" s="15">
        <f>Output[[#This Row],[Droit Utilisation]]/Output[[#This Row],[Duree_Mois]]</f>
        <v>2318.8482369502231</v>
      </c>
    </row>
    <row r="450" spans="1:17" x14ac:dyDescent="0.25">
      <c r="A450" s="11" t="s">
        <v>8</v>
      </c>
      <c r="B450" s="12">
        <v>43831</v>
      </c>
      <c r="C450">
        <v>2500</v>
      </c>
      <c r="D450">
        <v>5</v>
      </c>
      <c r="E450">
        <v>0.03</v>
      </c>
      <c r="F450">
        <v>60</v>
      </c>
      <c r="G450" s="13">
        <v>43982</v>
      </c>
      <c r="H450">
        <v>449</v>
      </c>
      <c r="I450">
        <v>5</v>
      </c>
      <c r="J450">
        <v>2.5000000000000001E-3</v>
      </c>
      <c r="K450" s="14">
        <v>2468.9830146178042</v>
      </c>
      <c r="L450" s="14">
        <v>139130.89421701338</v>
      </c>
      <c r="M450" s="36">
        <f>IF(Output[[#This Row],[Index]]=1,Output[[#This Row],[Droit Utilisation]],P449)</f>
        <v>130489.86672976983</v>
      </c>
      <c r="N450" s="15">
        <f>Output[[#This Row],[Capital Debut Period]]*Output[[#This Row],[Tx_interet_M]]</f>
        <v>326.22466682442456</v>
      </c>
      <c r="O450" s="15">
        <f>Output[[#This Row],[Mensualité initial]]-Output[[#This Row],[Interet]]</f>
        <v>2173.7753331755753</v>
      </c>
      <c r="P450" s="15">
        <f>Output[[#This Row],[Capital Debut Period]]-Output[[#This Row],[Paiement Principal]]</f>
        <v>128316.09139659425</v>
      </c>
      <c r="Q450" s="15">
        <f>Output[[#This Row],[Droit Utilisation]]/Output[[#This Row],[Duree_Mois]]</f>
        <v>2318.8482369502231</v>
      </c>
    </row>
    <row r="451" spans="1:17" x14ac:dyDescent="0.25">
      <c r="A451" s="11" t="s">
        <v>8</v>
      </c>
      <c r="B451" s="12">
        <v>43831</v>
      </c>
      <c r="C451">
        <v>2500</v>
      </c>
      <c r="D451">
        <v>5</v>
      </c>
      <c r="E451">
        <v>0.03</v>
      </c>
      <c r="F451">
        <v>60</v>
      </c>
      <c r="G451" s="13">
        <v>44012</v>
      </c>
      <c r="H451">
        <v>450</v>
      </c>
      <c r="I451">
        <v>6</v>
      </c>
      <c r="J451">
        <v>2.5000000000000001E-3</v>
      </c>
      <c r="K451" s="14">
        <v>2462.8259497434456</v>
      </c>
      <c r="L451" s="14">
        <v>139130.89421701338</v>
      </c>
      <c r="M451" s="36">
        <f>IF(Output[[#This Row],[Index]]=1,Output[[#This Row],[Droit Utilisation]],P450)</f>
        <v>128316.09139659425</v>
      </c>
      <c r="N451" s="15">
        <f>Output[[#This Row],[Capital Debut Period]]*Output[[#This Row],[Tx_interet_M]]</f>
        <v>320.79022849148561</v>
      </c>
      <c r="O451" s="15">
        <f>Output[[#This Row],[Mensualité initial]]-Output[[#This Row],[Interet]]</f>
        <v>2179.2097715085142</v>
      </c>
      <c r="P451" s="15">
        <f>Output[[#This Row],[Capital Debut Period]]-Output[[#This Row],[Paiement Principal]]</f>
        <v>126136.88162508573</v>
      </c>
      <c r="Q451" s="15">
        <f>Output[[#This Row],[Droit Utilisation]]/Output[[#This Row],[Duree_Mois]]</f>
        <v>2318.8482369502231</v>
      </c>
    </row>
    <row r="452" spans="1:17" x14ac:dyDescent="0.25">
      <c r="A452" s="11" t="s">
        <v>8</v>
      </c>
      <c r="B452" s="12">
        <v>43831</v>
      </c>
      <c r="C452">
        <v>2500</v>
      </c>
      <c r="D452">
        <v>5</v>
      </c>
      <c r="E452">
        <v>0.03</v>
      </c>
      <c r="F452">
        <v>60</v>
      </c>
      <c r="G452" s="13">
        <v>44043</v>
      </c>
      <c r="H452">
        <v>451</v>
      </c>
      <c r="I452">
        <v>7</v>
      </c>
      <c r="J452">
        <v>2.5000000000000001E-3</v>
      </c>
      <c r="K452" s="14">
        <v>2456.6842391455816</v>
      </c>
      <c r="L452" s="14">
        <v>139130.89421701338</v>
      </c>
      <c r="M452" s="36">
        <f>IF(Output[[#This Row],[Index]]=1,Output[[#This Row],[Droit Utilisation]],P451)</f>
        <v>126136.88162508573</v>
      </c>
      <c r="N452" s="15">
        <f>Output[[#This Row],[Capital Debut Period]]*Output[[#This Row],[Tx_interet_M]]</f>
        <v>315.34220406271436</v>
      </c>
      <c r="O452" s="15">
        <f>Output[[#This Row],[Mensualité initial]]-Output[[#This Row],[Interet]]</f>
        <v>2184.6577959372858</v>
      </c>
      <c r="P452" s="15">
        <f>Output[[#This Row],[Capital Debut Period]]-Output[[#This Row],[Paiement Principal]]</f>
        <v>123952.22382914845</v>
      </c>
      <c r="Q452" s="15">
        <f>Output[[#This Row],[Droit Utilisation]]/Output[[#This Row],[Duree_Mois]]</f>
        <v>2318.8482369502231</v>
      </c>
    </row>
    <row r="453" spans="1:17" x14ac:dyDescent="0.25">
      <c r="A453" s="11" t="s">
        <v>8</v>
      </c>
      <c r="B453" s="12">
        <v>43831</v>
      </c>
      <c r="C453">
        <v>2500</v>
      </c>
      <c r="D453">
        <v>5</v>
      </c>
      <c r="E453">
        <v>0.03</v>
      </c>
      <c r="F453">
        <v>60</v>
      </c>
      <c r="G453" s="13">
        <v>44074</v>
      </c>
      <c r="H453">
        <v>452</v>
      </c>
      <c r="I453">
        <v>8</v>
      </c>
      <c r="J453">
        <v>2.5000000000000001E-3</v>
      </c>
      <c r="K453" s="14">
        <v>2450.5578445342462</v>
      </c>
      <c r="L453" s="14">
        <v>139130.89421701338</v>
      </c>
      <c r="M453" s="36">
        <f>IF(Output[[#This Row],[Index]]=1,Output[[#This Row],[Droit Utilisation]],P452)</f>
        <v>123952.22382914845</v>
      </c>
      <c r="N453" s="15">
        <f>Output[[#This Row],[Capital Debut Period]]*Output[[#This Row],[Tx_interet_M]]</f>
        <v>309.88055957287116</v>
      </c>
      <c r="O453" s="15">
        <f>Output[[#This Row],[Mensualité initial]]-Output[[#This Row],[Interet]]</f>
        <v>2190.1194404271287</v>
      </c>
      <c r="P453" s="15">
        <f>Output[[#This Row],[Capital Debut Period]]-Output[[#This Row],[Paiement Principal]]</f>
        <v>121762.10438872133</v>
      </c>
      <c r="Q453" s="15">
        <f>Output[[#This Row],[Droit Utilisation]]/Output[[#This Row],[Duree_Mois]]</f>
        <v>2318.8482369502231</v>
      </c>
    </row>
    <row r="454" spans="1:17" x14ac:dyDescent="0.25">
      <c r="A454" s="11" t="s">
        <v>8</v>
      </c>
      <c r="B454" s="12">
        <v>43831</v>
      </c>
      <c r="C454">
        <v>2500</v>
      </c>
      <c r="D454">
        <v>5</v>
      </c>
      <c r="E454">
        <v>0.03</v>
      </c>
      <c r="F454">
        <v>60</v>
      </c>
      <c r="G454" s="13">
        <v>44104</v>
      </c>
      <c r="H454">
        <v>453</v>
      </c>
      <c r="I454">
        <v>9</v>
      </c>
      <c r="J454">
        <v>2.5000000000000001E-3</v>
      </c>
      <c r="K454" s="14">
        <v>2444.4467277149588</v>
      </c>
      <c r="L454" s="14">
        <v>139130.89421701338</v>
      </c>
      <c r="M454" s="36">
        <f>IF(Output[[#This Row],[Index]]=1,Output[[#This Row],[Droit Utilisation]],P453)</f>
        <v>121762.10438872133</v>
      </c>
      <c r="N454" s="15">
        <f>Output[[#This Row],[Capital Debut Period]]*Output[[#This Row],[Tx_interet_M]]</f>
        <v>304.40526097180333</v>
      </c>
      <c r="O454" s="15">
        <f>Output[[#This Row],[Mensualité initial]]-Output[[#This Row],[Interet]]</f>
        <v>2195.5947390281967</v>
      </c>
      <c r="P454" s="15">
        <f>Output[[#This Row],[Capital Debut Period]]-Output[[#This Row],[Paiement Principal]]</f>
        <v>119566.50964969314</v>
      </c>
      <c r="Q454" s="15">
        <f>Output[[#This Row],[Droit Utilisation]]/Output[[#This Row],[Duree_Mois]]</f>
        <v>2318.8482369502231</v>
      </c>
    </row>
    <row r="455" spans="1:17" x14ac:dyDescent="0.25">
      <c r="A455" s="11" t="s">
        <v>8</v>
      </c>
      <c r="B455" s="12">
        <v>43831</v>
      </c>
      <c r="C455">
        <v>2500</v>
      </c>
      <c r="D455">
        <v>5</v>
      </c>
      <c r="E455">
        <v>0.03</v>
      </c>
      <c r="F455">
        <v>60</v>
      </c>
      <c r="G455" s="13">
        <v>44135</v>
      </c>
      <c r="H455">
        <v>454</v>
      </c>
      <c r="I455">
        <v>10</v>
      </c>
      <c r="J455">
        <v>2.5000000000000001E-3</v>
      </c>
      <c r="K455" s="14">
        <v>2438.3508505884879</v>
      </c>
      <c r="L455" s="14">
        <v>139130.89421701338</v>
      </c>
      <c r="M455" s="36">
        <f>IF(Output[[#This Row],[Index]]=1,Output[[#This Row],[Droit Utilisation]],P454)</f>
        <v>119566.50964969314</v>
      </c>
      <c r="N455" s="15">
        <f>Output[[#This Row],[Capital Debut Period]]*Output[[#This Row],[Tx_interet_M]]</f>
        <v>298.91627412423287</v>
      </c>
      <c r="O455" s="15">
        <f>Output[[#This Row],[Mensualité initial]]-Output[[#This Row],[Interet]]</f>
        <v>2201.083725875767</v>
      </c>
      <c r="P455" s="15">
        <f>Output[[#This Row],[Capital Debut Period]]-Output[[#This Row],[Paiement Principal]]</f>
        <v>117365.42592381737</v>
      </c>
      <c r="Q455" s="15">
        <f>Output[[#This Row],[Droit Utilisation]]/Output[[#This Row],[Duree_Mois]]</f>
        <v>2318.8482369502231</v>
      </c>
    </row>
    <row r="456" spans="1:17" x14ac:dyDescent="0.25">
      <c r="A456" s="11" t="s">
        <v>8</v>
      </c>
      <c r="B456" s="12">
        <v>43831</v>
      </c>
      <c r="C456">
        <v>2500</v>
      </c>
      <c r="D456">
        <v>5</v>
      </c>
      <c r="E456">
        <v>0.03</v>
      </c>
      <c r="F456">
        <v>60</v>
      </c>
      <c r="G456" s="13">
        <v>44165</v>
      </c>
      <c r="H456">
        <v>455</v>
      </c>
      <c r="I456">
        <v>11</v>
      </c>
      <c r="J456">
        <v>2.5000000000000001E-3</v>
      </c>
      <c r="K456" s="14">
        <v>2432.2701751506115</v>
      </c>
      <c r="L456" s="14">
        <v>139130.89421701338</v>
      </c>
      <c r="M456" s="36">
        <f>IF(Output[[#This Row],[Index]]=1,Output[[#This Row],[Droit Utilisation]],P455)</f>
        <v>117365.42592381737</v>
      </c>
      <c r="N456" s="15">
        <f>Output[[#This Row],[Capital Debut Period]]*Output[[#This Row],[Tx_interet_M]]</f>
        <v>293.4135648095434</v>
      </c>
      <c r="O456" s="15">
        <f>Output[[#This Row],[Mensualité initial]]-Output[[#This Row],[Interet]]</f>
        <v>2206.5864351904565</v>
      </c>
      <c r="P456" s="15">
        <f>Output[[#This Row],[Capital Debut Period]]-Output[[#This Row],[Paiement Principal]]</f>
        <v>115158.83948862691</v>
      </c>
      <c r="Q456" s="15">
        <f>Output[[#This Row],[Droit Utilisation]]/Output[[#This Row],[Duree_Mois]]</f>
        <v>2318.8482369502231</v>
      </c>
    </row>
    <row r="457" spans="1:17" x14ac:dyDescent="0.25">
      <c r="A457" s="11" t="s">
        <v>8</v>
      </c>
      <c r="B457" s="12">
        <v>43831</v>
      </c>
      <c r="C457">
        <v>2500</v>
      </c>
      <c r="D457">
        <v>5</v>
      </c>
      <c r="E457">
        <v>0.03</v>
      </c>
      <c r="F457">
        <v>60</v>
      </c>
      <c r="G457" s="13">
        <v>44196</v>
      </c>
      <c r="H457">
        <v>456</v>
      </c>
      <c r="I457">
        <v>12</v>
      </c>
      <c r="J457">
        <v>2.5000000000000001E-3</v>
      </c>
      <c r="K457" s="14">
        <v>2426.204663491882</v>
      </c>
      <c r="L457" s="14">
        <v>139130.89421701338</v>
      </c>
      <c r="M457" s="36">
        <f>IF(Output[[#This Row],[Index]]=1,Output[[#This Row],[Droit Utilisation]],P456)</f>
        <v>115158.83948862691</v>
      </c>
      <c r="N457" s="15">
        <f>Output[[#This Row],[Capital Debut Period]]*Output[[#This Row],[Tx_interet_M]]</f>
        <v>287.89709872156726</v>
      </c>
      <c r="O457" s="15">
        <f>Output[[#This Row],[Mensualité initial]]-Output[[#This Row],[Interet]]</f>
        <v>2212.1029012784329</v>
      </c>
      <c r="P457" s="15">
        <f>Output[[#This Row],[Capital Debut Period]]-Output[[#This Row],[Paiement Principal]]</f>
        <v>112946.73658734848</v>
      </c>
      <c r="Q457" s="15">
        <f>Output[[#This Row],[Droit Utilisation]]/Output[[#This Row],[Duree_Mois]]</f>
        <v>2318.8482369502231</v>
      </c>
    </row>
    <row r="458" spans="1:17" x14ac:dyDescent="0.25">
      <c r="A458" s="11" t="s">
        <v>8</v>
      </c>
      <c r="B458" s="12">
        <v>43831</v>
      </c>
      <c r="C458">
        <v>2500</v>
      </c>
      <c r="D458">
        <v>5</v>
      </c>
      <c r="E458">
        <v>0.03</v>
      </c>
      <c r="F458">
        <v>60</v>
      </c>
      <c r="G458" s="13">
        <v>44227</v>
      </c>
      <c r="H458">
        <v>457</v>
      </c>
      <c r="I458">
        <v>13</v>
      </c>
      <c r="J458">
        <v>2.5000000000000001E-3</v>
      </c>
      <c r="K458" s="14">
        <v>2420.1542777973887</v>
      </c>
      <c r="L458" s="14">
        <v>139130.89421701338</v>
      </c>
      <c r="M458" s="36">
        <f>IF(Output[[#This Row],[Index]]=1,Output[[#This Row],[Droit Utilisation]],P457)</f>
        <v>112946.73658734848</v>
      </c>
      <c r="N458" s="15">
        <f>Output[[#This Row],[Capital Debut Period]]*Output[[#This Row],[Tx_interet_M]]</f>
        <v>282.36684146837121</v>
      </c>
      <c r="O458" s="15">
        <f>Output[[#This Row],[Mensualité initial]]-Output[[#This Row],[Interet]]</f>
        <v>2217.6331585316289</v>
      </c>
      <c r="P458" s="15">
        <f>Output[[#This Row],[Capital Debut Period]]-Output[[#This Row],[Paiement Principal]]</f>
        <v>110729.10342881686</v>
      </c>
      <c r="Q458" s="15">
        <f>Output[[#This Row],[Droit Utilisation]]/Output[[#This Row],[Duree_Mois]]</f>
        <v>2318.8482369502231</v>
      </c>
    </row>
    <row r="459" spans="1:17" x14ac:dyDescent="0.25">
      <c r="A459" s="11" t="s">
        <v>8</v>
      </c>
      <c r="B459" s="12">
        <v>43831</v>
      </c>
      <c r="C459">
        <v>2500</v>
      </c>
      <c r="D459">
        <v>5</v>
      </c>
      <c r="E459">
        <v>0.03</v>
      </c>
      <c r="F459">
        <v>60</v>
      </c>
      <c r="G459" s="13">
        <v>44255</v>
      </c>
      <c r="H459">
        <v>458</v>
      </c>
      <c r="I459">
        <v>14</v>
      </c>
      <c r="J459">
        <v>2.5000000000000001E-3</v>
      </c>
      <c r="K459" s="14">
        <v>2414.1189803465222</v>
      </c>
      <c r="L459" s="14">
        <v>139130.89421701338</v>
      </c>
      <c r="M459" s="36">
        <f>IF(Output[[#This Row],[Index]]=1,Output[[#This Row],[Droit Utilisation]],P458)</f>
        <v>110729.10342881686</v>
      </c>
      <c r="N459" s="15">
        <f>Output[[#This Row],[Capital Debut Period]]*Output[[#This Row],[Tx_interet_M]]</f>
        <v>276.82275857204218</v>
      </c>
      <c r="O459" s="15">
        <f>Output[[#This Row],[Mensualité initial]]-Output[[#This Row],[Interet]]</f>
        <v>2223.1772414279576</v>
      </c>
      <c r="P459" s="15">
        <f>Output[[#This Row],[Capital Debut Period]]-Output[[#This Row],[Paiement Principal]]</f>
        <v>108505.9261873889</v>
      </c>
      <c r="Q459" s="15">
        <f>Output[[#This Row],[Droit Utilisation]]/Output[[#This Row],[Duree_Mois]]</f>
        <v>2318.8482369502231</v>
      </c>
    </row>
    <row r="460" spans="1:17" x14ac:dyDescent="0.25">
      <c r="A460" s="11" t="s">
        <v>8</v>
      </c>
      <c r="B460" s="12">
        <v>43831</v>
      </c>
      <c r="C460">
        <v>2500</v>
      </c>
      <c r="D460">
        <v>5</v>
      </c>
      <c r="E460">
        <v>0.03</v>
      </c>
      <c r="F460">
        <v>60</v>
      </c>
      <c r="G460" s="13">
        <v>44286</v>
      </c>
      <c r="H460">
        <v>459</v>
      </c>
      <c r="I460">
        <v>15</v>
      </c>
      <c r="J460">
        <v>2.5000000000000001E-3</v>
      </c>
      <c r="K460" s="14">
        <v>2408.0987335127406</v>
      </c>
      <c r="L460" s="14">
        <v>139130.89421701338</v>
      </c>
      <c r="M460" s="36">
        <f>IF(Output[[#This Row],[Index]]=1,Output[[#This Row],[Droit Utilisation]],P459)</f>
        <v>108505.9261873889</v>
      </c>
      <c r="N460" s="15">
        <f>Output[[#This Row],[Capital Debut Period]]*Output[[#This Row],[Tx_interet_M]]</f>
        <v>271.26481546847225</v>
      </c>
      <c r="O460" s="15">
        <f>Output[[#This Row],[Mensualité initial]]-Output[[#This Row],[Interet]]</f>
        <v>2228.7351845315279</v>
      </c>
      <c r="P460" s="15">
        <f>Output[[#This Row],[Capital Debut Period]]-Output[[#This Row],[Paiement Principal]]</f>
        <v>106277.19100285738</v>
      </c>
      <c r="Q460" s="15">
        <f>Output[[#This Row],[Droit Utilisation]]/Output[[#This Row],[Duree_Mois]]</f>
        <v>2318.8482369502231</v>
      </c>
    </row>
    <row r="461" spans="1:17" x14ac:dyDescent="0.25">
      <c r="A461" s="11" t="s">
        <v>8</v>
      </c>
      <c r="B461" s="12">
        <v>43831</v>
      </c>
      <c r="C461">
        <v>2500</v>
      </c>
      <c r="D461">
        <v>5</v>
      </c>
      <c r="E461">
        <v>0.03</v>
      </c>
      <c r="F461">
        <v>60</v>
      </c>
      <c r="G461" s="13">
        <v>44316</v>
      </c>
      <c r="H461">
        <v>460</v>
      </c>
      <c r="I461">
        <v>16</v>
      </c>
      <c r="J461">
        <v>2.5000000000000001E-3</v>
      </c>
      <c r="K461" s="14">
        <v>2402.0934997633326</v>
      </c>
      <c r="L461" s="14">
        <v>139130.89421701338</v>
      </c>
      <c r="M461" s="36">
        <f>IF(Output[[#This Row],[Index]]=1,Output[[#This Row],[Droit Utilisation]],P460)</f>
        <v>106277.19100285738</v>
      </c>
      <c r="N461" s="15">
        <f>Output[[#This Row],[Capital Debut Period]]*Output[[#This Row],[Tx_interet_M]]</f>
        <v>265.69297750714344</v>
      </c>
      <c r="O461" s="15">
        <f>Output[[#This Row],[Mensualité initial]]-Output[[#This Row],[Interet]]</f>
        <v>2234.3070224928565</v>
      </c>
      <c r="P461" s="15">
        <f>Output[[#This Row],[Capital Debut Period]]-Output[[#This Row],[Paiement Principal]]</f>
        <v>104042.88398036452</v>
      </c>
      <c r="Q461" s="15">
        <f>Output[[#This Row],[Droit Utilisation]]/Output[[#This Row],[Duree_Mois]]</f>
        <v>2318.8482369502231</v>
      </c>
    </row>
    <row r="462" spans="1:17" x14ac:dyDescent="0.25">
      <c r="A462" s="11" t="s">
        <v>8</v>
      </c>
      <c r="B462" s="12">
        <v>43831</v>
      </c>
      <c r="C462">
        <v>2500</v>
      </c>
      <c r="D462">
        <v>5</v>
      </c>
      <c r="E462">
        <v>0.03</v>
      </c>
      <c r="F462">
        <v>60</v>
      </c>
      <c r="G462" s="13">
        <v>44347</v>
      </c>
      <c r="H462">
        <v>461</v>
      </c>
      <c r="I462">
        <v>17</v>
      </c>
      <c r="J462">
        <v>2.5000000000000001E-3</v>
      </c>
      <c r="K462" s="14">
        <v>2396.1032416591847</v>
      </c>
      <c r="L462" s="14">
        <v>139130.89421701338</v>
      </c>
      <c r="M462" s="36">
        <f>IF(Output[[#This Row],[Index]]=1,Output[[#This Row],[Droit Utilisation]],P461)</f>
        <v>104042.88398036452</v>
      </c>
      <c r="N462" s="15">
        <f>Output[[#This Row],[Capital Debut Period]]*Output[[#This Row],[Tx_interet_M]]</f>
        <v>260.10720995091134</v>
      </c>
      <c r="O462" s="15">
        <f>Output[[#This Row],[Mensualité initial]]-Output[[#This Row],[Interet]]</f>
        <v>2239.8927900490885</v>
      </c>
      <c r="P462" s="15">
        <f>Output[[#This Row],[Capital Debut Period]]-Output[[#This Row],[Paiement Principal]]</f>
        <v>101802.99119031544</v>
      </c>
      <c r="Q462" s="15">
        <f>Output[[#This Row],[Droit Utilisation]]/Output[[#This Row],[Duree_Mois]]</f>
        <v>2318.8482369502231</v>
      </c>
    </row>
    <row r="463" spans="1:17" x14ac:dyDescent="0.25">
      <c r="A463" s="11" t="s">
        <v>8</v>
      </c>
      <c r="B463" s="12">
        <v>43831</v>
      </c>
      <c r="C463">
        <v>2500</v>
      </c>
      <c r="D463">
        <v>5</v>
      </c>
      <c r="E463">
        <v>0.03</v>
      </c>
      <c r="F463">
        <v>60</v>
      </c>
      <c r="G463" s="13">
        <v>44377</v>
      </c>
      <c r="H463">
        <v>462</v>
      </c>
      <c r="I463">
        <v>18</v>
      </c>
      <c r="J463">
        <v>2.5000000000000001E-3</v>
      </c>
      <c r="K463" s="14">
        <v>2390.1279218545483</v>
      </c>
      <c r="L463" s="14">
        <v>139130.89421701338</v>
      </c>
      <c r="M463" s="36">
        <f>IF(Output[[#This Row],[Index]]=1,Output[[#This Row],[Droit Utilisation]],P462)</f>
        <v>101802.99119031544</v>
      </c>
      <c r="N463" s="15">
        <f>Output[[#This Row],[Capital Debut Period]]*Output[[#This Row],[Tx_interet_M]]</f>
        <v>254.50747797578862</v>
      </c>
      <c r="O463" s="15">
        <f>Output[[#This Row],[Mensualité initial]]-Output[[#This Row],[Interet]]</f>
        <v>2245.4925220242112</v>
      </c>
      <c r="P463" s="15">
        <f>Output[[#This Row],[Capital Debut Period]]-Output[[#This Row],[Paiement Principal]]</f>
        <v>99557.498668291228</v>
      </c>
      <c r="Q463" s="15">
        <f>Output[[#This Row],[Droit Utilisation]]/Output[[#This Row],[Duree_Mois]]</f>
        <v>2318.8482369502231</v>
      </c>
    </row>
    <row r="464" spans="1:17" x14ac:dyDescent="0.25">
      <c r="A464" s="11" t="s">
        <v>8</v>
      </c>
      <c r="B464" s="12">
        <v>43831</v>
      </c>
      <c r="C464">
        <v>2500</v>
      </c>
      <c r="D464">
        <v>5</v>
      </c>
      <c r="E464">
        <v>0.03</v>
      </c>
      <c r="F464">
        <v>60</v>
      </c>
      <c r="G464" s="13">
        <v>44408</v>
      </c>
      <c r="H464">
        <v>463</v>
      </c>
      <c r="I464">
        <v>19</v>
      </c>
      <c r="J464">
        <v>2.5000000000000001E-3</v>
      </c>
      <c r="K464" s="14">
        <v>2384.1675030968067</v>
      </c>
      <c r="L464" s="14">
        <v>139130.89421701338</v>
      </c>
      <c r="M464" s="36">
        <f>IF(Output[[#This Row],[Index]]=1,Output[[#This Row],[Droit Utilisation]],P463)</f>
        <v>99557.498668291228</v>
      </c>
      <c r="N464" s="15">
        <f>Output[[#This Row],[Capital Debut Period]]*Output[[#This Row],[Tx_interet_M]]</f>
        <v>248.89374667072806</v>
      </c>
      <c r="O464" s="15">
        <f>Output[[#This Row],[Mensualité initial]]-Output[[#This Row],[Interet]]</f>
        <v>2251.106253329272</v>
      </c>
      <c r="P464" s="15">
        <f>Output[[#This Row],[Capital Debut Period]]-Output[[#This Row],[Paiement Principal]]</f>
        <v>97306.392414961956</v>
      </c>
      <c r="Q464" s="15">
        <f>Output[[#This Row],[Droit Utilisation]]/Output[[#This Row],[Duree_Mois]]</f>
        <v>2318.8482369502231</v>
      </c>
    </row>
    <row r="465" spans="1:17" x14ac:dyDescent="0.25">
      <c r="A465" s="11" t="s">
        <v>8</v>
      </c>
      <c r="B465" s="12">
        <v>43831</v>
      </c>
      <c r="C465">
        <v>2500</v>
      </c>
      <c r="D465">
        <v>5</v>
      </c>
      <c r="E465">
        <v>0.03</v>
      </c>
      <c r="F465">
        <v>60</v>
      </c>
      <c r="G465" s="13">
        <v>44439</v>
      </c>
      <c r="H465">
        <v>464</v>
      </c>
      <c r="I465">
        <v>20</v>
      </c>
      <c r="J465">
        <v>2.5000000000000001E-3</v>
      </c>
      <c r="K465" s="14">
        <v>2378.2219482262412</v>
      </c>
      <c r="L465" s="14">
        <v>139130.89421701338</v>
      </c>
      <c r="M465" s="36">
        <f>IF(Output[[#This Row],[Index]]=1,Output[[#This Row],[Droit Utilisation]],P464)</f>
        <v>97306.392414961956</v>
      </c>
      <c r="N465" s="15">
        <f>Output[[#This Row],[Capital Debut Period]]*Output[[#This Row],[Tx_interet_M]]</f>
        <v>243.26598103740488</v>
      </c>
      <c r="O465" s="15">
        <f>Output[[#This Row],[Mensualité initial]]-Output[[#This Row],[Interet]]</f>
        <v>2256.7340189625952</v>
      </c>
      <c r="P465" s="15">
        <f>Output[[#This Row],[Capital Debut Period]]-Output[[#This Row],[Paiement Principal]]</f>
        <v>95049.658395999359</v>
      </c>
      <c r="Q465" s="15">
        <f>Output[[#This Row],[Droit Utilisation]]/Output[[#This Row],[Duree_Mois]]</f>
        <v>2318.8482369502231</v>
      </c>
    </row>
    <row r="466" spans="1:17" x14ac:dyDescent="0.25">
      <c r="A466" s="11" t="s">
        <v>8</v>
      </c>
      <c r="B466" s="12">
        <v>43831</v>
      </c>
      <c r="C466">
        <v>2500</v>
      </c>
      <c r="D466">
        <v>5</v>
      </c>
      <c r="E466">
        <v>0.03</v>
      </c>
      <c r="F466">
        <v>60</v>
      </c>
      <c r="G466" s="13">
        <v>44469</v>
      </c>
      <c r="H466">
        <v>465</v>
      </c>
      <c r="I466">
        <v>21</v>
      </c>
      <c r="J466">
        <v>2.5000000000000001E-3</v>
      </c>
      <c r="K466" s="14">
        <v>2372.2912201758018</v>
      </c>
      <c r="L466" s="14">
        <v>139130.89421701338</v>
      </c>
      <c r="M466" s="36">
        <f>IF(Output[[#This Row],[Index]]=1,Output[[#This Row],[Droit Utilisation]],P465)</f>
        <v>95049.658395999359</v>
      </c>
      <c r="N466" s="15">
        <f>Output[[#This Row],[Capital Debut Period]]*Output[[#This Row],[Tx_interet_M]]</f>
        <v>237.6241459899984</v>
      </c>
      <c r="O466" s="15">
        <f>Output[[#This Row],[Mensualité initial]]-Output[[#This Row],[Interet]]</f>
        <v>2262.3758540100016</v>
      </c>
      <c r="P466" s="15">
        <f>Output[[#This Row],[Capital Debut Period]]-Output[[#This Row],[Paiement Principal]]</f>
        <v>92787.282541989363</v>
      </c>
      <c r="Q466" s="15">
        <f>Output[[#This Row],[Droit Utilisation]]/Output[[#This Row],[Duree_Mois]]</f>
        <v>2318.8482369502231</v>
      </c>
    </row>
    <row r="467" spans="1:17" x14ac:dyDescent="0.25">
      <c r="A467" s="11" t="s">
        <v>8</v>
      </c>
      <c r="B467" s="12">
        <v>43831</v>
      </c>
      <c r="C467">
        <v>2500</v>
      </c>
      <c r="D467">
        <v>5</v>
      </c>
      <c r="E467">
        <v>0.03</v>
      </c>
      <c r="F467">
        <v>60</v>
      </c>
      <c r="G467" s="13">
        <v>44500</v>
      </c>
      <c r="H467">
        <v>466</v>
      </c>
      <c r="I467">
        <v>22</v>
      </c>
      <c r="J467">
        <v>2.5000000000000001E-3</v>
      </c>
      <c r="K467" s="14">
        <v>2366.3752819708748</v>
      </c>
      <c r="L467" s="14">
        <v>139130.89421701338</v>
      </c>
      <c r="M467" s="36">
        <f>IF(Output[[#This Row],[Index]]=1,Output[[#This Row],[Droit Utilisation]],P466)</f>
        <v>92787.282541989363</v>
      </c>
      <c r="N467" s="15">
        <f>Output[[#This Row],[Capital Debut Period]]*Output[[#This Row],[Tx_interet_M]]</f>
        <v>231.9682063549734</v>
      </c>
      <c r="O467" s="15">
        <f>Output[[#This Row],[Mensualité initial]]-Output[[#This Row],[Interet]]</f>
        <v>2268.0317936450265</v>
      </c>
      <c r="P467" s="15">
        <f>Output[[#This Row],[Capital Debut Period]]-Output[[#This Row],[Paiement Principal]]</f>
        <v>90519.250748344333</v>
      </c>
      <c r="Q467" s="15">
        <f>Output[[#This Row],[Droit Utilisation]]/Output[[#This Row],[Duree_Mois]]</f>
        <v>2318.8482369502231</v>
      </c>
    </row>
    <row r="468" spans="1:17" x14ac:dyDescent="0.25">
      <c r="A468" s="11" t="s">
        <v>8</v>
      </c>
      <c r="B468" s="12">
        <v>43831</v>
      </c>
      <c r="C468">
        <v>2500</v>
      </c>
      <c r="D468">
        <v>5</v>
      </c>
      <c r="E468">
        <v>0.03</v>
      </c>
      <c r="F468">
        <v>60</v>
      </c>
      <c r="G468" s="13">
        <v>44530</v>
      </c>
      <c r="H468">
        <v>467</v>
      </c>
      <c r="I468">
        <v>23</v>
      </c>
      <c r="J468">
        <v>2.5000000000000001E-3</v>
      </c>
      <c r="K468" s="14">
        <v>2360.4740967290522</v>
      </c>
      <c r="L468" s="14">
        <v>139130.89421701338</v>
      </c>
      <c r="M468" s="36">
        <f>IF(Output[[#This Row],[Index]]=1,Output[[#This Row],[Droit Utilisation]],P467)</f>
        <v>90519.250748344333</v>
      </c>
      <c r="N468" s="15">
        <f>Output[[#This Row],[Capital Debut Period]]*Output[[#This Row],[Tx_interet_M]]</f>
        <v>226.29812687086084</v>
      </c>
      <c r="O468" s="15">
        <f>Output[[#This Row],[Mensualité initial]]-Output[[#This Row],[Interet]]</f>
        <v>2273.7018731291391</v>
      </c>
      <c r="P468" s="15">
        <f>Output[[#This Row],[Capital Debut Period]]-Output[[#This Row],[Paiement Principal]]</f>
        <v>88245.548875215201</v>
      </c>
      <c r="Q468" s="15">
        <f>Output[[#This Row],[Droit Utilisation]]/Output[[#This Row],[Duree_Mois]]</f>
        <v>2318.8482369502231</v>
      </c>
    </row>
    <row r="469" spans="1:17" x14ac:dyDescent="0.25">
      <c r="A469" s="11" t="s">
        <v>8</v>
      </c>
      <c r="B469" s="12">
        <v>43831</v>
      </c>
      <c r="C469">
        <v>2500</v>
      </c>
      <c r="D469">
        <v>5</v>
      </c>
      <c r="E469">
        <v>0.03</v>
      </c>
      <c r="F469">
        <v>60</v>
      </c>
      <c r="G469" s="13">
        <v>44561</v>
      </c>
      <c r="H469">
        <v>468</v>
      </c>
      <c r="I469">
        <v>24</v>
      </c>
      <c r="J469">
        <v>2.5000000000000001E-3</v>
      </c>
      <c r="K469" s="14">
        <v>2354.5876276599024</v>
      </c>
      <c r="L469" s="14">
        <v>139130.89421701338</v>
      </c>
      <c r="M469" s="36">
        <f>IF(Output[[#This Row],[Index]]=1,Output[[#This Row],[Droit Utilisation]],P468)</f>
        <v>88245.548875215201</v>
      </c>
      <c r="N469" s="15">
        <f>Output[[#This Row],[Capital Debut Period]]*Output[[#This Row],[Tx_interet_M]]</f>
        <v>220.61387218803802</v>
      </c>
      <c r="O469" s="15">
        <f>Output[[#This Row],[Mensualité initial]]-Output[[#This Row],[Interet]]</f>
        <v>2279.3861278119621</v>
      </c>
      <c r="P469" s="15">
        <f>Output[[#This Row],[Capital Debut Period]]-Output[[#This Row],[Paiement Principal]]</f>
        <v>85966.162747403243</v>
      </c>
      <c r="Q469" s="15">
        <f>Output[[#This Row],[Droit Utilisation]]/Output[[#This Row],[Duree_Mois]]</f>
        <v>2318.8482369502231</v>
      </c>
    </row>
    <row r="470" spans="1:17" x14ac:dyDescent="0.25">
      <c r="A470" s="11" t="s">
        <v>8</v>
      </c>
      <c r="B470" s="12">
        <v>43831</v>
      </c>
      <c r="C470">
        <v>2500</v>
      </c>
      <c r="D470">
        <v>5</v>
      </c>
      <c r="E470">
        <v>0.03</v>
      </c>
      <c r="F470">
        <v>60</v>
      </c>
      <c r="G470" s="13">
        <v>44592</v>
      </c>
      <c r="H470">
        <v>469</v>
      </c>
      <c r="I470">
        <v>25</v>
      </c>
      <c r="J470">
        <v>2.5000000000000001E-3</v>
      </c>
      <c r="K470" s="14">
        <v>2348.7158380647406</v>
      </c>
      <c r="L470" s="14">
        <v>139130.89421701338</v>
      </c>
      <c r="M470" s="36">
        <f>IF(Output[[#This Row],[Index]]=1,Output[[#This Row],[Droit Utilisation]],P469)</f>
        <v>85966.162747403243</v>
      </c>
      <c r="N470" s="15">
        <f>Output[[#This Row],[Capital Debut Period]]*Output[[#This Row],[Tx_interet_M]]</f>
        <v>214.91540686850811</v>
      </c>
      <c r="O470" s="15">
        <f>Output[[#This Row],[Mensualité initial]]-Output[[#This Row],[Interet]]</f>
        <v>2285.0845931314921</v>
      </c>
      <c r="P470" s="15">
        <f>Output[[#This Row],[Capital Debut Period]]-Output[[#This Row],[Paiement Principal]]</f>
        <v>83681.078154271745</v>
      </c>
      <c r="Q470" s="15">
        <f>Output[[#This Row],[Droit Utilisation]]/Output[[#This Row],[Duree_Mois]]</f>
        <v>2318.8482369502231</v>
      </c>
    </row>
    <row r="471" spans="1:17" x14ac:dyDescent="0.25">
      <c r="A471" s="11" t="s">
        <v>8</v>
      </c>
      <c r="B471" s="12">
        <v>43831</v>
      </c>
      <c r="C471">
        <v>2500</v>
      </c>
      <c r="D471">
        <v>5</v>
      </c>
      <c r="E471">
        <v>0.03</v>
      </c>
      <c r="F471">
        <v>60</v>
      </c>
      <c r="G471" s="13">
        <v>44620</v>
      </c>
      <c r="H471">
        <v>470</v>
      </c>
      <c r="I471">
        <v>26</v>
      </c>
      <c r="J471">
        <v>2.5000000000000001E-3</v>
      </c>
      <c r="K471" s="14">
        <v>2342.8586913364002</v>
      </c>
      <c r="L471" s="14">
        <v>139130.89421701338</v>
      </c>
      <c r="M471" s="36">
        <f>IF(Output[[#This Row],[Index]]=1,Output[[#This Row],[Droit Utilisation]],P470)</f>
        <v>83681.078154271745</v>
      </c>
      <c r="N471" s="15">
        <f>Output[[#This Row],[Capital Debut Period]]*Output[[#This Row],[Tx_interet_M]]</f>
        <v>209.20269538567936</v>
      </c>
      <c r="O471" s="15">
        <f>Output[[#This Row],[Mensualité initial]]-Output[[#This Row],[Interet]]</f>
        <v>2290.7973046143206</v>
      </c>
      <c r="P471" s="15">
        <f>Output[[#This Row],[Capital Debut Period]]-Output[[#This Row],[Paiement Principal]]</f>
        <v>81390.280849657429</v>
      </c>
      <c r="Q471" s="15">
        <f>Output[[#This Row],[Droit Utilisation]]/Output[[#This Row],[Duree_Mois]]</f>
        <v>2318.8482369502231</v>
      </c>
    </row>
    <row r="472" spans="1:17" x14ac:dyDescent="0.25">
      <c r="A472" s="11" t="s">
        <v>8</v>
      </c>
      <c r="B472" s="12">
        <v>43831</v>
      </c>
      <c r="C472">
        <v>2500</v>
      </c>
      <c r="D472">
        <v>5</v>
      </c>
      <c r="E472">
        <v>0.03</v>
      </c>
      <c r="F472">
        <v>60</v>
      </c>
      <c r="G472" s="13">
        <v>44651</v>
      </c>
      <c r="H472">
        <v>471</v>
      </c>
      <c r="I472">
        <v>27</v>
      </c>
      <c r="J472">
        <v>2.5000000000000001E-3</v>
      </c>
      <c r="K472" s="14">
        <v>2337.0161509590025</v>
      </c>
      <c r="L472" s="14">
        <v>139130.89421701338</v>
      </c>
      <c r="M472" s="36">
        <f>IF(Output[[#This Row],[Index]]=1,Output[[#This Row],[Droit Utilisation]],P471)</f>
        <v>81390.280849657429</v>
      </c>
      <c r="N472" s="15">
        <f>Output[[#This Row],[Capital Debut Period]]*Output[[#This Row],[Tx_interet_M]]</f>
        <v>203.47570212414357</v>
      </c>
      <c r="O472" s="15">
        <f>Output[[#This Row],[Mensualité initial]]-Output[[#This Row],[Interet]]</f>
        <v>2296.5242978758565</v>
      </c>
      <c r="P472" s="15">
        <f>Output[[#This Row],[Capital Debut Period]]-Output[[#This Row],[Paiement Principal]]</f>
        <v>79093.756551781567</v>
      </c>
      <c r="Q472" s="15">
        <f>Output[[#This Row],[Droit Utilisation]]/Output[[#This Row],[Duree_Mois]]</f>
        <v>2318.8482369502231</v>
      </c>
    </row>
    <row r="473" spans="1:17" x14ac:dyDescent="0.25">
      <c r="A473" s="11" t="s">
        <v>8</v>
      </c>
      <c r="B473" s="12">
        <v>43831</v>
      </c>
      <c r="C473">
        <v>2500</v>
      </c>
      <c r="D473">
        <v>5</v>
      </c>
      <c r="E473">
        <v>0.03</v>
      </c>
      <c r="F473">
        <v>60</v>
      </c>
      <c r="G473" s="13">
        <v>44681</v>
      </c>
      <c r="H473">
        <v>472</v>
      </c>
      <c r="I473">
        <v>28</v>
      </c>
      <c r="J473">
        <v>2.5000000000000001E-3</v>
      </c>
      <c r="K473" s="14">
        <v>2331.1881805077333</v>
      </c>
      <c r="L473" s="14">
        <v>139130.89421701338</v>
      </c>
      <c r="M473" s="36">
        <f>IF(Output[[#This Row],[Index]]=1,Output[[#This Row],[Droit Utilisation]],P472)</f>
        <v>79093.756551781567</v>
      </c>
      <c r="N473" s="15">
        <f>Output[[#This Row],[Capital Debut Period]]*Output[[#This Row],[Tx_interet_M]]</f>
        <v>197.73439137945391</v>
      </c>
      <c r="O473" s="15">
        <f>Output[[#This Row],[Mensualité initial]]-Output[[#This Row],[Interet]]</f>
        <v>2302.2656086205461</v>
      </c>
      <c r="P473" s="15">
        <f>Output[[#This Row],[Capital Debut Period]]-Output[[#This Row],[Paiement Principal]]</f>
        <v>76791.490943161014</v>
      </c>
      <c r="Q473" s="15">
        <f>Output[[#This Row],[Droit Utilisation]]/Output[[#This Row],[Duree_Mois]]</f>
        <v>2318.8482369502231</v>
      </c>
    </row>
    <row r="474" spans="1:17" x14ac:dyDescent="0.25">
      <c r="A474" s="11" t="s">
        <v>8</v>
      </c>
      <c r="B474" s="12">
        <v>43831</v>
      </c>
      <c r="C474">
        <v>2500</v>
      </c>
      <c r="D474">
        <v>5</v>
      </c>
      <c r="E474">
        <v>0.03</v>
      </c>
      <c r="F474">
        <v>60</v>
      </c>
      <c r="G474" s="13">
        <v>44712</v>
      </c>
      <c r="H474">
        <v>473</v>
      </c>
      <c r="I474">
        <v>29</v>
      </c>
      <c r="J474">
        <v>2.5000000000000001E-3</v>
      </c>
      <c r="K474" s="14">
        <v>2325.3747436486119</v>
      </c>
      <c r="L474" s="14">
        <v>139130.89421701338</v>
      </c>
      <c r="M474" s="36">
        <f>IF(Output[[#This Row],[Index]]=1,Output[[#This Row],[Droit Utilisation]],P473)</f>
        <v>76791.490943161014</v>
      </c>
      <c r="N474" s="15">
        <f>Output[[#This Row],[Capital Debut Period]]*Output[[#This Row],[Tx_interet_M]]</f>
        <v>191.97872735790253</v>
      </c>
      <c r="O474" s="15">
        <f>Output[[#This Row],[Mensualité initial]]-Output[[#This Row],[Interet]]</f>
        <v>2308.0212726420973</v>
      </c>
      <c r="P474" s="15">
        <f>Output[[#This Row],[Capital Debut Period]]-Output[[#This Row],[Paiement Principal]]</f>
        <v>74483.469670518913</v>
      </c>
      <c r="Q474" s="15">
        <f>Output[[#This Row],[Droit Utilisation]]/Output[[#This Row],[Duree_Mois]]</f>
        <v>2318.8482369502231</v>
      </c>
    </row>
    <row r="475" spans="1:17" x14ac:dyDescent="0.25">
      <c r="A475" s="11" t="s">
        <v>8</v>
      </c>
      <c r="B475" s="12">
        <v>43831</v>
      </c>
      <c r="C475">
        <v>2500</v>
      </c>
      <c r="D475">
        <v>5</v>
      </c>
      <c r="E475">
        <v>0.03</v>
      </c>
      <c r="F475">
        <v>60</v>
      </c>
      <c r="G475" s="13">
        <v>44742</v>
      </c>
      <c r="H475">
        <v>474</v>
      </c>
      <c r="I475">
        <v>30</v>
      </c>
      <c r="J475">
        <v>2.5000000000000001E-3</v>
      </c>
      <c r="K475" s="14">
        <v>2319.5758041382664</v>
      </c>
      <c r="L475" s="14">
        <v>139130.89421701338</v>
      </c>
      <c r="M475" s="36">
        <f>IF(Output[[#This Row],[Index]]=1,Output[[#This Row],[Droit Utilisation]],P474)</f>
        <v>74483.469670518913</v>
      </c>
      <c r="N475" s="15">
        <f>Output[[#This Row],[Capital Debut Period]]*Output[[#This Row],[Tx_interet_M]]</f>
        <v>186.20867417629728</v>
      </c>
      <c r="O475" s="15">
        <f>Output[[#This Row],[Mensualité initial]]-Output[[#This Row],[Interet]]</f>
        <v>2313.7913258237027</v>
      </c>
      <c r="P475" s="15">
        <f>Output[[#This Row],[Capital Debut Period]]-Output[[#This Row],[Paiement Principal]]</f>
        <v>72169.678344695203</v>
      </c>
      <c r="Q475" s="15">
        <f>Output[[#This Row],[Droit Utilisation]]/Output[[#This Row],[Duree_Mois]]</f>
        <v>2318.8482369502231</v>
      </c>
    </row>
    <row r="476" spans="1:17" x14ac:dyDescent="0.25">
      <c r="A476" s="11" t="s">
        <v>8</v>
      </c>
      <c r="B476" s="12">
        <v>43831</v>
      </c>
      <c r="C476">
        <v>2500</v>
      </c>
      <c r="D476">
        <v>5</v>
      </c>
      <c r="E476">
        <v>0.03</v>
      </c>
      <c r="F476">
        <v>60</v>
      </c>
      <c r="G476" s="13">
        <v>44773</v>
      </c>
      <c r="H476">
        <v>475</v>
      </c>
      <c r="I476">
        <v>31</v>
      </c>
      <c r="J476">
        <v>2.5000000000000001E-3</v>
      </c>
      <c r="K476" s="14">
        <v>2313.7913258237072</v>
      </c>
      <c r="L476" s="14">
        <v>139130.89421701338</v>
      </c>
      <c r="M476" s="36">
        <f>IF(Output[[#This Row],[Index]]=1,Output[[#This Row],[Droit Utilisation]],P475)</f>
        <v>72169.678344695203</v>
      </c>
      <c r="N476" s="15">
        <f>Output[[#This Row],[Capital Debut Period]]*Output[[#This Row],[Tx_interet_M]]</f>
        <v>180.42419586173801</v>
      </c>
      <c r="O476" s="15">
        <f>Output[[#This Row],[Mensualité initial]]-Output[[#This Row],[Interet]]</f>
        <v>2319.5758041382619</v>
      </c>
      <c r="P476" s="15">
        <f>Output[[#This Row],[Capital Debut Period]]-Output[[#This Row],[Paiement Principal]]</f>
        <v>69850.102540556938</v>
      </c>
      <c r="Q476" s="15">
        <f>Output[[#This Row],[Droit Utilisation]]/Output[[#This Row],[Duree_Mois]]</f>
        <v>2318.8482369502231</v>
      </c>
    </row>
    <row r="477" spans="1:17" x14ac:dyDescent="0.25">
      <c r="A477" s="11" t="s">
        <v>8</v>
      </c>
      <c r="B477" s="12">
        <v>43831</v>
      </c>
      <c r="C477">
        <v>2500</v>
      </c>
      <c r="D477">
        <v>5</v>
      </c>
      <c r="E477">
        <v>0.03</v>
      </c>
      <c r="F477">
        <v>60</v>
      </c>
      <c r="G477" s="13">
        <v>44804</v>
      </c>
      <c r="H477">
        <v>476</v>
      </c>
      <c r="I477">
        <v>32</v>
      </c>
      <c r="J477">
        <v>2.5000000000000001E-3</v>
      </c>
      <c r="K477" s="14">
        <v>2308.0212726421018</v>
      </c>
      <c r="L477" s="14">
        <v>139130.89421701338</v>
      </c>
      <c r="M477" s="36">
        <f>IF(Output[[#This Row],[Index]]=1,Output[[#This Row],[Droit Utilisation]],P476)</f>
        <v>69850.102540556938</v>
      </c>
      <c r="N477" s="15">
        <f>Output[[#This Row],[Capital Debut Period]]*Output[[#This Row],[Tx_interet_M]]</f>
        <v>174.62525635139235</v>
      </c>
      <c r="O477" s="15">
        <f>Output[[#This Row],[Mensualité initial]]-Output[[#This Row],[Interet]]</f>
        <v>2325.3747436486078</v>
      </c>
      <c r="P477" s="15">
        <f>Output[[#This Row],[Capital Debut Period]]-Output[[#This Row],[Paiement Principal]]</f>
        <v>67524.727796908337</v>
      </c>
      <c r="Q477" s="15">
        <f>Output[[#This Row],[Droit Utilisation]]/Output[[#This Row],[Duree_Mois]]</f>
        <v>2318.8482369502231</v>
      </c>
    </row>
    <row r="478" spans="1:17" x14ac:dyDescent="0.25">
      <c r="A478" s="11" t="s">
        <v>8</v>
      </c>
      <c r="B478" s="12">
        <v>43831</v>
      </c>
      <c r="C478">
        <v>2500</v>
      </c>
      <c r="D478">
        <v>5</v>
      </c>
      <c r="E478">
        <v>0.03</v>
      </c>
      <c r="F478">
        <v>60</v>
      </c>
      <c r="G478" s="13">
        <v>44834</v>
      </c>
      <c r="H478">
        <v>477</v>
      </c>
      <c r="I478">
        <v>33</v>
      </c>
      <c r="J478">
        <v>2.5000000000000001E-3</v>
      </c>
      <c r="K478" s="14">
        <v>2302.2656086205511</v>
      </c>
      <c r="L478" s="14">
        <v>139130.89421701338</v>
      </c>
      <c r="M478" s="36">
        <f>IF(Output[[#This Row],[Index]]=1,Output[[#This Row],[Droit Utilisation]],P477)</f>
        <v>67524.727796908337</v>
      </c>
      <c r="N478" s="15">
        <f>Output[[#This Row],[Capital Debut Period]]*Output[[#This Row],[Tx_interet_M]]</f>
        <v>168.81181949227084</v>
      </c>
      <c r="O478" s="15">
        <f>Output[[#This Row],[Mensualité initial]]-Output[[#This Row],[Interet]]</f>
        <v>2331.1881805077292</v>
      </c>
      <c r="P478" s="15">
        <f>Output[[#This Row],[Capital Debut Period]]-Output[[#This Row],[Paiement Principal]]</f>
        <v>65193.539616400609</v>
      </c>
      <c r="Q478" s="15">
        <f>Output[[#This Row],[Droit Utilisation]]/Output[[#This Row],[Duree_Mois]]</f>
        <v>2318.8482369502231</v>
      </c>
    </row>
    <row r="479" spans="1:17" x14ac:dyDescent="0.25">
      <c r="A479" s="11" t="s">
        <v>8</v>
      </c>
      <c r="B479" s="12">
        <v>43831</v>
      </c>
      <c r="C479">
        <v>2500</v>
      </c>
      <c r="D479">
        <v>5</v>
      </c>
      <c r="E479">
        <v>0.03</v>
      </c>
      <c r="F479">
        <v>60</v>
      </c>
      <c r="G479" s="13">
        <v>44865</v>
      </c>
      <c r="H479">
        <v>478</v>
      </c>
      <c r="I479">
        <v>34</v>
      </c>
      <c r="J479">
        <v>2.5000000000000001E-3</v>
      </c>
      <c r="K479" s="14">
        <v>2296.5242978758611</v>
      </c>
      <c r="L479" s="14">
        <v>139130.89421701338</v>
      </c>
      <c r="M479" s="36">
        <f>IF(Output[[#This Row],[Index]]=1,Output[[#This Row],[Droit Utilisation]],P478)</f>
        <v>65193.539616400609</v>
      </c>
      <c r="N479" s="15">
        <f>Output[[#This Row],[Capital Debut Period]]*Output[[#This Row],[Tx_interet_M]]</f>
        <v>162.98384904100152</v>
      </c>
      <c r="O479" s="15">
        <f>Output[[#This Row],[Mensualité initial]]-Output[[#This Row],[Interet]]</f>
        <v>2337.0161509589984</v>
      </c>
      <c r="P479" s="15">
        <f>Output[[#This Row],[Capital Debut Period]]-Output[[#This Row],[Paiement Principal]]</f>
        <v>62856.523465441613</v>
      </c>
      <c r="Q479" s="15">
        <f>Output[[#This Row],[Droit Utilisation]]/Output[[#This Row],[Duree_Mois]]</f>
        <v>2318.8482369502231</v>
      </c>
    </row>
    <row r="480" spans="1:17" x14ac:dyDescent="0.25">
      <c r="A480" s="11" t="s">
        <v>8</v>
      </c>
      <c r="B480" s="12">
        <v>43831</v>
      </c>
      <c r="C480">
        <v>2500</v>
      </c>
      <c r="D480">
        <v>5</v>
      </c>
      <c r="E480">
        <v>0.03</v>
      </c>
      <c r="F480">
        <v>60</v>
      </c>
      <c r="G480" s="13">
        <v>44895</v>
      </c>
      <c r="H480">
        <v>479</v>
      </c>
      <c r="I480">
        <v>35</v>
      </c>
      <c r="J480">
        <v>2.5000000000000001E-3</v>
      </c>
      <c r="K480" s="14">
        <v>2290.7973046143256</v>
      </c>
      <c r="L480" s="14">
        <v>139130.89421701338</v>
      </c>
      <c r="M480" s="36">
        <f>IF(Output[[#This Row],[Index]]=1,Output[[#This Row],[Droit Utilisation]],P479)</f>
        <v>62856.523465441613</v>
      </c>
      <c r="N480" s="15">
        <f>Output[[#This Row],[Capital Debut Period]]*Output[[#This Row],[Tx_interet_M]]</f>
        <v>157.14130866360404</v>
      </c>
      <c r="O480" s="15">
        <f>Output[[#This Row],[Mensualité initial]]-Output[[#This Row],[Interet]]</f>
        <v>2342.8586913363961</v>
      </c>
      <c r="P480" s="15">
        <f>Output[[#This Row],[Capital Debut Period]]-Output[[#This Row],[Paiement Principal]]</f>
        <v>60513.664774105215</v>
      </c>
      <c r="Q480" s="15">
        <f>Output[[#This Row],[Droit Utilisation]]/Output[[#This Row],[Duree_Mois]]</f>
        <v>2318.8482369502231</v>
      </c>
    </row>
    <row r="481" spans="1:17" x14ac:dyDescent="0.25">
      <c r="A481" s="11" t="s">
        <v>8</v>
      </c>
      <c r="B481" s="12">
        <v>43831</v>
      </c>
      <c r="C481">
        <v>2500</v>
      </c>
      <c r="D481">
        <v>5</v>
      </c>
      <c r="E481">
        <v>0.03</v>
      </c>
      <c r="F481">
        <v>60</v>
      </c>
      <c r="G481" s="13">
        <v>44926</v>
      </c>
      <c r="H481">
        <v>480</v>
      </c>
      <c r="I481">
        <v>36</v>
      </c>
      <c r="J481">
        <v>2.5000000000000001E-3</v>
      </c>
      <c r="K481" s="14">
        <v>2285.0845931314971</v>
      </c>
      <c r="L481" s="14">
        <v>139130.89421701338</v>
      </c>
      <c r="M481" s="36">
        <f>IF(Output[[#This Row],[Index]]=1,Output[[#This Row],[Droit Utilisation]],P480)</f>
        <v>60513.664774105215</v>
      </c>
      <c r="N481" s="15">
        <f>Output[[#This Row],[Capital Debut Period]]*Output[[#This Row],[Tx_interet_M]]</f>
        <v>151.28416193526303</v>
      </c>
      <c r="O481" s="15">
        <f>Output[[#This Row],[Mensualité initial]]-Output[[#This Row],[Interet]]</f>
        <v>2348.715838064737</v>
      </c>
      <c r="P481" s="15">
        <f>Output[[#This Row],[Capital Debut Period]]-Output[[#This Row],[Paiement Principal]]</f>
        <v>58164.948936040477</v>
      </c>
      <c r="Q481" s="15">
        <f>Output[[#This Row],[Droit Utilisation]]/Output[[#This Row],[Duree_Mois]]</f>
        <v>2318.8482369502231</v>
      </c>
    </row>
    <row r="482" spans="1:17" x14ac:dyDescent="0.25">
      <c r="A482" s="11" t="s">
        <v>8</v>
      </c>
      <c r="B482" s="12">
        <v>43831</v>
      </c>
      <c r="C482">
        <v>2500</v>
      </c>
      <c r="D482">
        <v>5</v>
      </c>
      <c r="E482">
        <v>0.03</v>
      </c>
      <c r="F482">
        <v>60</v>
      </c>
      <c r="G482" s="13">
        <v>44957</v>
      </c>
      <c r="H482">
        <v>481</v>
      </c>
      <c r="I482">
        <v>37</v>
      </c>
      <c r="J482">
        <v>2.5000000000000001E-3</v>
      </c>
      <c r="K482" s="14">
        <v>2279.3861278119675</v>
      </c>
      <c r="L482" s="14">
        <v>139130.89421701338</v>
      </c>
      <c r="M482" s="36">
        <f>IF(Output[[#This Row],[Index]]=1,Output[[#This Row],[Droit Utilisation]],P481)</f>
        <v>58164.948936040477</v>
      </c>
      <c r="N482" s="15">
        <f>Output[[#This Row],[Capital Debut Period]]*Output[[#This Row],[Tx_interet_M]]</f>
        <v>145.4123723401012</v>
      </c>
      <c r="O482" s="15">
        <f>Output[[#This Row],[Mensualité initial]]-Output[[#This Row],[Interet]]</f>
        <v>2354.5876276598988</v>
      </c>
      <c r="P482" s="15">
        <f>Output[[#This Row],[Capital Debut Period]]-Output[[#This Row],[Paiement Principal]]</f>
        <v>55810.361308380576</v>
      </c>
      <c r="Q482" s="15">
        <f>Output[[#This Row],[Droit Utilisation]]/Output[[#This Row],[Duree_Mois]]</f>
        <v>2318.8482369502231</v>
      </c>
    </row>
    <row r="483" spans="1:17" x14ac:dyDescent="0.25">
      <c r="A483" s="11" t="s">
        <v>8</v>
      </c>
      <c r="B483" s="12">
        <v>43831</v>
      </c>
      <c r="C483">
        <v>2500</v>
      </c>
      <c r="D483">
        <v>5</v>
      </c>
      <c r="E483">
        <v>0.03</v>
      </c>
      <c r="F483">
        <v>60</v>
      </c>
      <c r="G483" s="13">
        <v>44985</v>
      </c>
      <c r="H483">
        <v>482</v>
      </c>
      <c r="I483">
        <v>38</v>
      </c>
      <c r="J483">
        <v>2.5000000000000001E-3</v>
      </c>
      <c r="K483" s="14">
        <v>2273.7018731291446</v>
      </c>
      <c r="L483" s="14">
        <v>139130.89421701338</v>
      </c>
      <c r="M483" s="36">
        <f>IF(Output[[#This Row],[Index]]=1,Output[[#This Row],[Droit Utilisation]],P482)</f>
        <v>55810.361308380576</v>
      </c>
      <c r="N483" s="15">
        <f>Output[[#This Row],[Capital Debut Period]]*Output[[#This Row],[Tx_interet_M]]</f>
        <v>139.52590327095143</v>
      </c>
      <c r="O483" s="15">
        <f>Output[[#This Row],[Mensualité initial]]-Output[[#This Row],[Interet]]</f>
        <v>2360.4740967290486</v>
      </c>
      <c r="P483" s="15">
        <f>Output[[#This Row],[Capital Debut Period]]-Output[[#This Row],[Paiement Principal]]</f>
        <v>53449.887211651527</v>
      </c>
      <c r="Q483" s="15">
        <f>Output[[#This Row],[Droit Utilisation]]/Output[[#This Row],[Duree_Mois]]</f>
        <v>2318.8482369502231</v>
      </c>
    </row>
    <row r="484" spans="1:17" x14ac:dyDescent="0.25">
      <c r="A484" s="11" t="s">
        <v>8</v>
      </c>
      <c r="B484" s="12">
        <v>43831</v>
      </c>
      <c r="C484">
        <v>2500</v>
      </c>
      <c r="D484">
        <v>5</v>
      </c>
      <c r="E484">
        <v>0.03</v>
      </c>
      <c r="F484">
        <v>60</v>
      </c>
      <c r="G484" s="13">
        <v>45016</v>
      </c>
      <c r="H484">
        <v>483</v>
      </c>
      <c r="I484">
        <v>39</v>
      </c>
      <c r="J484">
        <v>2.5000000000000001E-3</v>
      </c>
      <c r="K484" s="14">
        <v>2268.0317936450319</v>
      </c>
      <c r="L484" s="14">
        <v>139130.89421701338</v>
      </c>
      <c r="M484" s="36">
        <f>IF(Output[[#This Row],[Index]]=1,Output[[#This Row],[Droit Utilisation]],P483)</f>
        <v>53449.887211651527</v>
      </c>
      <c r="N484" s="15">
        <f>Output[[#This Row],[Capital Debut Period]]*Output[[#This Row],[Tx_interet_M]]</f>
        <v>133.62471802912881</v>
      </c>
      <c r="O484" s="15">
        <f>Output[[#This Row],[Mensualité initial]]-Output[[#This Row],[Interet]]</f>
        <v>2366.3752819708711</v>
      </c>
      <c r="P484" s="15">
        <f>Output[[#This Row],[Capital Debut Period]]-Output[[#This Row],[Paiement Principal]]</f>
        <v>51083.511929680659</v>
      </c>
      <c r="Q484" s="15">
        <f>Output[[#This Row],[Droit Utilisation]]/Output[[#This Row],[Duree_Mois]]</f>
        <v>2318.8482369502231</v>
      </c>
    </row>
    <row r="485" spans="1:17" x14ac:dyDescent="0.25">
      <c r="A485" s="11" t="s">
        <v>8</v>
      </c>
      <c r="B485" s="12">
        <v>43831</v>
      </c>
      <c r="C485">
        <v>2500</v>
      </c>
      <c r="D485">
        <v>5</v>
      </c>
      <c r="E485">
        <v>0.03</v>
      </c>
      <c r="F485">
        <v>60</v>
      </c>
      <c r="G485" s="13">
        <v>45046</v>
      </c>
      <c r="H485">
        <v>484</v>
      </c>
      <c r="I485">
        <v>40</v>
      </c>
      <c r="J485">
        <v>2.5000000000000001E-3</v>
      </c>
      <c r="K485" s="14">
        <v>2262.3758540100071</v>
      </c>
      <c r="L485" s="14">
        <v>139130.89421701338</v>
      </c>
      <c r="M485" s="36">
        <f>IF(Output[[#This Row],[Index]]=1,Output[[#This Row],[Droit Utilisation]],P484)</f>
        <v>51083.511929680659</v>
      </c>
      <c r="N485" s="15">
        <f>Output[[#This Row],[Capital Debut Period]]*Output[[#This Row],[Tx_interet_M]]</f>
        <v>127.70877982420166</v>
      </c>
      <c r="O485" s="15">
        <f>Output[[#This Row],[Mensualité initial]]-Output[[#This Row],[Interet]]</f>
        <v>2372.2912201757981</v>
      </c>
      <c r="P485" s="15">
        <f>Output[[#This Row],[Capital Debut Period]]-Output[[#This Row],[Paiement Principal]]</f>
        <v>48711.220709504858</v>
      </c>
      <c r="Q485" s="15">
        <f>Output[[#This Row],[Droit Utilisation]]/Output[[#This Row],[Duree_Mois]]</f>
        <v>2318.8482369502231</v>
      </c>
    </row>
    <row r="486" spans="1:17" x14ac:dyDescent="0.25">
      <c r="A486" s="11" t="s">
        <v>8</v>
      </c>
      <c r="B486" s="12">
        <v>43831</v>
      </c>
      <c r="C486">
        <v>2500</v>
      </c>
      <c r="D486">
        <v>5</v>
      </c>
      <c r="E486">
        <v>0.03</v>
      </c>
      <c r="F486">
        <v>60</v>
      </c>
      <c r="G486" s="13">
        <v>45077</v>
      </c>
      <c r="H486">
        <v>485</v>
      </c>
      <c r="I486">
        <v>41</v>
      </c>
      <c r="J486">
        <v>2.5000000000000001E-3</v>
      </c>
      <c r="K486" s="14">
        <v>2256.7340189626007</v>
      </c>
      <c r="L486" s="14">
        <v>139130.89421701338</v>
      </c>
      <c r="M486" s="36">
        <f>IF(Output[[#This Row],[Index]]=1,Output[[#This Row],[Droit Utilisation]],P485)</f>
        <v>48711.220709504858</v>
      </c>
      <c r="N486" s="15">
        <f>Output[[#This Row],[Capital Debut Period]]*Output[[#This Row],[Tx_interet_M]]</f>
        <v>121.77805177376214</v>
      </c>
      <c r="O486" s="15">
        <f>Output[[#This Row],[Mensualité initial]]-Output[[#This Row],[Interet]]</f>
        <v>2378.2219482262381</v>
      </c>
      <c r="P486" s="15">
        <f>Output[[#This Row],[Capital Debut Period]]-Output[[#This Row],[Paiement Principal]]</f>
        <v>46332.998761278621</v>
      </c>
      <c r="Q486" s="15">
        <f>Output[[#This Row],[Droit Utilisation]]/Output[[#This Row],[Duree_Mois]]</f>
        <v>2318.8482369502231</v>
      </c>
    </row>
    <row r="487" spans="1:17" x14ac:dyDescent="0.25">
      <c r="A487" s="11" t="s">
        <v>8</v>
      </c>
      <c r="B487" s="12">
        <v>43831</v>
      </c>
      <c r="C487">
        <v>2500</v>
      </c>
      <c r="D487">
        <v>5</v>
      </c>
      <c r="E487">
        <v>0.03</v>
      </c>
      <c r="F487">
        <v>60</v>
      </c>
      <c r="G487" s="13">
        <v>45107</v>
      </c>
      <c r="H487">
        <v>486</v>
      </c>
      <c r="I487">
        <v>42</v>
      </c>
      <c r="J487">
        <v>2.5000000000000001E-3</v>
      </c>
      <c r="K487" s="14">
        <v>2251.1062533292779</v>
      </c>
      <c r="L487" s="14">
        <v>139130.89421701338</v>
      </c>
      <c r="M487" s="36">
        <f>IF(Output[[#This Row],[Index]]=1,Output[[#This Row],[Droit Utilisation]],P486)</f>
        <v>46332.998761278621</v>
      </c>
      <c r="N487" s="15">
        <f>Output[[#This Row],[Capital Debut Period]]*Output[[#This Row],[Tx_interet_M]]</f>
        <v>115.83249690319656</v>
      </c>
      <c r="O487" s="15">
        <f>Output[[#This Row],[Mensualité initial]]-Output[[#This Row],[Interet]]</f>
        <v>2384.1675030968036</v>
      </c>
      <c r="P487" s="15">
        <f>Output[[#This Row],[Capital Debut Period]]-Output[[#This Row],[Paiement Principal]]</f>
        <v>43948.831258181817</v>
      </c>
      <c r="Q487" s="15">
        <f>Output[[#This Row],[Droit Utilisation]]/Output[[#This Row],[Duree_Mois]]</f>
        <v>2318.8482369502231</v>
      </c>
    </row>
    <row r="488" spans="1:17" x14ac:dyDescent="0.25">
      <c r="A488" s="11" t="s">
        <v>8</v>
      </c>
      <c r="B488" s="12">
        <v>43831</v>
      </c>
      <c r="C488">
        <v>2500</v>
      </c>
      <c r="D488">
        <v>5</v>
      </c>
      <c r="E488">
        <v>0.03</v>
      </c>
      <c r="F488">
        <v>60</v>
      </c>
      <c r="G488" s="13">
        <v>45138</v>
      </c>
      <c r="H488">
        <v>487</v>
      </c>
      <c r="I488">
        <v>43</v>
      </c>
      <c r="J488">
        <v>2.5000000000000001E-3</v>
      </c>
      <c r="K488" s="14">
        <v>2245.4925220242171</v>
      </c>
      <c r="L488" s="14">
        <v>139130.89421701338</v>
      </c>
      <c r="M488" s="36">
        <f>IF(Output[[#This Row],[Index]]=1,Output[[#This Row],[Droit Utilisation]],P487)</f>
        <v>43948.831258181817</v>
      </c>
      <c r="N488" s="15">
        <f>Output[[#This Row],[Capital Debut Period]]*Output[[#This Row],[Tx_interet_M]]</f>
        <v>109.87207814545455</v>
      </c>
      <c r="O488" s="15">
        <f>Output[[#This Row],[Mensualité initial]]-Output[[#This Row],[Interet]]</f>
        <v>2390.1279218545455</v>
      </c>
      <c r="P488" s="15">
        <f>Output[[#This Row],[Capital Debut Period]]-Output[[#This Row],[Paiement Principal]]</f>
        <v>41558.703336327271</v>
      </c>
      <c r="Q488" s="15">
        <f>Output[[#This Row],[Droit Utilisation]]/Output[[#This Row],[Duree_Mois]]</f>
        <v>2318.8482369502231</v>
      </c>
    </row>
    <row r="489" spans="1:17" x14ac:dyDescent="0.25">
      <c r="A489" s="11" t="s">
        <v>8</v>
      </c>
      <c r="B489" s="12">
        <v>43831</v>
      </c>
      <c r="C489">
        <v>2500</v>
      </c>
      <c r="D489">
        <v>5</v>
      </c>
      <c r="E489">
        <v>0.03</v>
      </c>
      <c r="F489">
        <v>60</v>
      </c>
      <c r="G489" s="13">
        <v>45169</v>
      </c>
      <c r="H489">
        <v>488</v>
      </c>
      <c r="I489">
        <v>44</v>
      </c>
      <c r="J489">
        <v>2.5000000000000001E-3</v>
      </c>
      <c r="K489" s="14">
        <v>2239.8927900490949</v>
      </c>
      <c r="L489" s="14">
        <v>139130.89421701338</v>
      </c>
      <c r="M489" s="36">
        <f>IF(Output[[#This Row],[Index]]=1,Output[[#This Row],[Droit Utilisation]],P488)</f>
        <v>41558.703336327271</v>
      </c>
      <c r="N489" s="15">
        <f>Output[[#This Row],[Capital Debut Period]]*Output[[#This Row],[Tx_interet_M]]</f>
        <v>103.89675834081818</v>
      </c>
      <c r="O489" s="15">
        <f>Output[[#This Row],[Mensualité initial]]-Output[[#This Row],[Interet]]</f>
        <v>2396.103241659182</v>
      </c>
      <c r="P489" s="15">
        <f>Output[[#This Row],[Capital Debut Period]]-Output[[#This Row],[Paiement Principal]]</f>
        <v>39162.600094668087</v>
      </c>
      <c r="Q489" s="15">
        <f>Output[[#This Row],[Droit Utilisation]]/Output[[#This Row],[Duree_Mois]]</f>
        <v>2318.8482369502231</v>
      </c>
    </row>
    <row r="490" spans="1:17" x14ac:dyDescent="0.25">
      <c r="A490" s="11" t="s">
        <v>8</v>
      </c>
      <c r="B490" s="12">
        <v>43831</v>
      </c>
      <c r="C490">
        <v>2500</v>
      </c>
      <c r="D490">
        <v>5</v>
      </c>
      <c r="E490">
        <v>0.03</v>
      </c>
      <c r="F490">
        <v>60</v>
      </c>
      <c r="G490" s="13">
        <v>45199</v>
      </c>
      <c r="H490">
        <v>489</v>
      </c>
      <c r="I490">
        <v>45</v>
      </c>
      <c r="J490">
        <v>2.5000000000000001E-3</v>
      </c>
      <c r="K490" s="14">
        <v>2234.3070224928629</v>
      </c>
      <c r="L490" s="14">
        <v>139130.89421701338</v>
      </c>
      <c r="M490" s="36">
        <f>IF(Output[[#This Row],[Index]]=1,Output[[#This Row],[Droit Utilisation]],P489)</f>
        <v>39162.600094668087</v>
      </c>
      <c r="N490" s="15">
        <f>Output[[#This Row],[Capital Debut Period]]*Output[[#This Row],[Tx_interet_M]]</f>
        <v>97.906500236670226</v>
      </c>
      <c r="O490" s="15">
        <f>Output[[#This Row],[Mensualité initial]]-Output[[#This Row],[Interet]]</f>
        <v>2402.0934997633299</v>
      </c>
      <c r="P490" s="15">
        <f>Output[[#This Row],[Capital Debut Period]]-Output[[#This Row],[Paiement Principal]]</f>
        <v>36760.506594904757</v>
      </c>
      <c r="Q490" s="15">
        <f>Output[[#This Row],[Droit Utilisation]]/Output[[#This Row],[Duree_Mois]]</f>
        <v>2318.8482369502231</v>
      </c>
    </row>
    <row r="491" spans="1:17" x14ac:dyDescent="0.25">
      <c r="A491" s="11" t="s">
        <v>8</v>
      </c>
      <c r="B491" s="12">
        <v>43831</v>
      </c>
      <c r="C491">
        <v>2500</v>
      </c>
      <c r="D491">
        <v>5</v>
      </c>
      <c r="E491">
        <v>0.03</v>
      </c>
      <c r="F491">
        <v>60</v>
      </c>
      <c r="G491" s="13">
        <v>45230</v>
      </c>
      <c r="H491">
        <v>490</v>
      </c>
      <c r="I491">
        <v>46</v>
      </c>
      <c r="J491">
        <v>2.5000000000000001E-3</v>
      </c>
      <c r="K491" s="14">
        <v>2228.7351845315338</v>
      </c>
      <c r="L491" s="14">
        <v>139130.89421701338</v>
      </c>
      <c r="M491" s="36">
        <f>IF(Output[[#This Row],[Index]]=1,Output[[#This Row],[Droit Utilisation]],P490)</f>
        <v>36760.506594904757</v>
      </c>
      <c r="N491" s="15">
        <f>Output[[#This Row],[Capital Debut Period]]*Output[[#This Row],[Tx_interet_M]]</f>
        <v>91.901266487261893</v>
      </c>
      <c r="O491" s="15">
        <f>Output[[#This Row],[Mensualité initial]]-Output[[#This Row],[Interet]]</f>
        <v>2408.0987335127379</v>
      </c>
      <c r="P491" s="15">
        <f>Output[[#This Row],[Capital Debut Period]]-Output[[#This Row],[Paiement Principal]]</f>
        <v>34352.407861392021</v>
      </c>
      <c r="Q491" s="15">
        <f>Output[[#This Row],[Droit Utilisation]]/Output[[#This Row],[Duree_Mois]]</f>
        <v>2318.8482369502231</v>
      </c>
    </row>
    <row r="492" spans="1:17" x14ac:dyDescent="0.25">
      <c r="A492" s="11" t="s">
        <v>8</v>
      </c>
      <c r="B492" s="12">
        <v>43831</v>
      </c>
      <c r="C492">
        <v>2500</v>
      </c>
      <c r="D492">
        <v>5</v>
      </c>
      <c r="E492">
        <v>0.03</v>
      </c>
      <c r="F492">
        <v>60</v>
      </c>
      <c r="G492" s="13">
        <v>45260</v>
      </c>
      <c r="H492">
        <v>491</v>
      </c>
      <c r="I492">
        <v>47</v>
      </c>
      <c r="J492">
        <v>2.5000000000000001E-3</v>
      </c>
      <c r="K492" s="14">
        <v>2223.177241427964</v>
      </c>
      <c r="L492" s="14">
        <v>139130.89421701338</v>
      </c>
      <c r="M492" s="36">
        <f>IF(Output[[#This Row],[Index]]=1,Output[[#This Row],[Droit Utilisation]],P491)</f>
        <v>34352.407861392021</v>
      </c>
      <c r="N492" s="15">
        <f>Output[[#This Row],[Capital Debut Period]]*Output[[#This Row],[Tx_interet_M]]</f>
        <v>85.881019653480053</v>
      </c>
      <c r="O492" s="15">
        <f>Output[[#This Row],[Mensualité initial]]-Output[[#This Row],[Interet]]</f>
        <v>2414.1189803465199</v>
      </c>
      <c r="P492" s="15">
        <f>Output[[#This Row],[Capital Debut Period]]-Output[[#This Row],[Paiement Principal]]</f>
        <v>31938.288881045501</v>
      </c>
      <c r="Q492" s="15">
        <f>Output[[#This Row],[Droit Utilisation]]/Output[[#This Row],[Duree_Mois]]</f>
        <v>2318.8482369502231</v>
      </c>
    </row>
    <row r="493" spans="1:17" x14ac:dyDescent="0.25">
      <c r="A493" s="11" t="s">
        <v>8</v>
      </c>
      <c r="B493" s="12">
        <v>43831</v>
      </c>
      <c r="C493">
        <v>2500</v>
      </c>
      <c r="D493">
        <v>5</v>
      </c>
      <c r="E493">
        <v>0.03</v>
      </c>
      <c r="F493">
        <v>60</v>
      </c>
      <c r="G493" s="13">
        <v>45291</v>
      </c>
      <c r="H493">
        <v>492</v>
      </c>
      <c r="I493">
        <v>48</v>
      </c>
      <c r="J493">
        <v>2.5000000000000001E-3</v>
      </c>
      <c r="K493" s="14">
        <v>2217.6331585316352</v>
      </c>
      <c r="L493" s="14">
        <v>139130.89421701338</v>
      </c>
      <c r="M493" s="36">
        <f>IF(Output[[#This Row],[Index]]=1,Output[[#This Row],[Droit Utilisation]],P492)</f>
        <v>31938.288881045501</v>
      </c>
      <c r="N493" s="15">
        <f>Output[[#This Row],[Capital Debut Period]]*Output[[#This Row],[Tx_interet_M]]</f>
        <v>79.845722202613757</v>
      </c>
      <c r="O493" s="15">
        <f>Output[[#This Row],[Mensualité initial]]-Output[[#This Row],[Interet]]</f>
        <v>2420.1542777973864</v>
      </c>
      <c r="P493" s="15">
        <f>Output[[#This Row],[Capital Debut Period]]-Output[[#This Row],[Paiement Principal]]</f>
        <v>29518.134603248116</v>
      </c>
      <c r="Q493" s="15">
        <f>Output[[#This Row],[Droit Utilisation]]/Output[[#This Row],[Duree_Mois]]</f>
        <v>2318.8482369502231</v>
      </c>
    </row>
    <row r="494" spans="1:17" x14ac:dyDescent="0.25">
      <c r="A494" s="11" t="s">
        <v>8</v>
      </c>
      <c r="B494" s="12">
        <v>43831</v>
      </c>
      <c r="C494">
        <v>2500</v>
      </c>
      <c r="D494">
        <v>5</v>
      </c>
      <c r="E494">
        <v>0.03</v>
      </c>
      <c r="F494">
        <v>60</v>
      </c>
      <c r="G494" s="13">
        <v>45322</v>
      </c>
      <c r="H494">
        <v>493</v>
      </c>
      <c r="I494">
        <v>49</v>
      </c>
      <c r="J494">
        <v>2.5000000000000001E-3</v>
      </c>
      <c r="K494" s="14">
        <v>2212.1029012784393</v>
      </c>
      <c r="L494" s="14">
        <v>139130.89421701338</v>
      </c>
      <c r="M494" s="36">
        <f>IF(Output[[#This Row],[Index]]=1,Output[[#This Row],[Droit Utilisation]],P493)</f>
        <v>29518.134603248116</v>
      </c>
      <c r="N494" s="15">
        <f>Output[[#This Row],[Capital Debut Period]]*Output[[#This Row],[Tx_interet_M]]</f>
        <v>73.795336508120286</v>
      </c>
      <c r="O494" s="15">
        <f>Output[[#This Row],[Mensualité initial]]-Output[[#This Row],[Interet]]</f>
        <v>2426.2046634918797</v>
      </c>
      <c r="P494" s="15">
        <f>Output[[#This Row],[Capital Debut Period]]-Output[[#This Row],[Paiement Principal]]</f>
        <v>27091.929939756235</v>
      </c>
      <c r="Q494" s="15">
        <f>Output[[#This Row],[Droit Utilisation]]/Output[[#This Row],[Duree_Mois]]</f>
        <v>2318.8482369502231</v>
      </c>
    </row>
    <row r="495" spans="1:17" x14ac:dyDescent="0.25">
      <c r="A495" s="11" t="s">
        <v>8</v>
      </c>
      <c r="B495" s="12">
        <v>43831</v>
      </c>
      <c r="C495">
        <v>2500</v>
      </c>
      <c r="D495">
        <v>5</v>
      </c>
      <c r="E495">
        <v>0.03</v>
      </c>
      <c r="F495">
        <v>60</v>
      </c>
      <c r="G495" s="13">
        <v>45351</v>
      </c>
      <c r="H495">
        <v>494</v>
      </c>
      <c r="I495">
        <v>50</v>
      </c>
      <c r="J495">
        <v>2.5000000000000001E-3</v>
      </c>
      <c r="K495" s="14">
        <v>2206.5864351904634</v>
      </c>
      <c r="L495" s="14">
        <v>139130.89421701338</v>
      </c>
      <c r="M495" s="36">
        <f>IF(Output[[#This Row],[Index]]=1,Output[[#This Row],[Droit Utilisation]],P494)</f>
        <v>27091.929939756235</v>
      </c>
      <c r="N495" s="15">
        <f>Output[[#This Row],[Capital Debut Period]]*Output[[#This Row],[Tx_interet_M]]</f>
        <v>67.729824849390596</v>
      </c>
      <c r="O495" s="15">
        <f>Output[[#This Row],[Mensualité initial]]-Output[[#This Row],[Interet]]</f>
        <v>2432.2701751506092</v>
      </c>
      <c r="P495" s="15">
        <f>Output[[#This Row],[Capital Debut Period]]-Output[[#This Row],[Paiement Principal]]</f>
        <v>24659.659764605625</v>
      </c>
      <c r="Q495" s="15">
        <f>Output[[#This Row],[Droit Utilisation]]/Output[[#This Row],[Duree_Mois]]</f>
        <v>2318.8482369502231</v>
      </c>
    </row>
    <row r="496" spans="1:17" x14ac:dyDescent="0.25">
      <c r="A496" s="11" t="s">
        <v>8</v>
      </c>
      <c r="B496" s="12">
        <v>43831</v>
      </c>
      <c r="C496">
        <v>2500</v>
      </c>
      <c r="D496">
        <v>5</v>
      </c>
      <c r="E496">
        <v>0.03</v>
      </c>
      <c r="F496">
        <v>60</v>
      </c>
      <c r="G496" s="13">
        <v>45382</v>
      </c>
      <c r="H496">
        <v>495</v>
      </c>
      <c r="I496">
        <v>51</v>
      </c>
      <c r="J496">
        <v>2.5000000000000001E-3</v>
      </c>
      <c r="K496" s="14">
        <v>2201.0837258757738</v>
      </c>
      <c r="L496" s="14">
        <v>139130.89421701338</v>
      </c>
      <c r="M496" s="36">
        <f>IF(Output[[#This Row],[Index]]=1,Output[[#This Row],[Droit Utilisation]],P495)</f>
        <v>24659.659764605625</v>
      </c>
      <c r="N496" s="15">
        <f>Output[[#This Row],[Capital Debut Period]]*Output[[#This Row],[Tx_interet_M]]</f>
        <v>61.649149411514067</v>
      </c>
      <c r="O496" s="15">
        <f>Output[[#This Row],[Mensualité initial]]-Output[[#This Row],[Interet]]</f>
        <v>2438.3508505884861</v>
      </c>
      <c r="P496" s="15">
        <f>Output[[#This Row],[Capital Debut Period]]-Output[[#This Row],[Paiement Principal]]</f>
        <v>22221.30891401714</v>
      </c>
      <c r="Q496" s="15">
        <f>Output[[#This Row],[Droit Utilisation]]/Output[[#This Row],[Duree_Mois]]</f>
        <v>2318.8482369502231</v>
      </c>
    </row>
    <row r="497" spans="1:17" x14ac:dyDescent="0.25">
      <c r="A497" s="11" t="s">
        <v>8</v>
      </c>
      <c r="B497" s="12">
        <v>43831</v>
      </c>
      <c r="C497">
        <v>2500</v>
      </c>
      <c r="D497">
        <v>5</v>
      </c>
      <c r="E497">
        <v>0.03</v>
      </c>
      <c r="F497">
        <v>60</v>
      </c>
      <c r="G497" s="13">
        <v>45412</v>
      </c>
      <c r="H497">
        <v>496</v>
      </c>
      <c r="I497">
        <v>52</v>
      </c>
      <c r="J497">
        <v>2.5000000000000001E-3</v>
      </c>
      <c r="K497" s="14">
        <v>2195.5947390282031</v>
      </c>
      <c r="L497" s="14">
        <v>139130.89421701338</v>
      </c>
      <c r="M497" s="36">
        <f>IF(Output[[#This Row],[Index]]=1,Output[[#This Row],[Droit Utilisation]],P496)</f>
        <v>22221.30891401714</v>
      </c>
      <c r="N497" s="15">
        <f>Output[[#This Row],[Capital Debut Period]]*Output[[#This Row],[Tx_interet_M]]</f>
        <v>55.553272285042851</v>
      </c>
      <c r="O497" s="15">
        <f>Output[[#This Row],[Mensualité initial]]-Output[[#This Row],[Interet]]</f>
        <v>2444.446727714957</v>
      </c>
      <c r="P497" s="15">
        <f>Output[[#This Row],[Capital Debut Period]]-Output[[#This Row],[Paiement Principal]]</f>
        <v>19776.862186302184</v>
      </c>
      <c r="Q497" s="15">
        <f>Output[[#This Row],[Droit Utilisation]]/Output[[#This Row],[Duree_Mois]]</f>
        <v>2318.8482369502231</v>
      </c>
    </row>
    <row r="498" spans="1:17" x14ac:dyDescent="0.25">
      <c r="A498" s="11" t="s">
        <v>8</v>
      </c>
      <c r="B498" s="12">
        <v>43831</v>
      </c>
      <c r="C498">
        <v>2500</v>
      </c>
      <c r="D498">
        <v>5</v>
      </c>
      <c r="E498">
        <v>0.03</v>
      </c>
      <c r="F498">
        <v>60</v>
      </c>
      <c r="G498" s="13">
        <v>45443</v>
      </c>
      <c r="H498">
        <v>497</v>
      </c>
      <c r="I498">
        <v>53</v>
      </c>
      <c r="J498">
        <v>2.5000000000000001E-3</v>
      </c>
      <c r="K498" s="14">
        <v>2190.1194404271355</v>
      </c>
      <c r="L498" s="14">
        <v>139130.89421701338</v>
      </c>
      <c r="M498" s="36">
        <f>IF(Output[[#This Row],[Index]]=1,Output[[#This Row],[Droit Utilisation]],P497)</f>
        <v>19776.862186302184</v>
      </c>
      <c r="N498" s="15">
        <f>Output[[#This Row],[Capital Debut Period]]*Output[[#This Row],[Tx_interet_M]]</f>
        <v>49.442155465755462</v>
      </c>
      <c r="O498" s="15">
        <f>Output[[#This Row],[Mensualité initial]]-Output[[#This Row],[Interet]]</f>
        <v>2450.5578445342444</v>
      </c>
      <c r="P498" s="15">
        <f>Output[[#This Row],[Capital Debut Period]]-Output[[#This Row],[Paiement Principal]]</f>
        <v>17326.30434176794</v>
      </c>
      <c r="Q498" s="15">
        <f>Output[[#This Row],[Droit Utilisation]]/Output[[#This Row],[Duree_Mois]]</f>
        <v>2318.8482369502231</v>
      </c>
    </row>
    <row r="499" spans="1:17" x14ac:dyDescent="0.25">
      <c r="A499" s="11" t="s">
        <v>8</v>
      </c>
      <c r="B499" s="12">
        <v>43831</v>
      </c>
      <c r="C499">
        <v>2500</v>
      </c>
      <c r="D499">
        <v>5</v>
      </c>
      <c r="E499">
        <v>0.03</v>
      </c>
      <c r="F499">
        <v>60</v>
      </c>
      <c r="G499" s="13">
        <v>45473</v>
      </c>
      <c r="H499">
        <v>498</v>
      </c>
      <c r="I499">
        <v>54</v>
      </c>
      <c r="J499">
        <v>2.5000000000000001E-3</v>
      </c>
      <c r="K499" s="14">
        <v>2184.6577959372926</v>
      </c>
      <c r="L499" s="14">
        <v>139130.89421701338</v>
      </c>
      <c r="M499" s="36">
        <f>IF(Output[[#This Row],[Index]]=1,Output[[#This Row],[Droit Utilisation]],P498)</f>
        <v>17326.30434176794</v>
      </c>
      <c r="N499" s="15">
        <f>Output[[#This Row],[Capital Debut Period]]*Output[[#This Row],[Tx_interet_M]]</f>
        <v>43.31576085441985</v>
      </c>
      <c r="O499" s="15">
        <f>Output[[#This Row],[Mensualité initial]]-Output[[#This Row],[Interet]]</f>
        <v>2456.6842391455802</v>
      </c>
      <c r="P499" s="15">
        <f>Output[[#This Row],[Capital Debut Period]]-Output[[#This Row],[Paiement Principal]]</f>
        <v>14869.620102622361</v>
      </c>
      <c r="Q499" s="15">
        <f>Output[[#This Row],[Droit Utilisation]]/Output[[#This Row],[Duree_Mois]]</f>
        <v>2318.8482369502231</v>
      </c>
    </row>
    <row r="500" spans="1:17" x14ac:dyDescent="0.25">
      <c r="A500" s="11" t="s">
        <v>8</v>
      </c>
      <c r="B500" s="12">
        <v>43831</v>
      </c>
      <c r="C500">
        <v>2500</v>
      </c>
      <c r="D500">
        <v>5</v>
      </c>
      <c r="E500">
        <v>0.03</v>
      </c>
      <c r="F500">
        <v>60</v>
      </c>
      <c r="G500" s="13">
        <v>45504</v>
      </c>
      <c r="H500">
        <v>499</v>
      </c>
      <c r="I500">
        <v>55</v>
      </c>
      <c r="J500">
        <v>2.5000000000000001E-3</v>
      </c>
      <c r="K500" s="14">
        <v>2179.209771508521</v>
      </c>
      <c r="L500" s="14">
        <v>139130.89421701338</v>
      </c>
      <c r="M500" s="36">
        <f>IF(Output[[#This Row],[Index]]=1,Output[[#This Row],[Droit Utilisation]],P499)</f>
        <v>14869.620102622361</v>
      </c>
      <c r="N500" s="15">
        <f>Output[[#This Row],[Capital Debut Period]]*Output[[#This Row],[Tx_interet_M]]</f>
        <v>37.174050256555901</v>
      </c>
      <c r="O500" s="15">
        <f>Output[[#This Row],[Mensualité initial]]-Output[[#This Row],[Interet]]</f>
        <v>2462.8259497434442</v>
      </c>
      <c r="P500" s="15">
        <f>Output[[#This Row],[Capital Debut Period]]-Output[[#This Row],[Paiement Principal]]</f>
        <v>12406.794152878916</v>
      </c>
      <c r="Q500" s="15">
        <f>Output[[#This Row],[Droit Utilisation]]/Output[[#This Row],[Duree_Mois]]</f>
        <v>2318.8482369502231</v>
      </c>
    </row>
    <row r="501" spans="1:17" x14ac:dyDescent="0.25">
      <c r="A501" s="11" t="s">
        <v>8</v>
      </c>
      <c r="B501" s="12">
        <v>43831</v>
      </c>
      <c r="C501">
        <v>2500</v>
      </c>
      <c r="D501">
        <v>5</v>
      </c>
      <c r="E501">
        <v>0.03</v>
      </c>
      <c r="F501">
        <v>60</v>
      </c>
      <c r="G501" s="13">
        <v>45535</v>
      </c>
      <c r="H501">
        <v>500</v>
      </c>
      <c r="I501">
        <v>56</v>
      </c>
      <c r="J501">
        <v>2.5000000000000001E-3</v>
      </c>
      <c r="K501" s="14">
        <v>2173.7753331755825</v>
      </c>
      <c r="L501" s="14">
        <v>139130.89421701338</v>
      </c>
      <c r="M501" s="36">
        <f>IF(Output[[#This Row],[Index]]=1,Output[[#This Row],[Droit Utilisation]],P500)</f>
        <v>12406.794152878916</v>
      </c>
      <c r="N501" s="15">
        <f>Output[[#This Row],[Capital Debut Period]]*Output[[#This Row],[Tx_interet_M]]</f>
        <v>31.016985382197291</v>
      </c>
      <c r="O501" s="15">
        <f>Output[[#This Row],[Mensualité initial]]-Output[[#This Row],[Interet]]</f>
        <v>2468.9830146178028</v>
      </c>
      <c r="P501" s="15">
        <f>Output[[#This Row],[Capital Debut Period]]-Output[[#This Row],[Paiement Principal]]</f>
        <v>9937.8111382611132</v>
      </c>
      <c r="Q501" s="15">
        <f>Output[[#This Row],[Droit Utilisation]]/Output[[#This Row],[Duree_Mois]]</f>
        <v>2318.8482369502231</v>
      </c>
    </row>
    <row r="502" spans="1:17" x14ac:dyDescent="0.25">
      <c r="A502" s="11" t="s">
        <v>8</v>
      </c>
      <c r="B502" s="12">
        <v>43831</v>
      </c>
      <c r="C502">
        <v>2500</v>
      </c>
      <c r="D502">
        <v>5</v>
      </c>
      <c r="E502">
        <v>0.03</v>
      </c>
      <c r="F502">
        <v>60</v>
      </c>
      <c r="G502" s="13">
        <v>45565</v>
      </c>
      <c r="H502">
        <v>501</v>
      </c>
      <c r="I502">
        <v>57</v>
      </c>
      <c r="J502">
        <v>2.5000000000000001E-3</v>
      </c>
      <c r="K502" s="14">
        <v>2168.3544470579377</v>
      </c>
      <c r="L502" s="14">
        <v>139130.89421701338</v>
      </c>
      <c r="M502" s="36">
        <f>IF(Output[[#This Row],[Index]]=1,Output[[#This Row],[Droit Utilisation]],P501)</f>
        <v>9937.8111382611132</v>
      </c>
      <c r="N502" s="15">
        <f>Output[[#This Row],[Capital Debut Period]]*Output[[#This Row],[Tx_interet_M]]</f>
        <v>24.844527845652784</v>
      </c>
      <c r="O502" s="15">
        <f>Output[[#This Row],[Mensualité initial]]-Output[[#This Row],[Interet]]</f>
        <v>2475.1554721543471</v>
      </c>
      <c r="P502" s="15">
        <f>Output[[#This Row],[Capital Debut Period]]-Output[[#This Row],[Paiement Principal]]</f>
        <v>7462.6556661067661</v>
      </c>
      <c r="Q502" s="15">
        <f>Output[[#This Row],[Droit Utilisation]]/Output[[#This Row],[Duree_Mois]]</f>
        <v>2318.8482369502231</v>
      </c>
    </row>
    <row r="503" spans="1:17" x14ac:dyDescent="0.25">
      <c r="A503" s="11" t="s">
        <v>8</v>
      </c>
      <c r="B503" s="12">
        <v>43831</v>
      </c>
      <c r="C503">
        <v>2500</v>
      </c>
      <c r="D503">
        <v>5</v>
      </c>
      <c r="E503">
        <v>0.03</v>
      </c>
      <c r="F503">
        <v>60</v>
      </c>
      <c r="G503" s="13">
        <v>45596</v>
      </c>
      <c r="H503">
        <v>502</v>
      </c>
      <c r="I503">
        <v>58</v>
      </c>
      <c r="J503">
        <v>2.5000000000000001E-3</v>
      </c>
      <c r="K503" s="14">
        <v>2162.9470793595392</v>
      </c>
      <c r="L503" s="14">
        <v>139130.89421701338</v>
      </c>
      <c r="M503" s="36">
        <f>IF(Output[[#This Row],[Index]]=1,Output[[#This Row],[Droit Utilisation]],P502)</f>
        <v>7462.6556661067661</v>
      </c>
      <c r="N503" s="15">
        <f>Output[[#This Row],[Capital Debut Period]]*Output[[#This Row],[Tx_interet_M]]</f>
        <v>18.656639165266917</v>
      </c>
      <c r="O503" s="15">
        <f>Output[[#This Row],[Mensualité initial]]-Output[[#This Row],[Interet]]</f>
        <v>2481.3433608347332</v>
      </c>
      <c r="P503" s="15">
        <f>Output[[#This Row],[Capital Debut Period]]-Output[[#This Row],[Paiement Principal]]</f>
        <v>4981.312305272033</v>
      </c>
      <c r="Q503" s="15">
        <f>Output[[#This Row],[Droit Utilisation]]/Output[[#This Row],[Duree_Mois]]</f>
        <v>2318.8482369502231</v>
      </c>
    </row>
    <row r="504" spans="1:17" x14ac:dyDescent="0.25">
      <c r="A504" s="11" t="s">
        <v>8</v>
      </c>
      <c r="B504" s="12">
        <v>43831</v>
      </c>
      <c r="C504">
        <v>2500</v>
      </c>
      <c r="D504">
        <v>5</v>
      </c>
      <c r="E504">
        <v>0.03</v>
      </c>
      <c r="F504">
        <v>60</v>
      </c>
      <c r="G504" s="13">
        <v>45626</v>
      </c>
      <c r="H504">
        <v>503</v>
      </c>
      <c r="I504">
        <v>59</v>
      </c>
      <c r="J504">
        <v>2.5000000000000001E-3</v>
      </c>
      <c r="K504" s="14">
        <v>2157.5531963686176</v>
      </c>
      <c r="L504" s="14">
        <v>139130.89421701338</v>
      </c>
      <c r="M504" s="36">
        <f>IF(Output[[#This Row],[Index]]=1,Output[[#This Row],[Droit Utilisation]],P503)</f>
        <v>4981.312305272033</v>
      </c>
      <c r="N504" s="15">
        <f>Output[[#This Row],[Capital Debut Period]]*Output[[#This Row],[Tx_interet_M]]</f>
        <v>12.453280763180082</v>
      </c>
      <c r="O504" s="15">
        <f>Output[[#This Row],[Mensualité initial]]-Output[[#This Row],[Interet]]</f>
        <v>2487.5467192368201</v>
      </c>
      <c r="P504" s="15">
        <f>Output[[#This Row],[Capital Debut Period]]-Output[[#This Row],[Paiement Principal]]</f>
        <v>2493.7655860352129</v>
      </c>
      <c r="Q504" s="15">
        <f>Output[[#This Row],[Droit Utilisation]]/Output[[#This Row],[Duree_Mois]]</f>
        <v>2318.8482369502231</v>
      </c>
    </row>
    <row r="505" spans="1:17" x14ac:dyDescent="0.25">
      <c r="A505" s="11" t="s">
        <v>8</v>
      </c>
      <c r="B505" s="12">
        <v>43831</v>
      </c>
      <c r="C505">
        <v>2500</v>
      </c>
      <c r="D505">
        <v>5</v>
      </c>
      <c r="E505">
        <v>0.03</v>
      </c>
      <c r="F505">
        <v>60</v>
      </c>
      <c r="G505" s="13">
        <v>45657</v>
      </c>
      <c r="H505">
        <v>504</v>
      </c>
      <c r="I505">
        <v>60</v>
      </c>
      <c r="J505">
        <v>2.5000000000000001E-3</v>
      </c>
      <c r="K505" s="14">
        <v>2152.1727644574739</v>
      </c>
      <c r="L505" s="14">
        <v>139130.89421701338</v>
      </c>
      <c r="M505" s="36">
        <f>IF(Output[[#This Row],[Index]]=1,Output[[#This Row],[Droit Utilisation]],P504)</f>
        <v>2493.7655860352129</v>
      </c>
      <c r="N505" s="15">
        <f>Output[[#This Row],[Capital Debut Period]]*Output[[#This Row],[Tx_interet_M]]</f>
        <v>6.2344139650880326</v>
      </c>
      <c r="O505" s="15">
        <f>Output[[#This Row],[Mensualité initial]]-Output[[#This Row],[Interet]]</f>
        <v>2493.7655860349118</v>
      </c>
      <c r="P505" s="15">
        <f>Output[[#This Row],[Capital Debut Period]]-Output[[#This Row],[Paiement Principal]]</f>
        <v>3.0104274628683925E-10</v>
      </c>
      <c r="Q505" s="15">
        <f>Output[[#This Row],[Droit Utilisation]]/Output[[#This Row],[Duree_Mois]]</f>
        <v>2318.8482369502231</v>
      </c>
    </row>
    <row r="506" spans="1:17" x14ac:dyDescent="0.25">
      <c r="A506" s="11" t="s">
        <v>9</v>
      </c>
      <c r="B506" s="12">
        <v>43831</v>
      </c>
      <c r="C506">
        <v>6000</v>
      </c>
      <c r="D506">
        <v>5</v>
      </c>
      <c r="E506">
        <v>0.03</v>
      </c>
      <c r="F506">
        <v>60</v>
      </c>
      <c r="G506" s="13">
        <v>43861</v>
      </c>
      <c r="H506">
        <v>505</v>
      </c>
      <c r="I506">
        <v>1</v>
      </c>
      <c r="J506">
        <v>2.5000000000000001E-3</v>
      </c>
      <c r="K506" s="14">
        <v>5985.0374064837906</v>
      </c>
      <c r="L506" s="14">
        <v>333914.14612083195</v>
      </c>
      <c r="M506" s="36">
        <f>IF(Output[[#This Row],[Index]]=1,Output[[#This Row],[Droit Utilisation]],P505)</f>
        <v>333914.14612083195</v>
      </c>
      <c r="N506" s="15">
        <f>Output[[#This Row],[Capital Debut Period]]*Output[[#This Row],[Tx_interet_M]]</f>
        <v>834.78536530207987</v>
      </c>
      <c r="O506" s="15">
        <f>Output[[#This Row],[Mensualité initial]]-Output[[#This Row],[Interet]]</f>
        <v>5165.2146346979198</v>
      </c>
      <c r="P506" s="15">
        <f>Output[[#This Row],[Capital Debut Period]]-Output[[#This Row],[Paiement Principal]]</f>
        <v>328748.93148613401</v>
      </c>
      <c r="Q506" s="15">
        <f>Output[[#This Row],[Droit Utilisation]]/Output[[#This Row],[Duree_Mois]]</f>
        <v>5565.2357686805326</v>
      </c>
    </row>
    <row r="507" spans="1:17" x14ac:dyDescent="0.25">
      <c r="A507" s="11" t="s">
        <v>9</v>
      </c>
      <c r="B507" s="12">
        <v>43831</v>
      </c>
      <c r="C507">
        <v>6000</v>
      </c>
      <c r="D507">
        <v>5</v>
      </c>
      <c r="E507">
        <v>0.03</v>
      </c>
      <c r="F507">
        <v>60</v>
      </c>
      <c r="G507" s="13">
        <v>43890</v>
      </c>
      <c r="H507">
        <v>506</v>
      </c>
      <c r="I507">
        <v>2</v>
      </c>
      <c r="J507">
        <v>2.5000000000000001E-3</v>
      </c>
      <c r="K507" s="14">
        <v>5970.1121261683702</v>
      </c>
      <c r="L507" s="14">
        <v>333914.14612083195</v>
      </c>
      <c r="M507" s="36">
        <f>IF(Output[[#This Row],[Index]]=1,Output[[#This Row],[Droit Utilisation]],P506)</f>
        <v>328748.93148613401</v>
      </c>
      <c r="N507" s="15">
        <f>Output[[#This Row],[Capital Debut Period]]*Output[[#This Row],[Tx_interet_M]]</f>
        <v>821.87232871533502</v>
      </c>
      <c r="O507" s="15">
        <f>Output[[#This Row],[Mensualité initial]]-Output[[#This Row],[Interet]]</f>
        <v>5178.1276712846648</v>
      </c>
      <c r="P507" s="15">
        <f>Output[[#This Row],[Capital Debut Period]]-Output[[#This Row],[Paiement Principal]]</f>
        <v>323570.80381484935</v>
      </c>
      <c r="Q507" s="15">
        <f>Output[[#This Row],[Droit Utilisation]]/Output[[#This Row],[Duree_Mois]]</f>
        <v>5565.2357686805326</v>
      </c>
    </row>
    <row r="508" spans="1:17" x14ac:dyDescent="0.25">
      <c r="A508" s="11" t="s">
        <v>9</v>
      </c>
      <c r="B508" s="12">
        <v>43831</v>
      </c>
      <c r="C508">
        <v>6000</v>
      </c>
      <c r="D508">
        <v>5</v>
      </c>
      <c r="E508">
        <v>0.03</v>
      </c>
      <c r="F508">
        <v>60</v>
      </c>
      <c r="G508" s="13">
        <v>43921</v>
      </c>
      <c r="H508">
        <v>507</v>
      </c>
      <c r="I508">
        <v>3</v>
      </c>
      <c r="J508">
        <v>2.5000000000000001E-3</v>
      </c>
      <c r="K508" s="14">
        <v>5955.2240660033622</v>
      </c>
      <c r="L508" s="14">
        <v>333914.14612083195</v>
      </c>
      <c r="M508" s="36">
        <f>IF(Output[[#This Row],[Index]]=1,Output[[#This Row],[Droit Utilisation]],P507)</f>
        <v>323570.80381484935</v>
      </c>
      <c r="N508" s="15">
        <f>Output[[#This Row],[Capital Debut Period]]*Output[[#This Row],[Tx_interet_M]]</f>
        <v>808.92700953712335</v>
      </c>
      <c r="O508" s="15">
        <f>Output[[#This Row],[Mensualité initial]]-Output[[#This Row],[Interet]]</f>
        <v>5191.072990462877</v>
      </c>
      <c r="P508" s="15">
        <f>Output[[#This Row],[Capital Debut Period]]-Output[[#This Row],[Paiement Principal]]</f>
        <v>318379.73082438647</v>
      </c>
      <c r="Q508" s="15">
        <f>Output[[#This Row],[Droit Utilisation]]/Output[[#This Row],[Duree_Mois]]</f>
        <v>5565.2357686805326</v>
      </c>
    </row>
    <row r="509" spans="1:17" x14ac:dyDescent="0.25">
      <c r="A509" s="11" t="s">
        <v>9</v>
      </c>
      <c r="B509" s="12">
        <v>43831</v>
      </c>
      <c r="C509">
        <v>6000</v>
      </c>
      <c r="D509">
        <v>5</v>
      </c>
      <c r="E509">
        <v>0.03</v>
      </c>
      <c r="F509">
        <v>60</v>
      </c>
      <c r="G509" s="13">
        <v>43951</v>
      </c>
      <c r="H509">
        <v>508</v>
      </c>
      <c r="I509">
        <v>4</v>
      </c>
      <c r="J509">
        <v>2.5000000000000001E-3</v>
      </c>
      <c r="K509" s="14">
        <v>5940.3731331704357</v>
      </c>
      <c r="L509" s="14">
        <v>333914.14612083195</v>
      </c>
      <c r="M509" s="36">
        <f>IF(Output[[#This Row],[Index]]=1,Output[[#This Row],[Droit Utilisation]],P508)</f>
        <v>318379.73082438647</v>
      </c>
      <c r="N509" s="15">
        <f>Output[[#This Row],[Capital Debut Period]]*Output[[#This Row],[Tx_interet_M]]</f>
        <v>795.9493270609662</v>
      </c>
      <c r="O509" s="15">
        <f>Output[[#This Row],[Mensualité initial]]-Output[[#This Row],[Interet]]</f>
        <v>5204.0506729390336</v>
      </c>
      <c r="P509" s="15">
        <f>Output[[#This Row],[Capital Debut Period]]-Output[[#This Row],[Paiement Principal]]</f>
        <v>313175.68015144742</v>
      </c>
      <c r="Q509" s="15">
        <f>Output[[#This Row],[Droit Utilisation]]/Output[[#This Row],[Duree_Mois]]</f>
        <v>5565.2357686805326</v>
      </c>
    </row>
    <row r="510" spans="1:17" x14ac:dyDescent="0.25">
      <c r="A510" s="11" t="s">
        <v>9</v>
      </c>
      <c r="B510" s="12">
        <v>43831</v>
      </c>
      <c r="C510">
        <v>6000</v>
      </c>
      <c r="D510">
        <v>5</v>
      </c>
      <c r="E510">
        <v>0.03</v>
      </c>
      <c r="F510">
        <v>60</v>
      </c>
      <c r="G510" s="13">
        <v>43982</v>
      </c>
      <c r="H510">
        <v>509</v>
      </c>
      <c r="I510">
        <v>5</v>
      </c>
      <c r="J510">
        <v>2.5000000000000001E-3</v>
      </c>
      <c r="K510" s="14">
        <v>5925.5592350827301</v>
      </c>
      <c r="L510" s="14">
        <v>333914.14612083195</v>
      </c>
      <c r="M510" s="36">
        <f>IF(Output[[#This Row],[Index]]=1,Output[[#This Row],[Droit Utilisation]],P509)</f>
        <v>313175.68015144742</v>
      </c>
      <c r="N510" s="15">
        <f>Output[[#This Row],[Capital Debut Period]]*Output[[#This Row],[Tx_interet_M]]</f>
        <v>782.93920037861858</v>
      </c>
      <c r="O510" s="15">
        <f>Output[[#This Row],[Mensualité initial]]-Output[[#This Row],[Interet]]</f>
        <v>5217.0607996213812</v>
      </c>
      <c r="P510" s="15">
        <f>Output[[#This Row],[Capital Debut Period]]-Output[[#This Row],[Paiement Principal]]</f>
        <v>307958.61935182603</v>
      </c>
      <c r="Q510" s="15">
        <f>Output[[#This Row],[Droit Utilisation]]/Output[[#This Row],[Duree_Mois]]</f>
        <v>5565.2357686805326</v>
      </c>
    </row>
    <row r="511" spans="1:17" x14ac:dyDescent="0.25">
      <c r="A511" s="11" t="s">
        <v>9</v>
      </c>
      <c r="B511" s="12">
        <v>43831</v>
      </c>
      <c r="C511">
        <v>6000</v>
      </c>
      <c r="D511">
        <v>5</v>
      </c>
      <c r="E511">
        <v>0.03</v>
      </c>
      <c r="F511">
        <v>60</v>
      </c>
      <c r="G511" s="13">
        <v>44012</v>
      </c>
      <c r="H511">
        <v>510</v>
      </c>
      <c r="I511">
        <v>6</v>
      </c>
      <c r="J511">
        <v>2.5000000000000001E-3</v>
      </c>
      <c r="K511" s="14">
        <v>5910.7822793842697</v>
      </c>
      <c r="L511" s="14">
        <v>333914.14612083195</v>
      </c>
      <c r="M511" s="36">
        <f>IF(Output[[#This Row],[Index]]=1,Output[[#This Row],[Droit Utilisation]],P510)</f>
        <v>307958.61935182603</v>
      </c>
      <c r="N511" s="15">
        <f>Output[[#This Row],[Capital Debut Period]]*Output[[#This Row],[Tx_interet_M]]</f>
        <v>769.89654837956505</v>
      </c>
      <c r="O511" s="15">
        <f>Output[[#This Row],[Mensualité initial]]-Output[[#This Row],[Interet]]</f>
        <v>5230.1034516204345</v>
      </c>
      <c r="P511" s="15">
        <f>Output[[#This Row],[Capital Debut Period]]-Output[[#This Row],[Paiement Principal]]</f>
        <v>302728.51590020559</v>
      </c>
      <c r="Q511" s="15">
        <f>Output[[#This Row],[Droit Utilisation]]/Output[[#This Row],[Duree_Mois]]</f>
        <v>5565.2357686805326</v>
      </c>
    </row>
    <row r="512" spans="1:17" x14ac:dyDescent="0.25">
      <c r="A512" s="11" t="s">
        <v>9</v>
      </c>
      <c r="B512" s="12">
        <v>43831</v>
      </c>
      <c r="C512">
        <v>6000</v>
      </c>
      <c r="D512">
        <v>5</v>
      </c>
      <c r="E512">
        <v>0.03</v>
      </c>
      <c r="F512">
        <v>60</v>
      </c>
      <c r="G512" s="13">
        <v>44043</v>
      </c>
      <c r="H512">
        <v>511</v>
      </c>
      <c r="I512">
        <v>7</v>
      </c>
      <c r="J512">
        <v>2.5000000000000001E-3</v>
      </c>
      <c r="K512" s="14">
        <v>5896.0421739493959</v>
      </c>
      <c r="L512" s="14">
        <v>333914.14612083195</v>
      </c>
      <c r="M512" s="36">
        <f>IF(Output[[#This Row],[Index]]=1,Output[[#This Row],[Droit Utilisation]],P511)</f>
        <v>302728.51590020559</v>
      </c>
      <c r="N512" s="15">
        <f>Output[[#This Row],[Capital Debut Period]]*Output[[#This Row],[Tx_interet_M]]</f>
        <v>756.82128975051398</v>
      </c>
      <c r="O512" s="15">
        <f>Output[[#This Row],[Mensualité initial]]-Output[[#This Row],[Interet]]</f>
        <v>5243.1787102494864</v>
      </c>
      <c r="P512" s="15">
        <f>Output[[#This Row],[Capital Debut Period]]-Output[[#This Row],[Paiement Principal]]</f>
        <v>297485.3371899561</v>
      </c>
      <c r="Q512" s="15">
        <f>Output[[#This Row],[Droit Utilisation]]/Output[[#This Row],[Duree_Mois]]</f>
        <v>5565.2357686805326</v>
      </c>
    </row>
    <row r="513" spans="1:17" x14ac:dyDescent="0.25">
      <c r="A513" s="11" t="s">
        <v>9</v>
      </c>
      <c r="B513" s="12">
        <v>43831</v>
      </c>
      <c r="C513">
        <v>6000</v>
      </c>
      <c r="D513">
        <v>5</v>
      </c>
      <c r="E513">
        <v>0.03</v>
      </c>
      <c r="F513">
        <v>60</v>
      </c>
      <c r="G513" s="13">
        <v>44074</v>
      </c>
      <c r="H513">
        <v>512</v>
      </c>
      <c r="I513">
        <v>8</v>
      </c>
      <c r="J513">
        <v>2.5000000000000001E-3</v>
      </c>
      <c r="K513" s="14">
        <v>5881.3388268821909</v>
      </c>
      <c r="L513" s="14">
        <v>333914.14612083195</v>
      </c>
      <c r="M513" s="36">
        <f>IF(Output[[#This Row],[Index]]=1,Output[[#This Row],[Droit Utilisation]],P512)</f>
        <v>297485.3371899561</v>
      </c>
      <c r="N513" s="15">
        <f>Output[[#This Row],[Capital Debut Period]]*Output[[#This Row],[Tx_interet_M]]</f>
        <v>743.71334297489022</v>
      </c>
      <c r="O513" s="15">
        <f>Output[[#This Row],[Mensualité initial]]-Output[[#This Row],[Interet]]</f>
        <v>5256.2866570251099</v>
      </c>
      <c r="P513" s="15">
        <f>Output[[#This Row],[Capital Debut Period]]-Output[[#This Row],[Paiement Principal]]</f>
        <v>292229.050532931</v>
      </c>
      <c r="Q513" s="15">
        <f>Output[[#This Row],[Droit Utilisation]]/Output[[#This Row],[Duree_Mois]]</f>
        <v>5565.2357686805326</v>
      </c>
    </row>
    <row r="514" spans="1:17" x14ac:dyDescent="0.25">
      <c r="A514" s="11" t="s">
        <v>9</v>
      </c>
      <c r="B514" s="12">
        <v>43831</v>
      </c>
      <c r="C514">
        <v>6000</v>
      </c>
      <c r="D514">
        <v>5</v>
      </c>
      <c r="E514">
        <v>0.03</v>
      </c>
      <c r="F514">
        <v>60</v>
      </c>
      <c r="G514" s="13">
        <v>44104</v>
      </c>
      <c r="H514">
        <v>513</v>
      </c>
      <c r="I514">
        <v>9</v>
      </c>
      <c r="J514">
        <v>2.5000000000000001E-3</v>
      </c>
      <c r="K514" s="14">
        <v>5866.6721465159017</v>
      </c>
      <c r="L514" s="14">
        <v>333914.14612083195</v>
      </c>
      <c r="M514" s="36">
        <f>IF(Output[[#This Row],[Index]]=1,Output[[#This Row],[Droit Utilisation]],P513)</f>
        <v>292229.050532931</v>
      </c>
      <c r="N514" s="15">
        <f>Output[[#This Row],[Capital Debut Period]]*Output[[#This Row],[Tx_interet_M]]</f>
        <v>730.57262633232756</v>
      </c>
      <c r="O514" s="15">
        <f>Output[[#This Row],[Mensualité initial]]-Output[[#This Row],[Interet]]</f>
        <v>5269.4273736676723</v>
      </c>
      <c r="P514" s="15">
        <f>Output[[#This Row],[Capital Debut Period]]-Output[[#This Row],[Paiement Principal]]</f>
        <v>286959.62315926334</v>
      </c>
      <c r="Q514" s="15">
        <f>Output[[#This Row],[Droit Utilisation]]/Output[[#This Row],[Duree_Mois]]</f>
        <v>5565.2357686805326</v>
      </c>
    </row>
    <row r="515" spans="1:17" x14ac:dyDescent="0.25">
      <c r="A515" s="11" t="s">
        <v>9</v>
      </c>
      <c r="B515" s="12">
        <v>43831</v>
      </c>
      <c r="C515">
        <v>6000</v>
      </c>
      <c r="D515">
        <v>5</v>
      </c>
      <c r="E515">
        <v>0.03</v>
      </c>
      <c r="F515">
        <v>60</v>
      </c>
      <c r="G515" s="13">
        <v>44135</v>
      </c>
      <c r="H515">
        <v>514</v>
      </c>
      <c r="I515">
        <v>10</v>
      </c>
      <c r="J515">
        <v>2.5000000000000001E-3</v>
      </c>
      <c r="K515" s="14">
        <v>5852.042041412371</v>
      </c>
      <c r="L515" s="14">
        <v>333914.14612083195</v>
      </c>
      <c r="M515" s="36">
        <f>IF(Output[[#This Row],[Index]]=1,Output[[#This Row],[Droit Utilisation]],P514)</f>
        <v>286959.62315926334</v>
      </c>
      <c r="N515" s="15">
        <f>Output[[#This Row],[Capital Debut Period]]*Output[[#This Row],[Tx_interet_M]]</f>
        <v>717.39905789815839</v>
      </c>
      <c r="O515" s="15">
        <f>Output[[#This Row],[Mensualité initial]]-Output[[#This Row],[Interet]]</f>
        <v>5282.6009421018416</v>
      </c>
      <c r="P515" s="15">
        <f>Output[[#This Row],[Capital Debut Period]]-Output[[#This Row],[Paiement Principal]]</f>
        <v>281677.02221716149</v>
      </c>
      <c r="Q515" s="15">
        <f>Output[[#This Row],[Droit Utilisation]]/Output[[#This Row],[Duree_Mois]]</f>
        <v>5565.2357686805326</v>
      </c>
    </row>
    <row r="516" spans="1:17" x14ac:dyDescent="0.25">
      <c r="A516" s="11" t="s">
        <v>9</v>
      </c>
      <c r="B516" s="12">
        <v>43831</v>
      </c>
      <c r="C516">
        <v>6000</v>
      </c>
      <c r="D516">
        <v>5</v>
      </c>
      <c r="E516">
        <v>0.03</v>
      </c>
      <c r="F516">
        <v>60</v>
      </c>
      <c r="G516" s="13">
        <v>44165</v>
      </c>
      <c r="H516">
        <v>515</v>
      </c>
      <c r="I516">
        <v>11</v>
      </c>
      <c r="J516">
        <v>2.5000000000000001E-3</v>
      </c>
      <c r="K516" s="14">
        <v>5837.4484203614675</v>
      </c>
      <c r="L516" s="14">
        <v>333914.14612083195</v>
      </c>
      <c r="M516" s="36">
        <f>IF(Output[[#This Row],[Index]]=1,Output[[#This Row],[Droit Utilisation]],P515)</f>
        <v>281677.02221716149</v>
      </c>
      <c r="N516" s="15">
        <f>Output[[#This Row],[Capital Debut Period]]*Output[[#This Row],[Tx_interet_M]]</f>
        <v>704.19255554290373</v>
      </c>
      <c r="O516" s="15">
        <f>Output[[#This Row],[Mensualité initial]]-Output[[#This Row],[Interet]]</f>
        <v>5295.8074444570966</v>
      </c>
      <c r="P516" s="15">
        <f>Output[[#This Row],[Capital Debut Period]]-Output[[#This Row],[Paiement Principal]]</f>
        <v>276381.21477270441</v>
      </c>
      <c r="Q516" s="15">
        <f>Output[[#This Row],[Droit Utilisation]]/Output[[#This Row],[Duree_Mois]]</f>
        <v>5565.2357686805326</v>
      </c>
    </row>
    <row r="517" spans="1:17" x14ac:dyDescent="0.25">
      <c r="A517" s="11" t="s">
        <v>9</v>
      </c>
      <c r="B517" s="12">
        <v>43831</v>
      </c>
      <c r="C517">
        <v>6000</v>
      </c>
      <c r="D517">
        <v>5</v>
      </c>
      <c r="E517">
        <v>0.03</v>
      </c>
      <c r="F517">
        <v>60</v>
      </c>
      <c r="G517" s="13">
        <v>44196</v>
      </c>
      <c r="H517">
        <v>516</v>
      </c>
      <c r="I517">
        <v>12</v>
      </c>
      <c r="J517">
        <v>2.5000000000000001E-3</v>
      </c>
      <c r="K517" s="14">
        <v>5822.8911923805163</v>
      </c>
      <c r="L517" s="14">
        <v>333914.14612083195</v>
      </c>
      <c r="M517" s="36">
        <f>IF(Output[[#This Row],[Index]]=1,Output[[#This Row],[Droit Utilisation]],P516)</f>
        <v>276381.21477270441</v>
      </c>
      <c r="N517" s="15">
        <f>Output[[#This Row],[Capital Debut Period]]*Output[[#This Row],[Tx_interet_M]]</f>
        <v>690.95303693176106</v>
      </c>
      <c r="O517" s="15">
        <f>Output[[#This Row],[Mensualité initial]]-Output[[#This Row],[Interet]]</f>
        <v>5309.0469630682392</v>
      </c>
      <c r="P517" s="15">
        <f>Output[[#This Row],[Capital Debut Period]]-Output[[#This Row],[Paiement Principal]]</f>
        <v>271072.16780963616</v>
      </c>
      <c r="Q517" s="15">
        <f>Output[[#This Row],[Droit Utilisation]]/Output[[#This Row],[Duree_Mois]]</f>
        <v>5565.2357686805326</v>
      </c>
    </row>
    <row r="518" spans="1:17" x14ac:dyDescent="0.25">
      <c r="A518" s="11" t="s">
        <v>9</v>
      </c>
      <c r="B518" s="12">
        <v>43831</v>
      </c>
      <c r="C518">
        <v>6000</v>
      </c>
      <c r="D518">
        <v>5</v>
      </c>
      <c r="E518">
        <v>0.03</v>
      </c>
      <c r="F518">
        <v>60</v>
      </c>
      <c r="G518" s="13">
        <v>44227</v>
      </c>
      <c r="H518">
        <v>517</v>
      </c>
      <c r="I518">
        <v>13</v>
      </c>
      <c r="J518">
        <v>2.5000000000000001E-3</v>
      </c>
      <c r="K518" s="14">
        <v>5808.3702667137322</v>
      </c>
      <c r="L518" s="14">
        <v>333914.14612083195</v>
      </c>
      <c r="M518" s="36">
        <f>IF(Output[[#This Row],[Index]]=1,Output[[#This Row],[Droit Utilisation]],P517)</f>
        <v>271072.16780963616</v>
      </c>
      <c r="N518" s="15">
        <f>Output[[#This Row],[Capital Debut Period]]*Output[[#This Row],[Tx_interet_M]]</f>
        <v>677.68041952409044</v>
      </c>
      <c r="O518" s="15">
        <f>Output[[#This Row],[Mensualité initial]]-Output[[#This Row],[Interet]]</f>
        <v>5322.3195804759098</v>
      </c>
      <c r="P518" s="15">
        <f>Output[[#This Row],[Capital Debut Period]]-Output[[#This Row],[Paiement Principal]]</f>
        <v>265749.84822916024</v>
      </c>
      <c r="Q518" s="15">
        <f>Output[[#This Row],[Droit Utilisation]]/Output[[#This Row],[Duree_Mois]]</f>
        <v>5565.2357686805326</v>
      </c>
    </row>
    <row r="519" spans="1:17" x14ac:dyDescent="0.25">
      <c r="A519" s="11" t="s">
        <v>9</v>
      </c>
      <c r="B519" s="12">
        <v>43831</v>
      </c>
      <c r="C519">
        <v>6000</v>
      </c>
      <c r="D519">
        <v>5</v>
      </c>
      <c r="E519">
        <v>0.03</v>
      </c>
      <c r="F519">
        <v>60</v>
      </c>
      <c r="G519" s="13">
        <v>44255</v>
      </c>
      <c r="H519">
        <v>518</v>
      </c>
      <c r="I519">
        <v>14</v>
      </c>
      <c r="J519">
        <v>2.5000000000000001E-3</v>
      </c>
      <c r="K519" s="14">
        <v>5793.8855528316535</v>
      </c>
      <c r="L519" s="14">
        <v>333914.14612083195</v>
      </c>
      <c r="M519" s="36">
        <f>IF(Output[[#This Row],[Index]]=1,Output[[#This Row],[Droit Utilisation]],P518)</f>
        <v>265749.84822916024</v>
      </c>
      <c r="N519" s="15">
        <f>Output[[#This Row],[Capital Debut Period]]*Output[[#This Row],[Tx_interet_M]]</f>
        <v>664.37462057290065</v>
      </c>
      <c r="O519" s="15">
        <f>Output[[#This Row],[Mensualité initial]]-Output[[#This Row],[Interet]]</f>
        <v>5335.6253794270997</v>
      </c>
      <c r="P519" s="15">
        <f>Output[[#This Row],[Capital Debut Period]]-Output[[#This Row],[Paiement Principal]]</f>
        <v>260414.22284973314</v>
      </c>
      <c r="Q519" s="15">
        <f>Output[[#This Row],[Droit Utilisation]]/Output[[#This Row],[Duree_Mois]]</f>
        <v>5565.2357686805326</v>
      </c>
    </row>
    <row r="520" spans="1:17" x14ac:dyDescent="0.25">
      <c r="A520" s="11" t="s">
        <v>9</v>
      </c>
      <c r="B520" s="12">
        <v>43831</v>
      </c>
      <c r="C520">
        <v>6000</v>
      </c>
      <c r="D520">
        <v>5</v>
      </c>
      <c r="E520">
        <v>0.03</v>
      </c>
      <c r="F520">
        <v>60</v>
      </c>
      <c r="G520" s="13">
        <v>44286</v>
      </c>
      <c r="H520">
        <v>519</v>
      </c>
      <c r="I520">
        <v>15</v>
      </c>
      <c r="J520">
        <v>2.5000000000000001E-3</v>
      </c>
      <c r="K520" s="14">
        <v>5779.4369604305775</v>
      </c>
      <c r="L520" s="14">
        <v>333914.14612083195</v>
      </c>
      <c r="M520" s="36">
        <f>IF(Output[[#This Row],[Index]]=1,Output[[#This Row],[Droit Utilisation]],P519)</f>
        <v>260414.22284973314</v>
      </c>
      <c r="N520" s="15">
        <f>Output[[#This Row],[Capital Debut Period]]*Output[[#This Row],[Tx_interet_M]]</f>
        <v>651.03555712433285</v>
      </c>
      <c r="O520" s="15">
        <f>Output[[#This Row],[Mensualité initial]]-Output[[#This Row],[Interet]]</f>
        <v>5348.9644428756674</v>
      </c>
      <c r="P520" s="15">
        <f>Output[[#This Row],[Capital Debut Period]]-Output[[#This Row],[Paiement Principal]]</f>
        <v>255065.25840685747</v>
      </c>
      <c r="Q520" s="15">
        <f>Output[[#This Row],[Droit Utilisation]]/Output[[#This Row],[Duree_Mois]]</f>
        <v>5565.2357686805326</v>
      </c>
    </row>
    <row r="521" spans="1:17" x14ac:dyDescent="0.25">
      <c r="A521" s="11" t="s">
        <v>9</v>
      </c>
      <c r="B521" s="12">
        <v>43831</v>
      </c>
      <c r="C521">
        <v>6000</v>
      </c>
      <c r="D521">
        <v>5</v>
      </c>
      <c r="E521">
        <v>0.03</v>
      </c>
      <c r="F521">
        <v>60</v>
      </c>
      <c r="G521" s="13">
        <v>44316</v>
      </c>
      <c r="H521">
        <v>520</v>
      </c>
      <c r="I521">
        <v>16</v>
      </c>
      <c r="J521">
        <v>2.5000000000000001E-3</v>
      </c>
      <c r="K521" s="14">
        <v>5765.0243994319981</v>
      </c>
      <c r="L521" s="14">
        <v>333914.14612083195</v>
      </c>
      <c r="M521" s="36">
        <f>IF(Output[[#This Row],[Index]]=1,Output[[#This Row],[Droit Utilisation]],P520)</f>
        <v>255065.25840685747</v>
      </c>
      <c r="N521" s="15">
        <f>Output[[#This Row],[Capital Debut Period]]*Output[[#This Row],[Tx_interet_M]]</f>
        <v>637.66314601714373</v>
      </c>
      <c r="O521" s="15">
        <f>Output[[#This Row],[Mensualité initial]]-Output[[#This Row],[Interet]]</f>
        <v>5362.3368539828562</v>
      </c>
      <c r="P521" s="15">
        <f>Output[[#This Row],[Capital Debut Period]]-Output[[#This Row],[Paiement Principal]]</f>
        <v>249702.92155287461</v>
      </c>
      <c r="Q521" s="15">
        <f>Output[[#This Row],[Droit Utilisation]]/Output[[#This Row],[Duree_Mois]]</f>
        <v>5565.2357686805326</v>
      </c>
    </row>
    <row r="522" spans="1:17" x14ac:dyDescent="0.25">
      <c r="A522" s="11" t="s">
        <v>9</v>
      </c>
      <c r="B522" s="12">
        <v>43831</v>
      </c>
      <c r="C522">
        <v>6000</v>
      </c>
      <c r="D522">
        <v>5</v>
      </c>
      <c r="E522">
        <v>0.03</v>
      </c>
      <c r="F522">
        <v>60</v>
      </c>
      <c r="G522" s="13">
        <v>44347</v>
      </c>
      <c r="H522">
        <v>521</v>
      </c>
      <c r="I522">
        <v>17</v>
      </c>
      <c r="J522">
        <v>2.5000000000000001E-3</v>
      </c>
      <c r="K522" s="14">
        <v>5750.6477799820432</v>
      </c>
      <c r="L522" s="14">
        <v>333914.14612083195</v>
      </c>
      <c r="M522" s="36">
        <f>IF(Output[[#This Row],[Index]]=1,Output[[#This Row],[Droit Utilisation]],P521)</f>
        <v>249702.92155287461</v>
      </c>
      <c r="N522" s="15">
        <f>Output[[#This Row],[Capital Debut Period]]*Output[[#This Row],[Tx_interet_M]]</f>
        <v>624.25730388218653</v>
      </c>
      <c r="O522" s="15">
        <f>Output[[#This Row],[Mensualité initial]]-Output[[#This Row],[Interet]]</f>
        <v>5375.7426961178135</v>
      </c>
      <c r="P522" s="15">
        <f>Output[[#This Row],[Capital Debut Period]]-Output[[#This Row],[Paiement Principal]]</f>
        <v>244327.1788567568</v>
      </c>
      <c r="Q522" s="15">
        <f>Output[[#This Row],[Droit Utilisation]]/Output[[#This Row],[Duree_Mois]]</f>
        <v>5565.2357686805326</v>
      </c>
    </row>
    <row r="523" spans="1:17" x14ac:dyDescent="0.25">
      <c r="A523" s="11" t="s">
        <v>9</v>
      </c>
      <c r="B523" s="12">
        <v>43831</v>
      </c>
      <c r="C523">
        <v>6000</v>
      </c>
      <c r="D523">
        <v>5</v>
      </c>
      <c r="E523">
        <v>0.03</v>
      </c>
      <c r="F523">
        <v>60</v>
      </c>
      <c r="G523" s="13">
        <v>44377</v>
      </c>
      <c r="H523">
        <v>522</v>
      </c>
      <c r="I523">
        <v>18</v>
      </c>
      <c r="J523">
        <v>2.5000000000000001E-3</v>
      </c>
      <c r="K523" s="14">
        <v>5736.3070124509168</v>
      </c>
      <c r="L523" s="14">
        <v>333914.14612083195</v>
      </c>
      <c r="M523" s="36">
        <f>IF(Output[[#This Row],[Index]]=1,Output[[#This Row],[Droit Utilisation]],P522)</f>
        <v>244327.1788567568</v>
      </c>
      <c r="N523" s="15">
        <f>Output[[#This Row],[Capital Debut Period]]*Output[[#This Row],[Tx_interet_M]]</f>
        <v>610.81794714189198</v>
      </c>
      <c r="O523" s="15">
        <f>Output[[#This Row],[Mensualité initial]]-Output[[#This Row],[Interet]]</f>
        <v>5389.1820528581084</v>
      </c>
      <c r="P523" s="15">
        <f>Output[[#This Row],[Capital Debut Period]]-Output[[#This Row],[Paiement Principal]]</f>
        <v>238937.99680389868</v>
      </c>
      <c r="Q523" s="15">
        <f>Output[[#This Row],[Droit Utilisation]]/Output[[#This Row],[Duree_Mois]]</f>
        <v>5565.2357686805326</v>
      </c>
    </row>
    <row r="524" spans="1:17" x14ac:dyDescent="0.25">
      <c r="A524" s="11" t="s">
        <v>9</v>
      </c>
      <c r="B524" s="12">
        <v>43831</v>
      </c>
      <c r="C524">
        <v>6000</v>
      </c>
      <c r="D524">
        <v>5</v>
      </c>
      <c r="E524">
        <v>0.03</v>
      </c>
      <c r="F524">
        <v>60</v>
      </c>
      <c r="G524" s="13">
        <v>44408</v>
      </c>
      <c r="H524">
        <v>523</v>
      </c>
      <c r="I524">
        <v>19</v>
      </c>
      <c r="J524">
        <v>2.5000000000000001E-3</v>
      </c>
      <c r="K524" s="14">
        <v>5722.0020074323356</v>
      </c>
      <c r="L524" s="14">
        <v>333914.14612083195</v>
      </c>
      <c r="M524" s="36">
        <f>IF(Output[[#This Row],[Index]]=1,Output[[#This Row],[Droit Utilisation]],P523)</f>
        <v>238937.99680389868</v>
      </c>
      <c r="N524" s="15">
        <f>Output[[#This Row],[Capital Debut Period]]*Output[[#This Row],[Tx_interet_M]]</f>
        <v>597.34499200974676</v>
      </c>
      <c r="O524" s="15">
        <f>Output[[#This Row],[Mensualité initial]]-Output[[#This Row],[Interet]]</f>
        <v>5402.6550079902536</v>
      </c>
      <c r="P524" s="15">
        <f>Output[[#This Row],[Capital Debut Period]]-Output[[#This Row],[Paiement Principal]]</f>
        <v>233535.34179590843</v>
      </c>
      <c r="Q524" s="15">
        <f>Output[[#This Row],[Droit Utilisation]]/Output[[#This Row],[Duree_Mois]]</f>
        <v>5565.2357686805326</v>
      </c>
    </row>
    <row r="525" spans="1:17" x14ac:dyDescent="0.25">
      <c r="A525" s="11" t="s">
        <v>9</v>
      </c>
      <c r="B525" s="12">
        <v>43831</v>
      </c>
      <c r="C525">
        <v>6000</v>
      </c>
      <c r="D525">
        <v>5</v>
      </c>
      <c r="E525">
        <v>0.03</v>
      </c>
      <c r="F525">
        <v>60</v>
      </c>
      <c r="G525" s="13">
        <v>44439</v>
      </c>
      <c r="H525">
        <v>524</v>
      </c>
      <c r="I525">
        <v>20</v>
      </c>
      <c r="J525">
        <v>2.5000000000000001E-3</v>
      </c>
      <c r="K525" s="14">
        <v>5707.7326757429792</v>
      </c>
      <c r="L525" s="14">
        <v>333914.14612083195</v>
      </c>
      <c r="M525" s="36">
        <f>IF(Output[[#This Row],[Index]]=1,Output[[#This Row],[Droit Utilisation]],P524)</f>
        <v>233535.34179590843</v>
      </c>
      <c r="N525" s="15">
        <f>Output[[#This Row],[Capital Debut Period]]*Output[[#This Row],[Tx_interet_M]]</f>
        <v>583.83835448977106</v>
      </c>
      <c r="O525" s="15">
        <f>Output[[#This Row],[Mensualité initial]]-Output[[#This Row],[Interet]]</f>
        <v>5416.1616455102285</v>
      </c>
      <c r="P525" s="15">
        <f>Output[[#This Row],[Capital Debut Period]]-Output[[#This Row],[Paiement Principal]]</f>
        <v>228119.1801503982</v>
      </c>
      <c r="Q525" s="15">
        <f>Output[[#This Row],[Droit Utilisation]]/Output[[#This Row],[Duree_Mois]]</f>
        <v>5565.2357686805326</v>
      </c>
    </row>
    <row r="526" spans="1:17" x14ac:dyDescent="0.25">
      <c r="A526" s="11" t="s">
        <v>9</v>
      </c>
      <c r="B526" s="12">
        <v>43831</v>
      </c>
      <c r="C526">
        <v>6000</v>
      </c>
      <c r="D526">
        <v>5</v>
      </c>
      <c r="E526">
        <v>0.03</v>
      </c>
      <c r="F526">
        <v>60</v>
      </c>
      <c r="G526" s="13">
        <v>44469</v>
      </c>
      <c r="H526">
        <v>525</v>
      </c>
      <c r="I526">
        <v>21</v>
      </c>
      <c r="J526">
        <v>2.5000000000000001E-3</v>
      </c>
      <c r="K526" s="14">
        <v>5693.4989284219246</v>
      </c>
      <c r="L526" s="14">
        <v>333914.14612083195</v>
      </c>
      <c r="M526" s="36">
        <f>IF(Output[[#This Row],[Index]]=1,Output[[#This Row],[Droit Utilisation]],P525)</f>
        <v>228119.1801503982</v>
      </c>
      <c r="N526" s="15">
        <f>Output[[#This Row],[Capital Debut Period]]*Output[[#This Row],[Tx_interet_M]]</f>
        <v>570.29795037599547</v>
      </c>
      <c r="O526" s="15">
        <f>Output[[#This Row],[Mensualité initial]]-Output[[#This Row],[Interet]]</f>
        <v>5429.7020496240048</v>
      </c>
      <c r="P526" s="15">
        <f>Output[[#This Row],[Capital Debut Period]]-Output[[#This Row],[Paiement Principal]]</f>
        <v>222689.4781007742</v>
      </c>
      <c r="Q526" s="15">
        <f>Output[[#This Row],[Droit Utilisation]]/Output[[#This Row],[Duree_Mois]]</f>
        <v>5565.2357686805326</v>
      </c>
    </row>
    <row r="527" spans="1:17" x14ac:dyDescent="0.25">
      <c r="A527" s="11" t="s">
        <v>9</v>
      </c>
      <c r="B527" s="12">
        <v>43831</v>
      </c>
      <c r="C527">
        <v>6000</v>
      </c>
      <c r="D527">
        <v>5</v>
      </c>
      <c r="E527">
        <v>0.03</v>
      </c>
      <c r="F527">
        <v>60</v>
      </c>
      <c r="G527" s="13">
        <v>44500</v>
      </c>
      <c r="H527">
        <v>526</v>
      </c>
      <c r="I527">
        <v>22</v>
      </c>
      <c r="J527">
        <v>2.5000000000000001E-3</v>
      </c>
      <c r="K527" s="14">
        <v>5679.3006767300994</v>
      </c>
      <c r="L527" s="14">
        <v>333914.14612083195</v>
      </c>
      <c r="M527" s="36">
        <f>IF(Output[[#This Row],[Index]]=1,Output[[#This Row],[Droit Utilisation]],P526)</f>
        <v>222689.4781007742</v>
      </c>
      <c r="N527" s="15">
        <f>Output[[#This Row],[Capital Debut Period]]*Output[[#This Row],[Tx_interet_M]]</f>
        <v>556.72369525193551</v>
      </c>
      <c r="O527" s="15">
        <f>Output[[#This Row],[Mensualité initial]]-Output[[#This Row],[Interet]]</f>
        <v>5443.2763047480648</v>
      </c>
      <c r="P527" s="15">
        <f>Output[[#This Row],[Capital Debut Period]]-Output[[#This Row],[Paiement Principal]]</f>
        <v>217246.20179602614</v>
      </c>
      <c r="Q527" s="15">
        <f>Output[[#This Row],[Droit Utilisation]]/Output[[#This Row],[Duree_Mois]]</f>
        <v>5565.2357686805326</v>
      </c>
    </row>
    <row r="528" spans="1:17" x14ac:dyDescent="0.25">
      <c r="A528" s="11" t="s">
        <v>9</v>
      </c>
      <c r="B528" s="12">
        <v>43831</v>
      </c>
      <c r="C528">
        <v>6000</v>
      </c>
      <c r="D528">
        <v>5</v>
      </c>
      <c r="E528">
        <v>0.03</v>
      </c>
      <c r="F528">
        <v>60</v>
      </c>
      <c r="G528" s="13">
        <v>44530</v>
      </c>
      <c r="H528">
        <v>527</v>
      </c>
      <c r="I528">
        <v>23</v>
      </c>
      <c r="J528">
        <v>2.5000000000000001E-3</v>
      </c>
      <c r="K528" s="14">
        <v>5665.137832149725</v>
      </c>
      <c r="L528" s="14">
        <v>333914.14612083195</v>
      </c>
      <c r="M528" s="36">
        <f>IF(Output[[#This Row],[Index]]=1,Output[[#This Row],[Droit Utilisation]],P527)</f>
        <v>217246.20179602614</v>
      </c>
      <c r="N528" s="15">
        <f>Output[[#This Row],[Capital Debut Period]]*Output[[#This Row],[Tx_interet_M]]</f>
        <v>543.1155044900654</v>
      </c>
      <c r="O528" s="15">
        <f>Output[[#This Row],[Mensualité initial]]-Output[[#This Row],[Interet]]</f>
        <v>5456.8844955099348</v>
      </c>
      <c r="P528" s="15">
        <f>Output[[#This Row],[Capital Debut Period]]-Output[[#This Row],[Paiement Principal]]</f>
        <v>211789.31730051621</v>
      </c>
      <c r="Q528" s="15">
        <f>Output[[#This Row],[Droit Utilisation]]/Output[[#This Row],[Duree_Mois]]</f>
        <v>5565.2357686805326</v>
      </c>
    </row>
    <row r="529" spans="1:17" x14ac:dyDescent="0.25">
      <c r="A529" s="11" t="s">
        <v>9</v>
      </c>
      <c r="B529" s="12">
        <v>43831</v>
      </c>
      <c r="C529">
        <v>6000</v>
      </c>
      <c r="D529">
        <v>5</v>
      </c>
      <c r="E529">
        <v>0.03</v>
      </c>
      <c r="F529">
        <v>60</v>
      </c>
      <c r="G529" s="13">
        <v>44561</v>
      </c>
      <c r="H529">
        <v>528</v>
      </c>
      <c r="I529">
        <v>24</v>
      </c>
      <c r="J529">
        <v>2.5000000000000001E-3</v>
      </c>
      <c r="K529" s="14">
        <v>5651.010306383766</v>
      </c>
      <c r="L529" s="14">
        <v>333914.14612083195</v>
      </c>
      <c r="M529" s="36">
        <f>IF(Output[[#This Row],[Index]]=1,Output[[#This Row],[Droit Utilisation]],P528)</f>
        <v>211789.31730051621</v>
      </c>
      <c r="N529" s="15">
        <f>Output[[#This Row],[Capital Debut Period]]*Output[[#This Row],[Tx_interet_M]]</f>
        <v>529.47329325129056</v>
      </c>
      <c r="O529" s="15">
        <f>Output[[#This Row],[Mensualité initial]]-Output[[#This Row],[Interet]]</f>
        <v>5470.5267067487093</v>
      </c>
      <c r="P529" s="15">
        <f>Output[[#This Row],[Capital Debut Period]]-Output[[#This Row],[Paiement Principal]]</f>
        <v>206318.79059376751</v>
      </c>
      <c r="Q529" s="15">
        <f>Output[[#This Row],[Droit Utilisation]]/Output[[#This Row],[Duree_Mois]]</f>
        <v>5565.2357686805326</v>
      </c>
    </row>
    <row r="530" spans="1:17" x14ac:dyDescent="0.25">
      <c r="A530" s="11" t="s">
        <v>9</v>
      </c>
      <c r="B530" s="12">
        <v>43831</v>
      </c>
      <c r="C530">
        <v>6000</v>
      </c>
      <c r="D530">
        <v>5</v>
      </c>
      <c r="E530">
        <v>0.03</v>
      </c>
      <c r="F530">
        <v>60</v>
      </c>
      <c r="G530" s="13">
        <v>44592</v>
      </c>
      <c r="H530">
        <v>529</v>
      </c>
      <c r="I530">
        <v>25</v>
      </c>
      <c r="J530">
        <v>2.5000000000000001E-3</v>
      </c>
      <c r="K530" s="14">
        <v>5636.9180113553775</v>
      </c>
      <c r="L530" s="14">
        <v>333914.14612083195</v>
      </c>
      <c r="M530" s="36">
        <f>IF(Output[[#This Row],[Index]]=1,Output[[#This Row],[Droit Utilisation]],P529)</f>
        <v>206318.79059376751</v>
      </c>
      <c r="N530" s="15">
        <f>Output[[#This Row],[Capital Debut Period]]*Output[[#This Row],[Tx_interet_M]]</f>
        <v>515.79697648441879</v>
      </c>
      <c r="O530" s="15">
        <f>Output[[#This Row],[Mensualité initial]]-Output[[#This Row],[Interet]]</f>
        <v>5484.2030235155817</v>
      </c>
      <c r="P530" s="15">
        <f>Output[[#This Row],[Capital Debut Period]]-Output[[#This Row],[Paiement Principal]]</f>
        <v>200834.58757025193</v>
      </c>
      <c r="Q530" s="15">
        <f>Output[[#This Row],[Droit Utilisation]]/Output[[#This Row],[Duree_Mois]]</f>
        <v>5565.2357686805326</v>
      </c>
    </row>
    <row r="531" spans="1:17" x14ac:dyDescent="0.25">
      <c r="A531" s="11" t="s">
        <v>9</v>
      </c>
      <c r="B531" s="12">
        <v>43831</v>
      </c>
      <c r="C531">
        <v>6000</v>
      </c>
      <c r="D531">
        <v>5</v>
      </c>
      <c r="E531">
        <v>0.03</v>
      </c>
      <c r="F531">
        <v>60</v>
      </c>
      <c r="G531" s="13">
        <v>44620</v>
      </c>
      <c r="H531">
        <v>530</v>
      </c>
      <c r="I531">
        <v>26</v>
      </c>
      <c r="J531">
        <v>2.5000000000000001E-3</v>
      </c>
      <c r="K531" s="14">
        <v>5622.8608592073597</v>
      </c>
      <c r="L531" s="14">
        <v>333914.14612083195</v>
      </c>
      <c r="M531" s="36">
        <f>IF(Output[[#This Row],[Index]]=1,Output[[#This Row],[Droit Utilisation]],P530)</f>
        <v>200834.58757025193</v>
      </c>
      <c r="N531" s="15">
        <f>Output[[#This Row],[Capital Debut Period]]*Output[[#This Row],[Tx_interet_M]]</f>
        <v>502.08646892562984</v>
      </c>
      <c r="O531" s="15">
        <f>Output[[#This Row],[Mensualité initial]]-Output[[#This Row],[Interet]]</f>
        <v>5497.9135310743704</v>
      </c>
      <c r="P531" s="15">
        <f>Output[[#This Row],[Capital Debut Period]]-Output[[#This Row],[Paiement Principal]]</f>
        <v>195336.67403917757</v>
      </c>
      <c r="Q531" s="15">
        <f>Output[[#This Row],[Droit Utilisation]]/Output[[#This Row],[Duree_Mois]]</f>
        <v>5565.2357686805326</v>
      </c>
    </row>
    <row r="532" spans="1:17" x14ac:dyDescent="0.25">
      <c r="A532" s="11" t="s">
        <v>9</v>
      </c>
      <c r="B532" s="12">
        <v>43831</v>
      </c>
      <c r="C532">
        <v>6000</v>
      </c>
      <c r="D532">
        <v>5</v>
      </c>
      <c r="E532">
        <v>0.03</v>
      </c>
      <c r="F532">
        <v>60</v>
      </c>
      <c r="G532" s="13">
        <v>44651</v>
      </c>
      <c r="H532">
        <v>531</v>
      </c>
      <c r="I532">
        <v>27</v>
      </c>
      <c r="J532">
        <v>2.5000000000000001E-3</v>
      </c>
      <c r="K532" s="14">
        <v>5608.838762301606</v>
      </c>
      <c r="L532" s="14">
        <v>333914.14612083195</v>
      </c>
      <c r="M532" s="36">
        <f>IF(Output[[#This Row],[Index]]=1,Output[[#This Row],[Droit Utilisation]],P531)</f>
        <v>195336.67403917757</v>
      </c>
      <c r="N532" s="15">
        <f>Output[[#This Row],[Capital Debut Period]]*Output[[#This Row],[Tx_interet_M]]</f>
        <v>488.34168509794392</v>
      </c>
      <c r="O532" s="15">
        <f>Output[[#This Row],[Mensualité initial]]-Output[[#This Row],[Interet]]</f>
        <v>5511.6583149020562</v>
      </c>
      <c r="P532" s="15">
        <f>Output[[#This Row],[Capital Debut Period]]-Output[[#This Row],[Paiement Principal]]</f>
        <v>189825.01572427552</v>
      </c>
      <c r="Q532" s="15">
        <f>Output[[#This Row],[Droit Utilisation]]/Output[[#This Row],[Duree_Mois]]</f>
        <v>5565.2357686805326</v>
      </c>
    </row>
    <row r="533" spans="1:17" x14ac:dyDescent="0.25">
      <c r="A533" s="11" t="s">
        <v>9</v>
      </c>
      <c r="B533" s="12">
        <v>43831</v>
      </c>
      <c r="C533">
        <v>6000</v>
      </c>
      <c r="D533">
        <v>5</v>
      </c>
      <c r="E533">
        <v>0.03</v>
      </c>
      <c r="F533">
        <v>60</v>
      </c>
      <c r="G533" s="13">
        <v>44681</v>
      </c>
      <c r="H533">
        <v>532</v>
      </c>
      <c r="I533">
        <v>28</v>
      </c>
      <c r="J533">
        <v>2.5000000000000001E-3</v>
      </c>
      <c r="K533" s="14">
        <v>5594.85163321856</v>
      </c>
      <c r="L533" s="14">
        <v>333914.14612083195</v>
      </c>
      <c r="M533" s="36">
        <f>IF(Output[[#This Row],[Index]]=1,Output[[#This Row],[Droit Utilisation]],P532)</f>
        <v>189825.01572427552</v>
      </c>
      <c r="N533" s="15">
        <f>Output[[#This Row],[Capital Debut Period]]*Output[[#This Row],[Tx_interet_M]]</f>
        <v>474.56253931068881</v>
      </c>
      <c r="O533" s="15">
        <f>Output[[#This Row],[Mensualité initial]]-Output[[#This Row],[Interet]]</f>
        <v>5525.4374606893116</v>
      </c>
      <c r="P533" s="15">
        <f>Output[[#This Row],[Capital Debut Period]]-Output[[#This Row],[Paiement Principal]]</f>
        <v>184299.57826358621</v>
      </c>
      <c r="Q533" s="15">
        <f>Output[[#This Row],[Droit Utilisation]]/Output[[#This Row],[Duree_Mois]]</f>
        <v>5565.2357686805326</v>
      </c>
    </row>
    <row r="534" spans="1:17" x14ac:dyDescent="0.25">
      <c r="A534" s="11" t="s">
        <v>9</v>
      </c>
      <c r="B534" s="12">
        <v>43831</v>
      </c>
      <c r="C534">
        <v>6000</v>
      </c>
      <c r="D534">
        <v>5</v>
      </c>
      <c r="E534">
        <v>0.03</v>
      </c>
      <c r="F534">
        <v>60</v>
      </c>
      <c r="G534" s="13">
        <v>44712</v>
      </c>
      <c r="H534">
        <v>533</v>
      </c>
      <c r="I534">
        <v>29</v>
      </c>
      <c r="J534">
        <v>2.5000000000000001E-3</v>
      </c>
      <c r="K534" s="14">
        <v>5580.899384756669</v>
      </c>
      <c r="L534" s="14">
        <v>333914.14612083195</v>
      </c>
      <c r="M534" s="36">
        <f>IF(Output[[#This Row],[Index]]=1,Output[[#This Row],[Droit Utilisation]],P533)</f>
        <v>184299.57826358621</v>
      </c>
      <c r="N534" s="15">
        <f>Output[[#This Row],[Capital Debut Period]]*Output[[#This Row],[Tx_interet_M]]</f>
        <v>460.74894565896557</v>
      </c>
      <c r="O534" s="15">
        <f>Output[[#This Row],[Mensualité initial]]-Output[[#This Row],[Interet]]</f>
        <v>5539.2510543410344</v>
      </c>
      <c r="P534" s="15">
        <f>Output[[#This Row],[Capital Debut Period]]-Output[[#This Row],[Paiement Principal]]</f>
        <v>178760.32720924518</v>
      </c>
      <c r="Q534" s="15">
        <f>Output[[#This Row],[Droit Utilisation]]/Output[[#This Row],[Duree_Mois]]</f>
        <v>5565.2357686805326</v>
      </c>
    </row>
    <row r="535" spans="1:17" x14ac:dyDescent="0.25">
      <c r="A535" s="11" t="s">
        <v>9</v>
      </c>
      <c r="B535" s="12">
        <v>43831</v>
      </c>
      <c r="C535">
        <v>6000</v>
      </c>
      <c r="D535">
        <v>5</v>
      </c>
      <c r="E535">
        <v>0.03</v>
      </c>
      <c r="F535">
        <v>60</v>
      </c>
      <c r="G535" s="13">
        <v>44742</v>
      </c>
      <c r="H535">
        <v>534</v>
      </c>
      <c r="I535">
        <v>30</v>
      </c>
      <c r="J535">
        <v>2.5000000000000001E-3</v>
      </c>
      <c r="K535" s="14">
        <v>5566.9819299318397</v>
      </c>
      <c r="L535" s="14">
        <v>333914.14612083195</v>
      </c>
      <c r="M535" s="36">
        <f>IF(Output[[#This Row],[Index]]=1,Output[[#This Row],[Droit Utilisation]],P534)</f>
        <v>178760.32720924518</v>
      </c>
      <c r="N535" s="15">
        <f>Output[[#This Row],[Capital Debut Period]]*Output[[#This Row],[Tx_interet_M]]</f>
        <v>446.90081802311295</v>
      </c>
      <c r="O535" s="15">
        <f>Output[[#This Row],[Mensualité initial]]-Output[[#This Row],[Interet]]</f>
        <v>5553.0991819768869</v>
      </c>
      <c r="P535" s="15">
        <f>Output[[#This Row],[Capital Debut Period]]-Output[[#This Row],[Paiement Principal]]</f>
        <v>173207.22802726828</v>
      </c>
      <c r="Q535" s="15">
        <f>Output[[#This Row],[Droit Utilisation]]/Output[[#This Row],[Duree_Mois]]</f>
        <v>5565.2357686805326</v>
      </c>
    </row>
    <row r="536" spans="1:17" x14ac:dyDescent="0.25">
      <c r="A536" s="11" t="s">
        <v>9</v>
      </c>
      <c r="B536" s="12">
        <v>43831</v>
      </c>
      <c r="C536">
        <v>6000</v>
      </c>
      <c r="D536">
        <v>5</v>
      </c>
      <c r="E536">
        <v>0.03</v>
      </c>
      <c r="F536">
        <v>60</v>
      </c>
      <c r="G536" s="13">
        <v>44773</v>
      </c>
      <c r="H536">
        <v>535</v>
      </c>
      <c r="I536">
        <v>31</v>
      </c>
      <c r="J536">
        <v>2.5000000000000001E-3</v>
      </c>
      <c r="K536" s="14">
        <v>5553.0991819768969</v>
      </c>
      <c r="L536" s="14">
        <v>333914.14612083195</v>
      </c>
      <c r="M536" s="36">
        <f>IF(Output[[#This Row],[Index]]=1,Output[[#This Row],[Droit Utilisation]],P535)</f>
        <v>173207.22802726828</v>
      </c>
      <c r="N536" s="15">
        <f>Output[[#This Row],[Capital Debut Period]]*Output[[#This Row],[Tx_interet_M]]</f>
        <v>433.01807006817074</v>
      </c>
      <c r="O536" s="15">
        <f>Output[[#This Row],[Mensualité initial]]-Output[[#This Row],[Interet]]</f>
        <v>5566.9819299318297</v>
      </c>
      <c r="P536" s="15">
        <f>Output[[#This Row],[Capital Debut Period]]-Output[[#This Row],[Paiement Principal]]</f>
        <v>167640.24609733647</v>
      </c>
      <c r="Q536" s="15">
        <f>Output[[#This Row],[Droit Utilisation]]/Output[[#This Row],[Duree_Mois]]</f>
        <v>5565.2357686805326</v>
      </c>
    </row>
    <row r="537" spans="1:17" x14ac:dyDescent="0.25">
      <c r="A537" s="11" t="s">
        <v>9</v>
      </c>
      <c r="B537" s="12">
        <v>43831</v>
      </c>
      <c r="C537">
        <v>6000</v>
      </c>
      <c r="D537">
        <v>5</v>
      </c>
      <c r="E537">
        <v>0.03</v>
      </c>
      <c r="F537">
        <v>60</v>
      </c>
      <c r="G537" s="13">
        <v>44804</v>
      </c>
      <c r="H537">
        <v>536</v>
      </c>
      <c r="I537">
        <v>32</v>
      </c>
      <c r="J537">
        <v>2.5000000000000001E-3</v>
      </c>
      <c r="K537" s="14">
        <v>5539.2510543410453</v>
      </c>
      <c r="L537" s="14">
        <v>333914.14612083195</v>
      </c>
      <c r="M537" s="36">
        <f>IF(Output[[#This Row],[Index]]=1,Output[[#This Row],[Droit Utilisation]],P536)</f>
        <v>167640.24609733647</v>
      </c>
      <c r="N537" s="15">
        <f>Output[[#This Row],[Capital Debut Period]]*Output[[#This Row],[Tx_interet_M]]</f>
        <v>419.10061524334117</v>
      </c>
      <c r="O537" s="15">
        <f>Output[[#This Row],[Mensualité initial]]-Output[[#This Row],[Interet]]</f>
        <v>5580.8993847566589</v>
      </c>
      <c r="P537" s="15">
        <f>Output[[#This Row],[Capital Debut Period]]-Output[[#This Row],[Paiement Principal]]</f>
        <v>162059.34671257981</v>
      </c>
      <c r="Q537" s="15">
        <f>Output[[#This Row],[Droit Utilisation]]/Output[[#This Row],[Duree_Mois]]</f>
        <v>5565.2357686805326</v>
      </c>
    </row>
    <row r="538" spans="1:17" x14ac:dyDescent="0.25">
      <c r="A538" s="11" t="s">
        <v>9</v>
      </c>
      <c r="B538" s="12">
        <v>43831</v>
      </c>
      <c r="C538">
        <v>6000</v>
      </c>
      <c r="D538">
        <v>5</v>
      </c>
      <c r="E538">
        <v>0.03</v>
      </c>
      <c r="F538">
        <v>60</v>
      </c>
      <c r="G538" s="13">
        <v>44834</v>
      </c>
      <c r="H538">
        <v>537</v>
      </c>
      <c r="I538">
        <v>33</v>
      </c>
      <c r="J538">
        <v>2.5000000000000001E-3</v>
      </c>
      <c r="K538" s="14">
        <v>5525.4374606893225</v>
      </c>
      <c r="L538" s="14">
        <v>333914.14612083195</v>
      </c>
      <c r="M538" s="36">
        <f>IF(Output[[#This Row],[Index]]=1,Output[[#This Row],[Droit Utilisation]],P537)</f>
        <v>162059.34671257981</v>
      </c>
      <c r="N538" s="15">
        <f>Output[[#This Row],[Capital Debut Period]]*Output[[#This Row],[Tx_interet_M]]</f>
        <v>405.14836678144951</v>
      </c>
      <c r="O538" s="15">
        <f>Output[[#This Row],[Mensualité initial]]-Output[[#This Row],[Interet]]</f>
        <v>5594.8516332185509</v>
      </c>
      <c r="P538" s="15">
        <f>Output[[#This Row],[Capital Debut Period]]-Output[[#This Row],[Paiement Principal]]</f>
        <v>156464.49507936125</v>
      </c>
      <c r="Q538" s="15">
        <f>Output[[#This Row],[Droit Utilisation]]/Output[[#This Row],[Duree_Mois]]</f>
        <v>5565.2357686805326</v>
      </c>
    </row>
    <row r="539" spans="1:17" x14ac:dyDescent="0.25">
      <c r="A539" s="11" t="s">
        <v>9</v>
      </c>
      <c r="B539" s="12">
        <v>43831</v>
      </c>
      <c r="C539">
        <v>6000</v>
      </c>
      <c r="D539">
        <v>5</v>
      </c>
      <c r="E539">
        <v>0.03</v>
      </c>
      <c r="F539">
        <v>60</v>
      </c>
      <c r="G539" s="13">
        <v>44865</v>
      </c>
      <c r="H539">
        <v>538</v>
      </c>
      <c r="I539">
        <v>34</v>
      </c>
      <c r="J539">
        <v>2.5000000000000001E-3</v>
      </c>
      <c r="K539" s="14">
        <v>5511.6583149020671</v>
      </c>
      <c r="L539" s="14">
        <v>333914.14612083195</v>
      </c>
      <c r="M539" s="36">
        <f>IF(Output[[#This Row],[Index]]=1,Output[[#This Row],[Droit Utilisation]],P538)</f>
        <v>156464.49507936125</v>
      </c>
      <c r="N539" s="15">
        <f>Output[[#This Row],[Capital Debut Period]]*Output[[#This Row],[Tx_interet_M]]</f>
        <v>391.16123769840311</v>
      </c>
      <c r="O539" s="15">
        <f>Output[[#This Row],[Mensualité initial]]-Output[[#This Row],[Interet]]</f>
        <v>5608.8387623015969</v>
      </c>
      <c r="P539" s="15">
        <f>Output[[#This Row],[Capital Debut Period]]-Output[[#This Row],[Paiement Principal]]</f>
        <v>150855.65631705965</v>
      </c>
      <c r="Q539" s="15">
        <f>Output[[#This Row],[Droit Utilisation]]/Output[[#This Row],[Duree_Mois]]</f>
        <v>5565.2357686805326</v>
      </c>
    </row>
    <row r="540" spans="1:17" x14ac:dyDescent="0.25">
      <c r="A540" s="11" t="s">
        <v>9</v>
      </c>
      <c r="B540" s="12">
        <v>43831</v>
      </c>
      <c r="C540">
        <v>6000</v>
      </c>
      <c r="D540">
        <v>5</v>
      </c>
      <c r="E540">
        <v>0.03</v>
      </c>
      <c r="F540">
        <v>60</v>
      </c>
      <c r="G540" s="13">
        <v>44895</v>
      </c>
      <c r="H540">
        <v>539</v>
      </c>
      <c r="I540">
        <v>35</v>
      </c>
      <c r="J540">
        <v>2.5000000000000001E-3</v>
      </c>
      <c r="K540" s="14">
        <v>5497.9135310743814</v>
      </c>
      <c r="L540" s="14">
        <v>333914.14612083195</v>
      </c>
      <c r="M540" s="36">
        <f>IF(Output[[#This Row],[Index]]=1,Output[[#This Row],[Droit Utilisation]],P539)</f>
        <v>150855.65631705965</v>
      </c>
      <c r="N540" s="15">
        <f>Output[[#This Row],[Capital Debut Period]]*Output[[#This Row],[Tx_interet_M]]</f>
        <v>377.13914079264913</v>
      </c>
      <c r="O540" s="15">
        <f>Output[[#This Row],[Mensualité initial]]-Output[[#This Row],[Interet]]</f>
        <v>5622.8608592073506</v>
      </c>
      <c r="P540" s="15">
        <f>Output[[#This Row],[Capital Debut Period]]-Output[[#This Row],[Paiement Principal]]</f>
        <v>145232.79545785231</v>
      </c>
      <c r="Q540" s="15">
        <f>Output[[#This Row],[Droit Utilisation]]/Output[[#This Row],[Duree_Mois]]</f>
        <v>5565.2357686805326</v>
      </c>
    </row>
    <row r="541" spans="1:17" x14ac:dyDescent="0.25">
      <c r="A541" s="11" t="s">
        <v>9</v>
      </c>
      <c r="B541" s="12">
        <v>43831</v>
      </c>
      <c r="C541">
        <v>6000</v>
      </c>
      <c r="D541">
        <v>5</v>
      </c>
      <c r="E541">
        <v>0.03</v>
      </c>
      <c r="F541">
        <v>60</v>
      </c>
      <c r="G541" s="13">
        <v>44926</v>
      </c>
      <c r="H541">
        <v>540</v>
      </c>
      <c r="I541">
        <v>36</v>
      </c>
      <c r="J541">
        <v>2.5000000000000001E-3</v>
      </c>
      <c r="K541" s="14">
        <v>5484.2030235155926</v>
      </c>
      <c r="L541" s="14">
        <v>333914.14612083195</v>
      </c>
      <c r="M541" s="36">
        <f>IF(Output[[#This Row],[Index]]=1,Output[[#This Row],[Droit Utilisation]],P540)</f>
        <v>145232.79545785231</v>
      </c>
      <c r="N541" s="15">
        <f>Output[[#This Row],[Capital Debut Period]]*Output[[#This Row],[Tx_interet_M]]</f>
        <v>363.08198864463077</v>
      </c>
      <c r="O541" s="15">
        <f>Output[[#This Row],[Mensualité initial]]-Output[[#This Row],[Interet]]</f>
        <v>5636.9180113553693</v>
      </c>
      <c r="P541" s="15">
        <f>Output[[#This Row],[Capital Debut Period]]-Output[[#This Row],[Paiement Principal]]</f>
        <v>139595.87744649695</v>
      </c>
      <c r="Q541" s="15">
        <f>Output[[#This Row],[Droit Utilisation]]/Output[[#This Row],[Duree_Mois]]</f>
        <v>5565.2357686805326</v>
      </c>
    </row>
    <row r="542" spans="1:17" x14ac:dyDescent="0.25">
      <c r="A542" s="11" t="s">
        <v>9</v>
      </c>
      <c r="B542" s="12">
        <v>43831</v>
      </c>
      <c r="C542">
        <v>6000</v>
      </c>
      <c r="D542">
        <v>5</v>
      </c>
      <c r="E542">
        <v>0.03</v>
      </c>
      <c r="F542">
        <v>60</v>
      </c>
      <c r="G542" s="13">
        <v>44957</v>
      </c>
      <c r="H542">
        <v>541</v>
      </c>
      <c r="I542">
        <v>37</v>
      </c>
      <c r="J542">
        <v>2.5000000000000001E-3</v>
      </c>
      <c r="K542" s="14">
        <v>5470.5267067487212</v>
      </c>
      <c r="L542" s="14">
        <v>333914.14612083195</v>
      </c>
      <c r="M542" s="36">
        <f>IF(Output[[#This Row],[Index]]=1,Output[[#This Row],[Droit Utilisation]],P541)</f>
        <v>139595.87744649695</v>
      </c>
      <c r="N542" s="15">
        <f>Output[[#This Row],[Capital Debut Period]]*Output[[#This Row],[Tx_interet_M]]</f>
        <v>348.98969361624239</v>
      </c>
      <c r="O542" s="15">
        <f>Output[[#This Row],[Mensualité initial]]-Output[[#This Row],[Interet]]</f>
        <v>5651.0103063837578</v>
      </c>
      <c r="P542" s="15">
        <f>Output[[#This Row],[Capital Debut Period]]-Output[[#This Row],[Paiement Principal]]</f>
        <v>133944.8671401132</v>
      </c>
      <c r="Q542" s="15">
        <f>Output[[#This Row],[Droit Utilisation]]/Output[[#This Row],[Duree_Mois]]</f>
        <v>5565.2357686805326</v>
      </c>
    </row>
    <row r="543" spans="1:17" x14ac:dyDescent="0.25">
      <c r="A543" s="11" t="s">
        <v>9</v>
      </c>
      <c r="B543" s="12">
        <v>43831</v>
      </c>
      <c r="C543">
        <v>6000</v>
      </c>
      <c r="D543">
        <v>5</v>
      </c>
      <c r="E543">
        <v>0.03</v>
      </c>
      <c r="F543">
        <v>60</v>
      </c>
      <c r="G543" s="13">
        <v>44985</v>
      </c>
      <c r="H543">
        <v>542</v>
      </c>
      <c r="I543">
        <v>38</v>
      </c>
      <c r="J543">
        <v>2.5000000000000001E-3</v>
      </c>
      <c r="K543" s="14">
        <v>5456.8844955099466</v>
      </c>
      <c r="L543" s="14">
        <v>333914.14612083195</v>
      </c>
      <c r="M543" s="36">
        <f>IF(Output[[#This Row],[Index]]=1,Output[[#This Row],[Droit Utilisation]],P542)</f>
        <v>133944.8671401132</v>
      </c>
      <c r="N543" s="15">
        <f>Output[[#This Row],[Capital Debut Period]]*Output[[#This Row],[Tx_interet_M]]</f>
        <v>334.86216785028302</v>
      </c>
      <c r="O543" s="15">
        <f>Output[[#This Row],[Mensualité initial]]-Output[[#This Row],[Interet]]</f>
        <v>5665.1378321497168</v>
      </c>
      <c r="P543" s="15">
        <f>Output[[#This Row],[Capital Debut Period]]-Output[[#This Row],[Paiement Principal]]</f>
        <v>128279.72930796348</v>
      </c>
      <c r="Q543" s="15">
        <f>Output[[#This Row],[Droit Utilisation]]/Output[[#This Row],[Duree_Mois]]</f>
        <v>5565.2357686805326</v>
      </c>
    </row>
    <row r="544" spans="1:17" x14ac:dyDescent="0.25">
      <c r="A544" s="11" t="s">
        <v>9</v>
      </c>
      <c r="B544" s="12">
        <v>43831</v>
      </c>
      <c r="C544">
        <v>6000</v>
      </c>
      <c r="D544">
        <v>5</v>
      </c>
      <c r="E544">
        <v>0.03</v>
      </c>
      <c r="F544">
        <v>60</v>
      </c>
      <c r="G544" s="13">
        <v>45016</v>
      </c>
      <c r="H544">
        <v>543</v>
      </c>
      <c r="I544">
        <v>39</v>
      </c>
      <c r="J544">
        <v>2.5000000000000001E-3</v>
      </c>
      <c r="K544" s="14">
        <v>5443.2763047480767</v>
      </c>
      <c r="L544" s="14">
        <v>333914.14612083195</v>
      </c>
      <c r="M544" s="36">
        <f>IF(Output[[#This Row],[Index]]=1,Output[[#This Row],[Droit Utilisation]],P543)</f>
        <v>128279.72930796348</v>
      </c>
      <c r="N544" s="15">
        <f>Output[[#This Row],[Capital Debut Period]]*Output[[#This Row],[Tx_interet_M]]</f>
        <v>320.69932326990869</v>
      </c>
      <c r="O544" s="15">
        <f>Output[[#This Row],[Mensualité initial]]-Output[[#This Row],[Interet]]</f>
        <v>5679.3006767300913</v>
      </c>
      <c r="P544" s="15">
        <f>Output[[#This Row],[Capital Debut Period]]-Output[[#This Row],[Paiement Principal]]</f>
        <v>122600.42863123339</v>
      </c>
      <c r="Q544" s="15">
        <f>Output[[#This Row],[Droit Utilisation]]/Output[[#This Row],[Duree_Mois]]</f>
        <v>5565.2357686805326</v>
      </c>
    </row>
    <row r="545" spans="1:17" x14ac:dyDescent="0.25">
      <c r="A545" s="11" t="s">
        <v>9</v>
      </c>
      <c r="B545" s="12">
        <v>43831</v>
      </c>
      <c r="C545">
        <v>6000</v>
      </c>
      <c r="D545">
        <v>5</v>
      </c>
      <c r="E545">
        <v>0.03</v>
      </c>
      <c r="F545">
        <v>60</v>
      </c>
      <c r="G545" s="13">
        <v>45046</v>
      </c>
      <c r="H545">
        <v>544</v>
      </c>
      <c r="I545">
        <v>40</v>
      </c>
      <c r="J545">
        <v>2.5000000000000001E-3</v>
      </c>
      <c r="K545" s="14">
        <v>5429.7020496240175</v>
      </c>
      <c r="L545" s="14">
        <v>333914.14612083195</v>
      </c>
      <c r="M545" s="36">
        <f>IF(Output[[#This Row],[Index]]=1,Output[[#This Row],[Droit Utilisation]],P544)</f>
        <v>122600.42863123339</v>
      </c>
      <c r="N545" s="15">
        <f>Output[[#This Row],[Capital Debut Period]]*Output[[#This Row],[Tx_interet_M]]</f>
        <v>306.5010715780835</v>
      </c>
      <c r="O545" s="15">
        <f>Output[[#This Row],[Mensualité initial]]-Output[[#This Row],[Interet]]</f>
        <v>5693.4989284219164</v>
      </c>
      <c r="P545" s="15">
        <f>Output[[#This Row],[Capital Debut Period]]-Output[[#This Row],[Paiement Principal]]</f>
        <v>116906.92970281147</v>
      </c>
      <c r="Q545" s="15">
        <f>Output[[#This Row],[Droit Utilisation]]/Output[[#This Row],[Duree_Mois]]</f>
        <v>5565.2357686805326</v>
      </c>
    </row>
    <row r="546" spans="1:17" x14ac:dyDescent="0.25">
      <c r="A546" s="11" t="s">
        <v>9</v>
      </c>
      <c r="B546" s="12">
        <v>43831</v>
      </c>
      <c r="C546">
        <v>6000</v>
      </c>
      <c r="D546">
        <v>5</v>
      </c>
      <c r="E546">
        <v>0.03</v>
      </c>
      <c r="F546">
        <v>60</v>
      </c>
      <c r="G546" s="13">
        <v>45077</v>
      </c>
      <c r="H546">
        <v>545</v>
      </c>
      <c r="I546">
        <v>41</v>
      </c>
      <c r="J546">
        <v>2.5000000000000001E-3</v>
      </c>
      <c r="K546" s="14">
        <v>5416.1616455102412</v>
      </c>
      <c r="L546" s="14">
        <v>333914.14612083195</v>
      </c>
      <c r="M546" s="36">
        <f>IF(Output[[#This Row],[Index]]=1,Output[[#This Row],[Droit Utilisation]],P545)</f>
        <v>116906.92970281147</v>
      </c>
      <c r="N546" s="15">
        <f>Output[[#This Row],[Capital Debut Period]]*Output[[#This Row],[Tx_interet_M]]</f>
        <v>292.26732425702869</v>
      </c>
      <c r="O546" s="15">
        <f>Output[[#This Row],[Mensualité initial]]-Output[[#This Row],[Interet]]</f>
        <v>5707.732675742971</v>
      </c>
      <c r="P546" s="15">
        <f>Output[[#This Row],[Capital Debut Period]]-Output[[#This Row],[Paiement Principal]]</f>
        <v>111199.1970270685</v>
      </c>
      <c r="Q546" s="15">
        <f>Output[[#This Row],[Droit Utilisation]]/Output[[#This Row],[Duree_Mois]]</f>
        <v>5565.2357686805326</v>
      </c>
    </row>
    <row r="547" spans="1:17" x14ac:dyDescent="0.25">
      <c r="A547" s="11" t="s">
        <v>9</v>
      </c>
      <c r="B547" s="12">
        <v>43831</v>
      </c>
      <c r="C547">
        <v>6000</v>
      </c>
      <c r="D547">
        <v>5</v>
      </c>
      <c r="E547">
        <v>0.03</v>
      </c>
      <c r="F547">
        <v>60</v>
      </c>
      <c r="G547" s="13">
        <v>45107</v>
      </c>
      <c r="H547">
        <v>546</v>
      </c>
      <c r="I547">
        <v>42</v>
      </c>
      <c r="J547">
        <v>2.5000000000000001E-3</v>
      </c>
      <c r="K547" s="14">
        <v>5402.6550079902663</v>
      </c>
      <c r="L547" s="14">
        <v>333914.14612083195</v>
      </c>
      <c r="M547" s="36">
        <f>IF(Output[[#This Row],[Index]]=1,Output[[#This Row],[Droit Utilisation]],P546)</f>
        <v>111199.1970270685</v>
      </c>
      <c r="N547" s="15">
        <f>Output[[#This Row],[Capital Debut Period]]*Output[[#This Row],[Tx_interet_M]]</f>
        <v>277.99799256767125</v>
      </c>
      <c r="O547" s="15">
        <f>Output[[#This Row],[Mensualité initial]]-Output[[#This Row],[Interet]]</f>
        <v>5722.0020074323284</v>
      </c>
      <c r="P547" s="15">
        <f>Output[[#This Row],[Capital Debut Period]]-Output[[#This Row],[Paiement Principal]]</f>
        <v>105477.19501963617</v>
      </c>
      <c r="Q547" s="15">
        <f>Output[[#This Row],[Droit Utilisation]]/Output[[#This Row],[Duree_Mois]]</f>
        <v>5565.2357686805326</v>
      </c>
    </row>
    <row r="548" spans="1:17" x14ac:dyDescent="0.25">
      <c r="A548" s="11" t="s">
        <v>9</v>
      </c>
      <c r="B548" s="12">
        <v>43831</v>
      </c>
      <c r="C548">
        <v>6000</v>
      </c>
      <c r="D548">
        <v>5</v>
      </c>
      <c r="E548">
        <v>0.03</v>
      </c>
      <c r="F548">
        <v>60</v>
      </c>
      <c r="G548" s="13">
        <v>45138</v>
      </c>
      <c r="H548">
        <v>547</v>
      </c>
      <c r="I548">
        <v>43</v>
      </c>
      <c r="J548">
        <v>2.5000000000000001E-3</v>
      </c>
      <c r="K548" s="14">
        <v>5389.1820528581211</v>
      </c>
      <c r="L548" s="14">
        <v>333914.14612083195</v>
      </c>
      <c r="M548" s="36">
        <f>IF(Output[[#This Row],[Index]]=1,Output[[#This Row],[Droit Utilisation]],P547)</f>
        <v>105477.19501963617</v>
      </c>
      <c r="N548" s="15">
        <f>Output[[#This Row],[Capital Debut Period]]*Output[[#This Row],[Tx_interet_M]]</f>
        <v>263.69298754909045</v>
      </c>
      <c r="O548" s="15">
        <f>Output[[#This Row],[Mensualité initial]]-Output[[#This Row],[Interet]]</f>
        <v>5736.3070124509095</v>
      </c>
      <c r="P548" s="15">
        <f>Output[[#This Row],[Capital Debut Period]]-Output[[#This Row],[Paiement Principal]]</f>
        <v>99740.888007185262</v>
      </c>
      <c r="Q548" s="15">
        <f>Output[[#This Row],[Droit Utilisation]]/Output[[#This Row],[Duree_Mois]]</f>
        <v>5565.2357686805326</v>
      </c>
    </row>
    <row r="549" spans="1:17" x14ac:dyDescent="0.25">
      <c r="A549" s="11" t="s">
        <v>9</v>
      </c>
      <c r="B549" s="12">
        <v>43831</v>
      </c>
      <c r="C549">
        <v>6000</v>
      </c>
      <c r="D549">
        <v>5</v>
      </c>
      <c r="E549">
        <v>0.03</v>
      </c>
      <c r="F549">
        <v>60</v>
      </c>
      <c r="G549" s="13">
        <v>45169</v>
      </c>
      <c r="H549">
        <v>548</v>
      </c>
      <c r="I549">
        <v>44</v>
      </c>
      <c r="J549">
        <v>2.5000000000000001E-3</v>
      </c>
      <c r="K549" s="14">
        <v>5375.7426961178271</v>
      </c>
      <c r="L549" s="14">
        <v>333914.14612083195</v>
      </c>
      <c r="M549" s="36">
        <f>IF(Output[[#This Row],[Index]]=1,Output[[#This Row],[Droit Utilisation]],P548)</f>
        <v>99740.888007185262</v>
      </c>
      <c r="N549" s="15">
        <f>Output[[#This Row],[Capital Debut Period]]*Output[[#This Row],[Tx_interet_M]]</f>
        <v>249.35222001796316</v>
      </c>
      <c r="O549" s="15">
        <f>Output[[#This Row],[Mensualité initial]]-Output[[#This Row],[Interet]]</f>
        <v>5750.6477799820368</v>
      </c>
      <c r="P549" s="15">
        <f>Output[[#This Row],[Capital Debut Period]]-Output[[#This Row],[Paiement Principal]]</f>
        <v>93990.24022720322</v>
      </c>
      <c r="Q549" s="15">
        <f>Output[[#This Row],[Droit Utilisation]]/Output[[#This Row],[Duree_Mois]]</f>
        <v>5565.2357686805326</v>
      </c>
    </row>
    <row r="550" spans="1:17" x14ac:dyDescent="0.25">
      <c r="A550" s="11" t="s">
        <v>9</v>
      </c>
      <c r="B550" s="12">
        <v>43831</v>
      </c>
      <c r="C550">
        <v>6000</v>
      </c>
      <c r="D550">
        <v>5</v>
      </c>
      <c r="E550">
        <v>0.03</v>
      </c>
      <c r="F550">
        <v>60</v>
      </c>
      <c r="G550" s="13">
        <v>45199</v>
      </c>
      <c r="H550">
        <v>549</v>
      </c>
      <c r="I550">
        <v>45</v>
      </c>
      <c r="J550">
        <v>2.5000000000000001E-3</v>
      </c>
      <c r="K550" s="14">
        <v>5362.3368539828707</v>
      </c>
      <c r="L550" s="14">
        <v>333914.14612083195</v>
      </c>
      <c r="M550" s="36">
        <f>IF(Output[[#This Row],[Index]]=1,Output[[#This Row],[Droit Utilisation]],P549)</f>
        <v>93990.24022720322</v>
      </c>
      <c r="N550" s="15">
        <f>Output[[#This Row],[Capital Debut Period]]*Output[[#This Row],[Tx_interet_M]]</f>
        <v>234.97560056800805</v>
      </c>
      <c r="O550" s="15">
        <f>Output[[#This Row],[Mensualité initial]]-Output[[#This Row],[Interet]]</f>
        <v>5765.0243994319917</v>
      </c>
      <c r="P550" s="15">
        <f>Output[[#This Row],[Capital Debut Period]]-Output[[#This Row],[Paiement Principal]]</f>
        <v>88225.21582777123</v>
      </c>
      <c r="Q550" s="15">
        <f>Output[[#This Row],[Droit Utilisation]]/Output[[#This Row],[Duree_Mois]]</f>
        <v>5565.2357686805326</v>
      </c>
    </row>
    <row r="551" spans="1:17" x14ac:dyDescent="0.25">
      <c r="A551" s="11" t="s">
        <v>9</v>
      </c>
      <c r="B551" s="12">
        <v>43831</v>
      </c>
      <c r="C551">
        <v>6000</v>
      </c>
      <c r="D551">
        <v>5</v>
      </c>
      <c r="E551">
        <v>0.03</v>
      </c>
      <c r="F551">
        <v>60</v>
      </c>
      <c r="G551" s="13">
        <v>45230</v>
      </c>
      <c r="H551">
        <v>550</v>
      </c>
      <c r="I551">
        <v>46</v>
      </c>
      <c r="J551">
        <v>2.5000000000000001E-3</v>
      </c>
      <c r="K551" s="14">
        <v>5348.9644428756819</v>
      </c>
      <c r="L551" s="14">
        <v>333914.14612083195</v>
      </c>
      <c r="M551" s="36">
        <f>IF(Output[[#This Row],[Index]]=1,Output[[#This Row],[Droit Utilisation]],P550)</f>
        <v>88225.21582777123</v>
      </c>
      <c r="N551" s="15">
        <f>Output[[#This Row],[Capital Debut Period]]*Output[[#This Row],[Tx_interet_M]]</f>
        <v>220.56303956942807</v>
      </c>
      <c r="O551" s="15">
        <f>Output[[#This Row],[Mensualité initial]]-Output[[#This Row],[Interet]]</f>
        <v>5779.4369604305721</v>
      </c>
      <c r="P551" s="15">
        <f>Output[[#This Row],[Capital Debut Period]]-Output[[#This Row],[Paiement Principal]]</f>
        <v>82445.778867340661</v>
      </c>
      <c r="Q551" s="15">
        <f>Output[[#This Row],[Droit Utilisation]]/Output[[#This Row],[Duree_Mois]]</f>
        <v>5565.2357686805326</v>
      </c>
    </row>
    <row r="552" spans="1:17" x14ac:dyDescent="0.25">
      <c r="A552" s="11" t="s">
        <v>9</v>
      </c>
      <c r="B552" s="12">
        <v>43831</v>
      </c>
      <c r="C552">
        <v>6000</v>
      </c>
      <c r="D552">
        <v>5</v>
      </c>
      <c r="E552">
        <v>0.03</v>
      </c>
      <c r="F552">
        <v>60</v>
      </c>
      <c r="G552" s="13">
        <v>45260</v>
      </c>
      <c r="H552">
        <v>551</v>
      </c>
      <c r="I552">
        <v>47</v>
      </c>
      <c r="J552">
        <v>2.5000000000000001E-3</v>
      </c>
      <c r="K552" s="14">
        <v>5335.6253794271142</v>
      </c>
      <c r="L552" s="14">
        <v>333914.14612083195</v>
      </c>
      <c r="M552" s="36">
        <f>IF(Output[[#This Row],[Index]]=1,Output[[#This Row],[Droit Utilisation]],P551)</f>
        <v>82445.778867340661</v>
      </c>
      <c r="N552" s="15">
        <f>Output[[#This Row],[Capital Debut Period]]*Output[[#This Row],[Tx_interet_M]]</f>
        <v>206.11444716835166</v>
      </c>
      <c r="O552" s="15">
        <f>Output[[#This Row],[Mensualité initial]]-Output[[#This Row],[Interet]]</f>
        <v>5793.8855528316481</v>
      </c>
      <c r="P552" s="15">
        <f>Output[[#This Row],[Capital Debut Period]]-Output[[#This Row],[Paiement Principal]]</f>
        <v>76651.893314509012</v>
      </c>
      <c r="Q552" s="15">
        <f>Output[[#This Row],[Droit Utilisation]]/Output[[#This Row],[Duree_Mois]]</f>
        <v>5565.2357686805326</v>
      </c>
    </row>
    <row r="553" spans="1:17" x14ac:dyDescent="0.25">
      <c r="A553" s="11" t="s">
        <v>9</v>
      </c>
      <c r="B553" s="12">
        <v>43831</v>
      </c>
      <c r="C553">
        <v>6000</v>
      </c>
      <c r="D553">
        <v>5</v>
      </c>
      <c r="E553">
        <v>0.03</v>
      </c>
      <c r="F553">
        <v>60</v>
      </c>
      <c r="G553" s="13">
        <v>45291</v>
      </c>
      <c r="H553">
        <v>552</v>
      </c>
      <c r="I553">
        <v>48</v>
      </c>
      <c r="J553">
        <v>2.5000000000000001E-3</v>
      </c>
      <c r="K553" s="14">
        <v>5322.3195804759243</v>
      </c>
      <c r="L553" s="14">
        <v>333914.14612083195</v>
      </c>
      <c r="M553" s="36">
        <f>IF(Output[[#This Row],[Index]]=1,Output[[#This Row],[Droit Utilisation]],P552)</f>
        <v>76651.893314509012</v>
      </c>
      <c r="N553" s="15">
        <f>Output[[#This Row],[Capital Debut Period]]*Output[[#This Row],[Tx_interet_M]]</f>
        <v>191.62973328627254</v>
      </c>
      <c r="O553" s="15">
        <f>Output[[#This Row],[Mensualité initial]]-Output[[#This Row],[Interet]]</f>
        <v>5808.3702667137277</v>
      </c>
      <c r="P553" s="15">
        <f>Output[[#This Row],[Capital Debut Period]]-Output[[#This Row],[Paiement Principal]]</f>
        <v>70843.523047795286</v>
      </c>
      <c r="Q553" s="15">
        <f>Output[[#This Row],[Droit Utilisation]]/Output[[#This Row],[Duree_Mois]]</f>
        <v>5565.2357686805326</v>
      </c>
    </row>
    <row r="554" spans="1:17" x14ac:dyDescent="0.25">
      <c r="A554" s="11" t="s">
        <v>9</v>
      </c>
      <c r="B554" s="12">
        <v>43831</v>
      </c>
      <c r="C554">
        <v>6000</v>
      </c>
      <c r="D554">
        <v>5</v>
      </c>
      <c r="E554">
        <v>0.03</v>
      </c>
      <c r="F554">
        <v>60</v>
      </c>
      <c r="G554" s="13">
        <v>45322</v>
      </c>
      <c r="H554">
        <v>553</v>
      </c>
      <c r="I554">
        <v>49</v>
      </c>
      <c r="J554">
        <v>2.5000000000000001E-3</v>
      </c>
      <c r="K554" s="14">
        <v>5309.0469630682537</v>
      </c>
      <c r="L554" s="14">
        <v>333914.14612083195</v>
      </c>
      <c r="M554" s="36">
        <f>IF(Output[[#This Row],[Index]]=1,Output[[#This Row],[Droit Utilisation]],P553)</f>
        <v>70843.523047795286</v>
      </c>
      <c r="N554" s="15">
        <f>Output[[#This Row],[Capital Debut Period]]*Output[[#This Row],[Tx_interet_M]]</f>
        <v>177.10880761948823</v>
      </c>
      <c r="O554" s="15">
        <f>Output[[#This Row],[Mensualité initial]]-Output[[#This Row],[Interet]]</f>
        <v>5822.8911923805117</v>
      </c>
      <c r="P554" s="15">
        <f>Output[[#This Row],[Capital Debut Period]]-Output[[#This Row],[Paiement Principal]]</f>
        <v>65020.631855414773</v>
      </c>
      <c r="Q554" s="15">
        <f>Output[[#This Row],[Droit Utilisation]]/Output[[#This Row],[Duree_Mois]]</f>
        <v>5565.2357686805326</v>
      </c>
    </row>
    <row r="555" spans="1:17" x14ac:dyDescent="0.25">
      <c r="A555" s="11" t="s">
        <v>9</v>
      </c>
      <c r="B555" s="12">
        <v>43831</v>
      </c>
      <c r="C555">
        <v>6000</v>
      </c>
      <c r="D555">
        <v>5</v>
      </c>
      <c r="E555">
        <v>0.03</v>
      </c>
      <c r="F555">
        <v>60</v>
      </c>
      <c r="G555" s="13">
        <v>45351</v>
      </c>
      <c r="H555">
        <v>554</v>
      </c>
      <c r="I555">
        <v>50</v>
      </c>
      <c r="J555">
        <v>2.5000000000000001E-3</v>
      </c>
      <c r="K555" s="14">
        <v>5295.8074444571121</v>
      </c>
      <c r="L555" s="14">
        <v>333914.14612083195</v>
      </c>
      <c r="M555" s="36">
        <f>IF(Output[[#This Row],[Index]]=1,Output[[#This Row],[Droit Utilisation]],P554)</f>
        <v>65020.631855414773</v>
      </c>
      <c r="N555" s="15">
        <f>Output[[#This Row],[Capital Debut Period]]*Output[[#This Row],[Tx_interet_M]]</f>
        <v>162.55157963853694</v>
      </c>
      <c r="O555" s="15">
        <f>Output[[#This Row],[Mensualité initial]]-Output[[#This Row],[Interet]]</f>
        <v>5837.4484203614629</v>
      </c>
      <c r="P555" s="15">
        <f>Output[[#This Row],[Capital Debut Period]]-Output[[#This Row],[Paiement Principal]]</f>
        <v>59183.18343505331</v>
      </c>
      <c r="Q555" s="15">
        <f>Output[[#This Row],[Droit Utilisation]]/Output[[#This Row],[Duree_Mois]]</f>
        <v>5565.2357686805326</v>
      </c>
    </row>
    <row r="556" spans="1:17" x14ac:dyDescent="0.25">
      <c r="A556" s="11" t="s">
        <v>9</v>
      </c>
      <c r="B556" s="12">
        <v>43831</v>
      </c>
      <c r="C556">
        <v>6000</v>
      </c>
      <c r="D556">
        <v>5</v>
      </c>
      <c r="E556">
        <v>0.03</v>
      </c>
      <c r="F556">
        <v>60</v>
      </c>
      <c r="G556" s="13">
        <v>45382</v>
      </c>
      <c r="H556">
        <v>555</v>
      </c>
      <c r="I556">
        <v>51</v>
      </c>
      <c r="J556">
        <v>2.5000000000000001E-3</v>
      </c>
      <c r="K556" s="14">
        <v>5282.6009421018571</v>
      </c>
      <c r="L556" s="14">
        <v>333914.14612083195</v>
      </c>
      <c r="M556" s="36">
        <f>IF(Output[[#This Row],[Index]]=1,Output[[#This Row],[Droit Utilisation]],P555)</f>
        <v>59183.18343505331</v>
      </c>
      <c r="N556" s="15">
        <f>Output[[#This Row],[Capital Debut Period]]*Output[[#This Row],[Tx_interet_M]]</f>
        <v>147.95795858763327</v>
      </c>
      <c r="O556" s="15">
        <f>Output[[#This Row],[Mensualité initial]]-Output[[#This Row],[Interet]]</f>
        <v>5852.0420414123664</v>
      </c>
      <c r="P556" s="15">
        <f>Output[[#This Row],[Capital Debut Period]]-Output[[#This Row],[Paiement Principal]]</f>
        <v>53331.141393640944</v>
      </c>
      <c r="Q556" s="15">
        <f>Output[[#This Row],[Droit Utilisation]]/Output[[#This Row],[Duree_Mois]]</f>
        <v>5565.2357686805326</v>
      </c>
    </row>
    <row r="557" spans="1:17" x14ac:dyDescent="0.25">
      <c r="A557" s="11" t="s">
        <v>9</v>
      </c>
      <c r="B557" s="12">
        <v>43831</v>
      </c>
      <c r="C557">
        <v>6000</v>
      </c>
      <c r="D557">
        <v>5</v>
      </c>
      <c r="E557">
        <v>0.03</v>
      </c>
      <c r="F557">
        <v>60</v>
      </c>
      <c r="G557" s="13">
        <v>45412</v>
      </c>
      <c r="H557">
        <v>556</v>
      </c>
      <c r="I557">
        <v>52</v>
      </c>
      <c r="J557">
        <v>2.5000000000000001E-3</v>
      </c>
      <c r="K557" s="14">
        <v>5269.4273736676878</v>
      </c>
      <c r="L557" s="14">
        <v>333914.14612083195</v>
      </c>
      <c r="M557" s="36">
        <f>IF(Output[[#This Row],[Index]]=1,Output[[#This Row],[Droit Utilisation]],P556)</f>
        <v>53331.141393640944</v>
      </c>
      <c r="N557" s="15">
        <f>Output[[#This Row],[Capital Debut Period]]*Output[[#This Row],[Tx_interet_M]]</f>
        <v>133.32785348410238</v>
      </c>
      <c r="O557" s="15">
        <f>Output[[#This Row],[Mensualité initial]]-Output[[#This Row],[Interet]]</f>
        <v>5866.672146515898</v>
      </c>
      <c r="P557" s="15">
        <f>Output[[#This Row],[Capital Debut Period]]-Output[[#This Row],[Paiement Principal]]</f>
        <v>47464.469247125046</v>
      </c>
      <c r="Q557" s="15">
        <f>Output[[#This Row],[Droit Utilisation]]/Output[[#This Row],[Duree_Mois]]</f>
        <v>5565.2357686805326</v>
      </c>
    </row>
    <row r="558" spans="1:17" x14ac:dyDescent="0.25">
      <c r="A558" s="11" t="s">
        <v>9</v>
      </c>
      <c r="B558" s="12">
        <v>43831</v>
      </c>
      <c r="C558">
        <v>6000</v>
      </c>
      <c r="D558">
        <v>5</v>
      </c>
      <c r="E558">
        <v>0.03</v>
      </c>
      <c r="F558">
        <v>60</v>
      </c>
      <c r="G558" s="13">
        <v>45443</v>
      </c>
      <c r="H558">
        <v>557</v>
      </c>
      <c r="I558">
        <v>53</v>
      </c>
      <c r="J558">
        <v>2.5000000000000001E-3</v>
      </c>
      <c r="K558" s="14">
        <v>5256.2866570251254</v>
      </c>
      <c r="L558" s="14">
        <v>333914.14612083195</v>
      </c>
      <c r="M558" s="36">
        <f>IF(Output[[#This Row],[Index]]=1,Output[[#This Row],[Droit Utilisation]],P557)</f>
        <v>47464.469247125046</v>
      </c>
      <c r="N558" s="15">
        <f>Output[[#This Row],[Capital Debut Period]]*Output[[#This Row],[Tx_interet_M]]</f>
        <v>118.66117311781261</v>
      </c>
      <c r="O558" s="15">
        <f>Output[[#This Row],[Mensualité initial]]-Output[[#This Row],[Interet]]</f>
        <v>5881.3388268821873</v>
      </c>
      <c r="P558" s="15">
        <f>Output[[#This Row],[Capital Debut Period]]-Output[[#This Row],[Paiement Principal]]</f>
        <v>41583.130420242858</v>
      </c>
      <c r="Q558" s="15">
        <f>Output[[#This Row],[Droit Utilisation]]/Output[[#This Row],[Duree_Mois]]</f>
        <v>5565.2357686805326</v>
      </c>
    </row>
    <row r="559" spans="1:17" x14ac:dyDescent="0.25">
      <c r="A559" s="11" t="s">
        <v>9</v>
      </c>
      <c r="B559" s="12">
        <v>43831</v>
      </c>
      <c r="C559">
        <v>6000</v>
      </c>
      <c r="D559">
        <v>5</v>
      </c>
      <c r="E559">
        <v>0.03</v>
      </c>
      <c r="F559">
        <v>60</v>
      </c>
      <c r="G559" s="13">
        <v>45473</v>
      </c>
      <c r="H559">
        <v>558</v>
      </c>
      <c r="I559">
        <v>54</v>
      </c>
      <c r="J559">
        <v>2.5000000000000001E-3</v>
      </c>
      <c r="K559" s="14">
        <v>5243.1787102495018</v>
      </c>
      <c r="L559" s="14">
        <v>333914.14612083195</v>
      </c>
      <c r="M559" s="36">
        <f>IF(Output[[#This Row],[Index]]=1,Output[[#This Row],[Droit Utilisation]],P558)</f>
        <v>41583.130420242858</v>
      </c>
      <c r="N559" s="15">
        <f>Output[[#This Row],[Capital Debut Period]]*Output[[#This Row],[Tx_interet_M]]</f>
        <v>103.95782605060715</v>
      </c>
      <c r="O559" s="15">
        <f>Output[[#This Row],[Mensualité initial]]-Output[[#This Row],[Interet]]</f>
        <v>5896.0421739493931</v>
      </c>
      <c r="P559" s="15">
        <f>Output[[#This Row],[Capital Debut Period]]-Output[[#This Row],[Paiement Principal]]</f>
        <v>35687.088246293468</v>
      </c>
      <c r="Q559" s="15">
        <f>Output[[#This Row],[Droit Utilisation]]/Output[[#This Row],[Duree_Mois]]</f>
        <v>5565.2357686805326</v>
      </c>
    </row>
    <row r="560" spans="1:17" x14ac:dyDescent="0.25">
      <c r="A560" s="11" t="s">
        <v>9</v>
      </c>
      <c r="B560" s="12">
        <v>43831</v>
      </c>
      <c r="C560">
        <v>6000</v>
      </c>
      <c r="D560">
        <v>5</v>
      </c>
      <c r="E560">
        <v>0.03</v>
      </c>
      <c r="F560">
        <v>60</v>
      </c>
      <c r="G560" s="13">
        <v>45504</v>
      </c>
      <c r="H560">
        <v>559</v>
      </c>
      <c r="I560">
        <v>55</v>
      </c>
      <c r="J560">
        <v>2.5000000000000001E-3</v>
      </c>
      <c r="K560" s="14">
        <v>5230.1034516204509</v>
      </c>
      <c r="L560" s="14">
        <v>333914.14612083195</v>
      </c>
      <c r="M560" s="36">
        <f>IF(Output[[#This Row],[Index]]=1,Output[[#This Row],[Droit Utilisation]],P559)</f>
        <v>35687.088246293468</v>
      </c>
      <c r="N560" s="15">
        <f>Output[[#This Row],[Capital Debut Period]]*Output[[#This Row],[Tx_interet_M]]</f>
        <v>89.217720615733668</v>
      </c>
      <c r="O560" s="15">
        <f>Output[[#This Row],[Mensualité initial]]-Output[[#This Row],[Interet]]</f>
        <v>5910.7822793842661</v>
      </c>
      <c r="P560" s="15">
        <f>Output[[#This Row],[Capital Debut Period]]-Output[[#This Row],[Paiement Principal]]</f>
        <v>29776.305966909204</v>
      </c>
      <c r="Q560" s="15">
        <f>Output[[#This Row],[Droit Utilisation]]/Output[[#This Row],[Duree_Mois]]</f>
        <v>5565.2357686805326</v>
      </c>
    </row>
    <row r="561" spans="1:17" x14ac:dyDescent="0.25">
      <c r="A561" s="11" t="s">
        <v>9</v>
      </c>
      <c r="B561" s="12">
        <v>43831</v>
      </c>
      <c r="C561">
        <v>6000</v>
      </c>
      <c r="D561">
        <v>5</v>
      </c>
      <c r="E561">
        <v>0.03</v>
      </c>
      <c r="F561">
        <v>60</v>
      </c>
      <c r="G561" s="13">
        <v>45535</v>
      </c>
      <c r="H561">
        <v>560</v>
      </c>
      <c r="I561">
        <v>56</v>
      </c>
      <c r="J561">
        <v>2.5000000000000001E-3</v>
      </c>
      <c r="K561" s="14">
        <v>5217.0607996213976</v>
      </c>
      <c r="L561" s="14">
        <v>333914.14612083195</v>
      </c>
      <c r="M561" s="36">
        <f>IF(Output[[#This Row],[Index]]=1,Output[[#This Row],[Droit Utilisation]],P560)</f>
        <v>29776.305966909204</v>
      </c>
      <c r="N561" s="15">
        <f>Output[[#This Row],[Capital Debut Period]]*Output[[#This Row],[Tx_interet_M]]</f>
        <v>74.440764917273015</v>
      </c>
      <c r="O561" s="15">
        <f>Output[[#This Row],[Mensualité initial]]-Output[[#This Row],[Interet]]</f>
        <v>5925.5592350827274</v>
      </c>
      <c r="P561" s="15">
        <f>Output[[#This Row],[Capital Debut Period]]-Output[[#This Row],[Paiement Principal]]</f>
        <v>23850.746731826475</v>
      </c>
      <c r="Q561" s="15">
        <f>Output[[#This Row],[Droit Utilisation]]/Output[[#This Row],[Duree_Mois]]</f>
        <v>5565.2357686805326</v>
      </c>
    </row>
    <row r="562" spans="1:17" x14ac:dyDescent="0.25">
      <c r="A562" s="11" t="s">
        <v>9</v>
      </c>
      <c r="B562" s="12">
        <v>43831</v>
      </c>
      <c r="C562">
        <v>6000</v>
      </c>
      <c r="D562">
        <v>5</v>
      </c>
      <c r="E562">
        <v>0.03</v>
      </c>
      <c r="F562">
        <v>60</v>
      </c>
      <c r="G562" s="13">
        <v>45565</v>
      </c>
      <c r="H562">
        <v>561</v>
      </c>
      <c r="I562">
        <v>57</v>
      </c>
      <c r="J562">
        <v>2.5000000000000001E-3</v>
      </c>
      <c r="K562" s="14">
        <v>5204.0506729390509</v>
      </c>
      <c r="L562" s="14">
        <v>333914.14612083195</v>
      </c>
      <c r="M562" s="36">
        <f>IF(Output[[#This Row],[Index]]=1,Output[[#This Row],[Droit Utilisation]],P561)</f>
        <v>23850.746731826475</v>
      </c>
      <c r="N562" s="15">
        <f>Output[[#This Row],[Capital Debut Period]]*Output[[#This Row],[Tx_interet_M]]</f>
        <v>59.62686682956619</v>
      </c>
      <c r="O562" s="15">
        <f>Output[[#This Row],[Mensualité initial]]-Output[[#This Row],[Interet]]</f>
        <v>5940.3731331704339</v>
      </c>
      <c r="P562" s="15">
        <f>Output[[#This Row],[Capital Debut Period]]-Output[[#This Row],[Paiement Principal]]</f>
        <v>17910.373598656042</v>
      </c>
      <c r="Q562" s="15">
        <f>Output[[#This Row],[Droit Utilisation]]/Output[[#This Row],[Duree_Mois]]</f>
        <v>5565.2357686805326</v>
      </c>
    </row>
    <row r="563" spans="1:17" x14ac:dyDescent="0.25">
      <c r="A563" s="11" t="s">
        <v>9</v>
      </c>
      <c r="B563" s="12">
        <v>43831</v>
      </c>
      <c r="C563">
        <v>6000</v>
      </c>
      <c r="D563">
        <v>5</v>
      </c>
      <c r="E563">
        <v>0.03</v>
      </c>
      <c r="F563">
        <v>60</v>
      </c>
      <c r="G563" s="13">
        <v>45596</v>
      </c>
      <c r="H563">
        <v>562</v>
      </c>
      <c r="I563">
        <v>58</v>
      </c>
      <c r="J563">
        <v>2.5000000000000001E-3</v>
      </c>
      <c r="K563" s="14">
        <v>5191.0729904628934</v>
      </c>
      <c r="L563" s="14">
        <v>333914.14612083195</v>
      </c>
      <c r="M563" s="36">
        <f>IF(Output[[#This Row],[Index]]=1,Output[[#This Row],[Droit Utilisation]],P562)</f>
        <v>17910.373598656042</v>
      </c>
      <c r="N563" s="15">
        <f>Output[[#This Row],[Capital Debut Period]]*Output[[#This Row],[Tx_interet_M]]</f>
        <v>44.775933996640106</v>
      </c>
      <c r="O563" s="15">
        <f>Output[[#This Row],[Mensualité initial]]-Output[[#This Row],[Interet]]</f>
        <v>5955.2240660033603</v>
      </c>
      <c r="P563" s="15">
        <f>Output[[#This Row],[Capital Debut Period]]-Output[[#This Row],[Paiement Principal]]</f>
        <v>11955.149532652682</v>
      </c>
      <c r="Q563" s="15">
        <f>Output[[#This Row],[Droit Utilisation]]/Output[[#This Row],[Duree_Mois]]</f>
        <v>5565.2357686805326</v>
      </c>
    </row>
    <row r="564" spans="1:17" x14ac:dyDescent="0.25">
      <c r="A564" s="11" t="s">
        <v>9</v>
      </c>
      <c r="B564" s="12">
        <v>43831</v>
      </c>
      <c r="C564">
        <v>6000</v>
      </c>
      <c r="D564">
        <v>5</v>
      </c>
      <c r="E564">
        <v>0.03</v>
      </c>
      <c r="F564">
        <v>60</v>
      </c>
      <c r="G564" s="13">
        <v>45626</v>
      </c>
      <c r="H564">
        <v>563</v>
      </c>
      <c r="I564">
        <v>59</v>
      </c>
      <c r="J564">
        <v>2.5000000000000001E-3</v>
      </c>
      <c r="K564" s="14">
        <v>5178.127671284682</v>
      </c>
      <c r="L564" s="14">
        <v>333914.14612083195</v>
      </c>
      <c r="M564" s="36">
        <f>IF(Output[[#This Row],[Index]]=1,Output[[#This Row],[Droit Utilisation]],P563)</f>
        <v>11955.149532652682</v>
      </c>
      <c r="N564" s="15">
        <f>Output[[#This Row],[Capital Debut Period]]*Output[[#This Row],[Tx_interet_M]]</f>
        <v>29.887873831631705</v>
      </c>
      <c r="O564" s="15">
        <f>Output[[#This Row],[Mensualité initial]]-Output[[#This Row],[Interet]]</f>
        <v>5970.1121261683684</v>
      </c>
      <c r="P564" s="15">
        <f>Output[[#This Row],[Capital Debut Period]]-Output[[#This Row],[Paiement Principal]]</f>
        <v>5985.0374064843136</v>
      </c>
      <c r="Q564" s="15">
        <f>Output[[#This Row],[Droit Utilisation]]/Output[[#This Row],[Duree_Mois]]</f>
        <v>5565.2357686805326</v>
      </c>
    </row>
    <row r="565" spans="1:17" x14ac:dyDescent="0.25">
      <c r="A565" s="11" t="s">
        <v>9</v>
      </c>
      <c r="B565" s="12">
        <v>43831</v>
      </c>
      <c r="C565">
        <v>6000</v>
      </c>
      <c r="D565">
        <v>5</v>
      </c>
      <c r="E565">
        <v>0.03</v>
      </c>
      <c r="F565">
        <v>60</v>
      </c>
      <c r="G565" s="13">
        <v>45657</v>
      </c>
      <c r="H565">
        <v>564</v>
      </c>
      <c r="I565">
        <v>60</v>
      </c>
      <c r="J565">
        <v>2.5000000000000001E-3</v>
      </c>
      <c r="K565" s="14">
        <v>5165.2146346979371</v>
      </c>
      <c r="L565" s="14">
        <v>333914.14612083195</v>
      </c>
      <c r="M565" s="36">
        <f>IF(Output[[#This Row],[Index]]=1,Output[[#This Row],[Droit Utilisation]],P564)</f>
        <v>5985.0374064843136</v>
      </c>
      <c r="N565" s="15">
        <f>Output[[#This Row],[Capital Debut Period]]*Output[[#This Row],[Tx_interet_M]]</f>
        <v>14.962593516210784</v>
      </c>
      <c r="O565" s="15">
        <f>Output[[#This Row],[Mensualité initial]]-Output[[#This Row],[Interet]]</f>
        <v>5985.0374064837888</v>
      </c>
      <c r="P565" s="15">
        <f>Output[[#This Row],[Capital Debut Period]]-Output[[#This Row],[Paiement Principal]]</f>
        <v>5.2477844292297959E-10</v>
      </c>
      <c r="Q565" s="15">
        <f>Output[[#This Row],[Droit Utilisation]]/Output[[#This Row],[Duree_Mois]]</f>
        <v>5565.2357686805326</v>
      </c>
    </row>
    <row r="566" spans="1:17" x14ac:dyDescent="0.25">
      <c r="A566" s="11" t="s">
        <v>10</v>
      </c>
      <c r="B566" s="12">
        <v>43871</v>
      </c>
      <c r="C566">
        <v>1000</v>
      </c>
      <c r="D566">
        <v>5</v>
      </c>
      <c r="E566">
        <v>0.03</v>
      </c>
      <c r="F566">
        <v>60</v>
      </c>
      <c r="G566" s="13">
        <v>43890</v>
      </c>
      <c r="H566">
        <v>565</v>
      </c>
      <c r="I566">
        <v>1</v>
      </c>
      <c r="J566">
        <v>2.5000000000000001E-3</v>
      </c>
      <c r="K566" s="14">
        <v>997.5062344139651</v>
      </c>
      <c r="L566" s="14">
        <v>55652.357686805335</v>
      </c>
      <c r="M566" s="36">
        <f>IF(Output[[#This Row],[Index]]=1,Output[[#This Row],[Droit Utilisation]],P565)</f>
        <v>55652.357686805335</v>
      </c>
      <c r="N566" s="15">
        <f>Output[[#This Row],[Capital Debut Period]]*Output[[#This Row],[Tx_interet_M]]</f>
        <v>139.13089421701335</v>
      </c>
      <c r="O566" s="15">
        <f>Output[[#This Row],[Mensualité initial]]-Output[[#This Row],[Interet]]</f>
        <v>860.86910578298671</v>
      </c>
      <c r="P566" s="15">
        <f>Output[[#This Row],[Capital Debut Period]]-Output[[#This Row],[Paiement Principal]]</f>
        <v>54791.48858102235</v>
      </c>
      <c r="Q566" s="15">
        <f>Output[[#This Row],[Droit Utilisation]]/Output[[#This Row],[Duree_Mois]]</f>
        <v>927.53929478008888</v>
      </c>
    </row>
    <row r="567" spans="1:17" x14ac:dyDescent="0.25">
      <c r="A567" s="11" t="s">
        <v>10</v>
      </c>
      <c r="B567" s="12">
        <v>43871</v>
      </c>
      <c r="C567">
        <v>1000</v>
      </c>
      <c r="D567">
        <v>5</v>
      </c>
      <c r="E567">
        <v>0.03</v>
      </c>
      <c r="F567">
        <v>60</v>
      </c>
      <c r="G567" s="13">
        <v>43921</v>
      </c>
      <c r="H567">
        <v>566</v>
      </c>
      <c r="I567">
        <v>2</v>
      </c>
      <c r="J567">
        <v>2.5000000000000001E-3</v>
      </c>
      <c r="K567" s="14">
        <v>995.01868769472833</v>
      </c>
      <c r="L567" s="14">
        <v>55652.357686805335</v>
      </c>
      <c r="M567" s="36">
        <f>IF(Output[[#This Row],[Index]]=1,Output[[#This Row],[Droit Utilisation]],P566)</f>
        <v>54791.48858102235</v>
      </c>
      <c r="N567" s="15">
        <f>Output[[#This Row],[Capital Debut Period]]*Output[[#This Row],[Tx_interet_M]]</f>
        <v>136.97872145255587</v>
      </c>
      <c r="O567" s="15">
        <f>Output[[#This Row],[Mensualité initial]]-Output[[#This Row],[Interet]]</f>
        <v>863.02127854744413</v>
      </c>
      <c r="P567" s="15">
        <f>Output[[#This Row],[Capital Debut Period]]-Output[[#This Row],[Paiement Principal]]</f>
        <v>53928.467302474906</v>
      </c>
      <c r="Q567" s="15">
        <f>Output[[#This Row],[Droit Utilisation]]/Output[[#This Row],[Duree_Mois]]</f>
        <v>927.53929478008888</v>
      </c>
    </row>
    <row r="568" spans="1:17" x14ac:dyDescent="0.25">
      <c r="A568" s="11" t="s">
        <v>10</v>
      </c>
      <c r="B568" s="12">
        <v>43871</v>
      </c>
      <c r="C568">
        <v>1000</v>
      </c>
      <c r="D568">
        <v>5</v>
      </c>
      <c r="E568">
        <v>0.03</v>
      </c>
      <c r="F568">
        <v>60</v>
      </c>
      <c r="G568" s="13">
        <v>43951</v>
      </c>
      <c r="H568">
        <v>567</v>
      </c>
      <c r="I568">
        <v>3</v>
      </c>
      <c r="J568">
        <v>2.5000000000000001E-3</v>
      </c>
      <c r="K568" s="14">
        <v>992.53734433389377</v>
      </c>
      <c r="L568" s="14">
        <v>55652.357686805335</v>
      </c>
      <c r="M568" s="36">
        <f>IF(Output[[#This Row],[Index]]=1,Output[[#This Row],[Droit Utilisation]],P567)</f>
        <v>53928.467302474906</v>
      </c>
      <c r="N568" s="15">
        <f>Output[[#This Row],[Capital Debut Period]]*Output[[#This Row],[Tx_interet_M]]</f>
        <v>134.82116825618726</v>
      </c>
      <c r="O568" s="15">
        <f>Output[[#This Row],[Mensualité initial]]-Output[[#This Row],[Interet]]</f>
        <v>865.17883174381268</v>
      </c>
      <c r="P568" s="15">
        <f>Output[[#This Row],[Capital Debut Period]]-Output[[#This Row],[Paiement Principal]]</f>
        <v>53063.288470731095</v>
      </c>
      <c r="Q568" s="15">
        <f>Output[[#This Row],[Droit Utilisation]]/Output[[#This Row],[Duree_Mois]]</f>
        <v>927.53929478008888</v>
      </c>
    </row>
    <row r="569" spans="1:17" x14ac:dyDescent="0.25">
      <c r="A569" s="11" t="s">
        <v>10</v>
      </c>
      <c r="B569" s="12">
        <v>43871</v>
      </c>
      <c r="C569">
        <v>1000</v>
      </c>
      <c r="D569">
        <v>5</v>
      </c>
      <c r="E569">
        <v>0.03</v>
      </c>
      <c r="F569">
        <v>60</v>
      </c>
      <c r="G569" s="13">
        <v>43982</v>
      </c>
      <c r="H569">
        <v>568</v>
      </c>
      <c r="I569">
        <v>4</v>
      </c>
      <c r="J569">
        <v>2.5000000000000001E-3</v>
      </c>
      <c r="K569" s="14">
        <v>990.0621888617394</v>
      </c>
      <c r="L569" s="14">
        <v>55652.357686805335</v>
      </c>
      <c r="M569" s="36">
        <f>IF(Output[[#This Row],[Index]]=1,Output[[#This Row],[Droit Utilisation]],P568)</f>
        <v>53063.288470731095</v>
      </c>
      <c r="N569" s="15">
        <f>Output[[#This Row],[Capital Debut Period]]*Output[[#This Row],[Tx_interet_M]]</f>
        <v>132.65822117682774</v>
      </c>
      <c r="O569" s="15">
        <f>Output[[#This Row],[Mensualité initial]]-Output[[#This Row],[Interet]]</f>
        <v>867.34177882317226</v>
      </c>
      <c r="P569" s="15">
        <f>Output[[#This Row],[Capital Debut Period]]-Output[[#This Row],[Paiement Principal]]</f>
        <v>52195.94669190792</v>
      </c>
      <c r="Q569" s="15">
        <f>Output[[#This Row],[Droit Utilisation]]/Output[[#This Row],[Duree_Mois]]</f>
        <v>927.53929478008888</v>
      </c>
    </row>
    <row r="570" spans="1:17" x14ac:dyDescent="0.25">
      <c r="A570" s="11" t="s">
        <v>10</v>
      </c>
      <c r="B570" s="12">
        <v>43871</v>
      </c>
      <c r="C570">
        <v>1000</v>
      </c>
      <c r="D570">
        <v>5</v>
      </c>
      <c r="E570">
        <v>0.03</v>
      </c>
      <c r="F570">
        <v>60</v>
      </c>
      <c r="G570" s="13">
        <v>44012</v>
      </c>
      <c r="H570">
        <v>569</v>
      </c>
      <c r="I570">
        <v>5</v>
      </c>
      <c r="J570">
        <v>2.5000000000000001E-3</v>
      </c>
      <c r="K570" s="14">
        <v>987.59320584712168</v>
      </c>
      <c r="L570" s="14">
        <v>55652.357686805335</v>
      </c>
      <c r="M570" s="36">
        <f>IF(Output[[#This Row],[Index]]=1,Output[[#This Row],[Droit Utilisation]],P569)</f>
        <v>52195.94669190792</v>
      </c>
      <c r="N570" s="15">
        <f>Output[[#This Row],[Capital Debut Period]]*Output[[#This Row],[Tx_interet_M]]</f>
        <v>130.4898667297698</v>
      </c>
      <c r="O570" s="15">
        <f>Output[[#This Row],[Mensualité initial]]-Output[[#This Row],[Interet]]</f>
        <v>869.5101332702302</v>
      </c>
      <c r="P570" s="15">
        <f>Output[[#This Row],[Capital Debut Period]]-Output[[#This Row],[Paiement Principal]]</f>
        <v>51326.436558637688</v>
      </c>
      <c r="Q570" s="15">
        <f>Output[[#This Row],[Droit Utilisation]]/Output[[#This Row],[Duree_Mois]]</f>
        <v>927.53929478008888</v>
      </c>
    </row>
    <row r="571" spans="1:17" x14ac:dyDescent="0.25">
      <c r="A571" s="11" t="s">
        <v>10</v>
      </c>
      <c r="B571" s="12">
        <v>43871</v>
      </c>
      <c r="C571">
        <v>1000</v>
      </c>
      <c r="D571">
        <v>5</v>
      </c>
      <c r="E571">
        <v>0.03</v>
      </c>
      <c r="F571">
        <v>60</v>
      </c>
      <c r="G571" s="13">
        <v>44043</v>
      </c>
      <c r="H571">
        <v>570</v>
      </c>
      <c r="I571">
        <v>6</v>
      </c>
      <c r="J571">
        <v>2.5000000000000001E-3</v>
      </c>
      <c r="K571" s="14">
        <v>985.13037989737825</v>
      </c>
      <c r="L571" s="14">
        <v>55652.357686805335</v>
      </c>
      <c r="M571" s="36">
        <f>IF(Output[[#This Row],[Index]]=1,Output[[#This Row],[Droit Utilisation]],P570)</f>
        <v>51326.436558637688</v>
      </c>
      <c r="N571" s="15">
        <f>Output[[#This Row],[Capital Debut Period]]*Output[[#This Row],[Tx_interet_M]]</f>
        <v>128.31609139659423</v>
      </c>
      <c r="O571" s="15">
        <f>Output[[#This Row],[Mensualité initial]]-Output[[#This Row],[Interet]]</f>
        <v>871.68390860340583</v>
      </c>
      <c r="P571" s="15">
        <f>Output[[#This Row],[Capital Debut Period]]-Output[[#This Row],[Paiement Principal]]</f>
        <v>50454.752650034279</v>
      </c>
      <c r="Q571" s="15">
        <f>Output[[#This Row],[Droit Utilisation]]/Output[[#This Row],[Duree_Mois]]</f>
        <v>927.53929478008888</v>
      </c>
    </row>
    <row r="572" spans="1:17" x14ac:dyDescent="0.25">
      <c r="A572" s="11" t="s">
        <v>10</v>
      </c>
      <c r="B572" s="12">
        <v>43871</v>
      </c>
      <c r="C572">
        <v>1000</v>
      </c>
      <c r="D572">
        <v>5</v>
      </c>
      <c r="E572">
        <v>0.03</v>
      </c>
      <c r="F572">
        <v>60</v>
      </c>
      <c r="G572" s="13">
        <v>44074</v>
      </c>
      <c r="H572">
        <v>571</v>
      </c>
      <c r="I572">
        <v>7</v>
      </c>
      <c r="J572">
        <v>2.5000000000000001E-3</v>
      </c>
      <c r="K572" s="14">
        <v>982.67369565823276</v>
      </c>
      <c r="L572" s="14">
        <v>55652.357686805335</v>
      </c>
      <c r="M572" s="36">
        <f>IF(Output[[#This Row],[Index]]=1,Output[[#This Row],[Droit Utilisation]],P571)</f>
        <v>50454.752650034279</v>
      </c>
      <c r="N572" s="15">
        <f>Output[[#This Row],[Capital Debut Period]]*Output[[#This Row],[Tx_interet_M]]</f>
        <v>126.13688162508571</v>
      </c>
      <c r="O572" s="15">
        <f>Output[[#This Row],[Mensualité initial]]-Output[[#This Row],[Interet]]</f>
        <v>873.86311837491428</v>
      </c>
      <c r="P572" s="15">
        <f>Output[[#This Row],[Capital Debut Period]]-Output[[#This Row],[Paiement Principal]]</f>
        <v>49580.889531659363</v>
      </c>
      <c r="Q572" s="15">
        <f>Output[[#This Row],[Droit Utilisation]]/Output[[#This Row],[Duree_Mois]]</f>
        <v>927.53929478008888</v>
      </c>
    </row>
    <row r="573" spans="1:17" x14ac:dyDescent="0.25">
      <c r="A573" s="11" t="s">
        <v>10</v>
      </c>
      <c r="B573" s="12">
        <v>43871</v>
      </c>
      <c r="C573">
        <v>1000</v>
      </c>
      <c r="D573">
        <v>5</v>
      </c>
      <c r="E573">
        <v>0.03</v>
      </c>
      <c r="F573">
        <v>60</v>
      </c>
      <c r="G573" s="13">
        <v>44104</v>
      </c>
      <c r="H573">
        <v>572</v>
      </c>
      <c r="I573">
        <v>8</v>
      </c>
      <c r="J573">
        <v>2.5000000000000001E-3</v>
      </c>
      <c r="K573" s="14">
        <v>980.22313781369849</v>
      </c>
      <c r="L573" s="14">
        <v>55652.357686805335</v>
      </c>
      <c r="M573" s="36">
        <f>IF(Output[[#This Row],[Index]]=1,Output[[#This Row],[Droit Utilisation]],P572)</f>
        <v>49580.889531659363</v>
      </c>
      <c r="N573" s="15">
        <f>Output[[#This Row],[Capital Debut Period]]*Output[[#This Row],[Tx_interet_M]]</f>
        <v>123.95222382914841</v>
      </c>
      <c r="O573" s="15">
        <f>Output[[#This Row],[Mensualité initial]]-Output[[#This Row],[Interet]]</f>
        <v>876.04777617085165</v>
      </c>
      <c r="P573" s="15">
        <f>Output[[#This Row],[Capital Debut Period]]-Output[[#This Row],[Paiement Principal]]</f>
        <v>48704.841755488509</v>
      </c>
      <c r="Q573" s="15">
        <f>Output[[#This Row],[Droit Utilisation]]/Output[[#This Row],[Duree_Mois]]</f>
        <v>927.53929478008888</v>
      </c>
    </row>
    <row r="574" spans="1:17" x14ac:dyDescent="0.25">
      <c r="A574" s="11" t="s">
        <v>10</v>
      </c>
      <c r="B574" s="12">
        <v>43871</v>
      </c>
      <c r="C574">
        <v>1000</v>
      </c>
      <c r="D574">
        <v>5</v>
      </c>
      <c r="E574">
        <v>0.03</v>
      </c>
      <c r="F574">
        <v>60</v>
      </c>
      <c r="G574" s="13">
        <v>44135</v>
      </c>
      <c r="H574">
        <v>573</v>
      </c>
      <c r="I574">
        <v>9</v>
      </c>
      <c r="J574">
        <v>2.5000000000000001E-3</v>
      </c>
      <c r="K574" s="14">
        <v>977.77869108598361</v>
      </c>
      <c r="L574" s="14">
        <v>55652.357686805335</v>
      </c>
      <c r="M574" s="36">
        <f>IF(Output[[#This Row],[Index]]=1,Output[[#This Row],[Droit Utilisation]],P573)</f>
        <v>48704.841755488509</v>
      </c>
      <c r="N574" s="15">
        <f>Output[[#This Row],[Capital Debut Period]]*Output[[#This Row],[Tx_interet_M]]</f>
        <v>121.76210438872127</v>
      </c>
      <c r="O574" s="15">
        <f>Output[[#This Row],[Mensualité initial]]-Output[[#This Row],[Interet]]</f>
        <v>878.23789561127876</v>
      </c>
      <c r="P574" s="15">
        <f>Output[[#This Row],[Capital Debut Period]]-Output[[#This Row],[Paiement Principal]]</f>
        <v>47826.603859877228</v>
      </c>
      <c r="Q574" s="15">
        <f>Output[[#This Row],[Droit Utilisation]]/Output[[#This Row],[Duree_Mois]]</f>
        <v>927.53929478008888</v>
      </c>
    </row>
    <row r="575" spans="1:17" x14ac:dyDescent="0.25">
      <c r="A575" s="11" t="s">
        <v>10</v>
      </c>
      <c r="B575" s="12">
        <v>43871</v>
      </c>
      <c r="C575">
        <v>1000</v>
      </c>
      <c r="D575">
        <v>5</v>
      </c>
      <c r="E575">
        <v>0.03</v>
      </c>
      <c r="F575">
        <v>60</v>
      </c>
      <c r="G575" s="13">
        <v>44165</v>
      </c>
      <c r="H575">
        <v>574</v>
      </c>
      <c r="I575">
        <v>10</v>
      </c>
      <c r="J575">
        <v>2.5000000000000001E-3</v>
      </c>
      <c r="K575" s="14">
        <v>975.34034023539516</v>
      </c>
      <c r="L575" s="14">
        <v>55652.357686805335</v>
      </c>
      <c r="M575" s="36">
        <f>IF(Output[[#This Row],[Index]]=1,Output[[#This Row],[Droit Utilisation]],P574)</f>
        <v>47826.603859877228</v>
      </c>
      <c r="N575" s="15">
        <f>Output[[#This Row],[Capital Debut Period]]*Output[[#This Row],[Tx_interet_M]]</f>
        <v>119.56650964969307</v>
      </c>
      <c r="O575" s="15">
        <f>Output[[#This Row],[Mensualité initial]]-Output[[#This Row],[Interet]]</f>
        <v>880.4334903503069</v>
      </c>
      <c r="P575" s="15">
        <f>Output[[#This Row],[Capital Debut Period]]-Output[[#This Row],[Paiement Principal]]</f>
        <v>46946.170369526924</v>
      </c>
      <c r="Q575" s="15">
        <f>Output[[#This Row],[Droit Utilisation]]/Output[[#This Row],[Duree_Mois]]</f>
        <v>927.53929478008888</v>
      </c>
    </row>
    <row r="576" spans="1:17" x14ac:dyDescent="0.25">
      <c r="A576" s="11" t="s">
        <v>10</v>
      </c>
      <c r="B576" s="12">
        <v>43871</v>
      </c>
      <c r="C576">
        <v>1000</v>
      </c>
      <c r="D576">
        <v>5</v>
      </c>
      <c r="E576">
        <v>0.03</v>
      </c>
      <c r="F576">
        <v>60</v>
      </c>
      <c r="G576" s="13">
        <v>44196</v>
      </c>
      <c r="H576">
        <v>575</v>
      </c>
      <c r="I576">
        <v>11</v>
      </c>
      <c r="J576">
        <v>2.5000000000000001E-3</v>
      </c>
      <c r="K576" s="14">
        <v>972.90807006024465</v>
      </c>
      <c r="L576" s="14">
        <v>55652.357686805335</v>
      </c>
      <c r="M576" s="36">
        <f>IF(Output[[#This Row],[Index]]=1,Output[[#This Row],[Droit Utilisation]],P575)</f>
        <v>46946.170369526924</v>
      </c>
      <c r="N576" s="15">
        <f>Output[[#This Row],[Capital Debut Period]]*Output[[#This Row],[Tx_interet_M]]</f>
        <v>117.36542592381731</v>
      </c>
      <c r="O576" s="15">
        <f>Output[[#This Row],[Mensualité initial]]-Output[[#This Row],[Interet]]</f>
        <v>882.63457407618273</v>
      </c>
      <c r="P576" s="15">
        <f>Output[[#This Row],[Capital Debut Period]]-Output[[#This Row],[Paiement Principal]]</f>
        <v>46063.535795450742</v>
      </c>
      <c r="Q576" s="15">
        <f>Output[[#This Row],[Droit Utilisation]]/Output[[#This Row],[Duree_Mois]]</f>
        <v>927.53929478008888</v>
      </c>
    </row>
    <row r="577" spans="1:17" x14ac:dyDescent="0.25">
      <c r="A577" s="11" t="s">
        <v>10</v>
      </c>
      <c r="B577" s="12">
        <v>43871</v>
      </c>
      <c r="C577">
        <v>1000</v>
      </c>
      <c r="D577">
        <v>5</v>
      </c>
      <c r="E577">
        <v>0.03</v>
      </c>
      <c r="F577">
        <v>60</v>
      </c>
      <c r="G577" s="13">
        <v>44227</v>
      </c>
      <c r="H577">
        <v>576</v>
      </c>
      <c r="I577">
        <v>12</v>
      </c>
      <c r="J577">
        <v>2.5000000000000001E-3</v>
      </c>
      <c r="K577" s="14">
        <v>970.48186539675271</v>
      </c>
      <c r="L577" s="14">
        <v>55652.357686805335</v>
      </c>
      <c r="M577" s="36">
        <f>IF(Output[[#This Row],[Index]]=1,Output[[#This Row],[Droit Utilisation]],P576)</f>
        <v>46063.535795450742</v>
      </c>
      <c r="N577" s="15">
        <f>Output[[#This Row],[Capital Debut Period]]*Output[[#This Row],[Tx_interet_M]]</f>
        <v>115.15883948862685</v>
      </c>
      <c r="O577" s="15">
        <f>Output[[#This Row],[Mensualité initial]]-Output[[#This Row],[Interet]]</f>
        <v>884.84116051137312</v>
      </c>
      <c r="P577" s="15">
        <f>Output[[#This Row],[Capital Debut Period]]-Output[[#This Row],[Paiement Principal]]</f>
        <v>45178.694634939369</v>
      </c>
      <c r="Q577" s="15">
        <f>Output[[#This Row],[Droit Utilisation]]/Output[[#This Row],[Duree_Mois]]</f>
        <v>927.53929478008888</v>
      </c>
    </row>
    <row r="578" spans="1:17" x14ac:dyDescent="0.25">
      <c r="A578" s="11" t="s">
        <v>10</v>
      </c>
      <c r="B578" s="12">
        <v>43871</v>
      </c>
      <c r="C578">
        <v>1000</v>
      </c>
      <c r="D578">
        <v>5</v>
      </c>
      <c r="E578">
        <v>0.03</v>
      </c>
      <c r="F578">
        <v>60</v>
      </c>
      <c r="G578" s="13">
        <v>44255</v>
      </c>
      <c r="H578">
        <v>577</v>
      </c>
      <c r="I578">
        <v>13</v>
      </c>
      <c r="J578">
        <v>2.5000000000000001E-3</v>
      </c>
      <c r="K578" s="14">
        <v>968.06171111895549</v>
      </c>
      <c r="L578" s="14">
        <v>55652.357686805335</v>
      </c>
      <c r="M578" s="36">
        <f>IF(Output[[#This Row],[Index]]=1,Output[[#This Row],[Droit Utilisation]],P577)</f>
        <v>45178.694634939369</v>
      </c>
      <c r="N578" s="15">
        <f>Output[[#This Row],[Capital Debut Period]]*Output[[#This Row],[Tx_interet_M]]</f>
        <v>112.94673658734843</v>
      </c>
      <c r="O578" s="15">
        <f>Output[[#This Row],[Mensualité initial]]-Output[[#This Row],[Interet]]</f>
        <v>887.05326341265163</v>
      </c>
      <c r="P578" s="15">
        <f>Output[[#This Row],[Capital Debut Period]]-Output[[#This Row],[Paiement Principal]]</f>
        <v>44291.641371526719</v>
      </c>
      <c r="Q578" s="15">
        <f>Output[[#This Row],[Droit Utilisation]]/Output[[#This Row],[Duree_Mois]]</f>
        <v>927.53929478008888</v>
      </c>
    </row>
    <row r="579" spans="1:17" x14ac:dyDescent="0.25">
      <c r="A579" s="11" t="s">
        <v>10</v>
      </c>
      <c r="B579" s="12">
        <v>43871</v>
      </c>
      <c r="C579">
        <v>1000</v>
      </c>
      <c r="D579">
        <v>5</v>
      </c>
      <c r="E579">
        <v>0.03</v>
      </c>
      <c r="F579">
        <v>60</v>
      </c>
      <c r="G579" s="13">
        <v>44286</v>
      </c>
      <c r="H579">
        <v>578</v>
      </c>
      <c r="I579">
        <v>14</v>
      </c>
      <c r="J579">
        <v>2.5000000000000001E-3</v>
      </c>
      <c r="K579" s="14">
        <v>965.64759213860896</v>
      </c>
      <c r="L579" s="14">
        <v>55652.357686805335</v>
      </c>
      <c r="M579" s="36">
        <f>IF(Output[[#This Row],[Index]]=1,Output[[#This Row],[Droit Utilisation]],P578)</f>
        <v>44291.641371526719</v>
      </c>
      <c r="N579" s="15">
        <f>Output[[#This Row],[Capital Debut Period]]*Output[[#This Row],[Tx_interet_M]]</f>
        <v>110.7291034288168</v>
      </c>
      <c r="O579" s="15">
        <f>Output[[#This Row],[Mensualité initial]]-Output[[#This Row],[Interet]]</f>
        <v>889.27089657118324</v>
      </c>
      <c r="P579" s="15">
        <f>Output[[#This Row],[Capital Debut Period]]-Output[[#This Row],[Paiement Principal]]</f>
        <v>43402.370474955533</v>
      </c>
      <c r="Q579" s="15">
        <f>Output[[#This Row],[Droit Utilisation]]/Output[[#This Row],[Duree_Mois]]</f>
        <v>927.53929478008888</v>
      </c>
    </row>
    <row r="580" spans="1:17" x14ac:dyDescent="0.25">
      <c r="A580" s="11" t="s">
        <v>10</v>
      </c>
      <c r="B580" s="12">
        <v>43871</v>
      </c>
      <c r="C580">
        <v>1000</v>
      </c>
      <c r="D580">
        <v>5</v>
      </c>
      <c r="E580">
        <v>0.03</v>
      </c>
      <c r="F580">
        <v>60</v>
      </c>
      <c r="G580" s="13">
        <v>44316</v>
      </c>
      <c r="H580">
        <v>579</v>
      </c>
      <c r="I580">
        <v>15</v>
      </c>
      <c r="J580">
        <v>2.5000000000000001E-3</v>
      </c>
      <c r="K580" s="14">
        <v>963.23949340509625</v>
      </c>
      <c r="L580" s="14">
        <v>55652.357686805335</v>
      </c>
      <c r="M580" s="36">
        <f>IF(Output[[#This Row],[Index]]=1,Output[[#This Row],[Droit Utilisation]],P579)</f>
        <v>43402.370474955533</v>
      </c>
      <c r="N580" s="15">
        <f>Output[[#This Row],[Capital Debut Period]]*Output[[#This Row],[Tx_interet_M]]</f>
        <v>108.50592618738884</v>
      </c>
      <c r="O580" s="15">
        <f>Output[[#This Row],[Mensualité initial]]-Output[[#This Row],[Interet]]</f>
        <v>891.49407381261119</v>
      </c>
      <c r="P580" s="15">
        <f>Output[[#This Row],[Capital Debut Period]]-Output[[#This Row],[Paiement Principal]]</f>
        <v>42510.876401142923</v>
      </c>
      <c r="Q580" s="15">
        <f>Output[[#This Row],[Droit Utilisation]]/Output[[#This Row],[Duree_Mois]]</f>
        <v>927.53929478008888</v>
      </c>
    </row>
    <row r="581" spans="1:17" x14ac:dyDescent="0.25">
      <c r="A581" s="11" t="s">
        <v>10</v>
      </c>
      <c r="B581" s="12">
        <v>43871</v>
      </c>
      <c r="C581">
        <v>1000</v>
      </c>
      <c r="D581">
        <v>5</v>
      </c>
      <c r="E581">
        <v>0.03</v>
      </c>
      <c r="F581">
        <v>60</v>
      </c>
      <c r="G581" s="13">
        <v>44347</v>
      </c>
      <c r="H581">
        <v>580</v>
      </c>
      <c r="I581">
        <v>16</v>
      </c>
      <c r="J581">
        <v>2.5000000000000001E-3</v>
      </c>
      <c r="K581" s="14">
        <v>960.83739990533297</v>
      </c>
      <c r="L581" s="14">
        <v>55652.357686805335</v>
      </c>
      <c r="M581" s="36">
        <f>IF(Output[[#This Row],[Index]]=1,Output[[#This Row],[Droit Utilisation]],P580)</f>
        <v>42510.876401142923</v>
      </c>
      <c r="N581" s="15">
        <f>Output[[#This Row],[Capital Debut Period]]*Output[[#This Row],[Tx_interet_M]]</f>
        <v>106.27719100285731</v>
      </c>
      <c r="O581" s="15">
        <f>Output[[#This Row],[Mensualité initial]]-Output[[#This Row],[Interet]]</f>
        <v>893.72280899714269</v>
      </c>
      <c r="P581" s="15">
        <f>Output[[#This Row],[Capital Debut Period]]-Output[[#This Row],[Paiement Principal]]</f>
        <v>41617.153592145783</v>
      </c>
      <c r="Q581" s="15">
        <f>Output[[#This Row],[Droit Utilisation]]/Output[[#This Row],[Duree_Mois]]</f>
        <v>927.53929478008888</v>
      </c>
    </row>
    <row r="582" spans="1:17" x14ac:dyDescent="0.25">
      <c r="A582" s="11" t="s">
        <v>10</v>
      </c>
      <c r="B582" s="12">
        <v>43871</v>
      </c>
      <c r="C582">
        <v>1000</v>
      </c>
      <c r="D582">
        <v>5</v>
      </c>
      <c r="E582">
        <v>0.03</v>
      </c>
      <c r="F582">
        <v>60</v>
      </c>
      <c r="G582" s="13">
        <v>44377</v>
      </c>
      <c r="H582">
        <v>581</v>
      </c>
      <c r="I582">
        <v>17</v>
      </c>
      <c r="J582">
        <v>2.5000000000000001E-3</v>
      </c>
      <c r="K582" s="14">
        <v>958.44129666367382</v>
      </c>
      <c r="L582" s="14">
        <v>55652.357686805335</v>
      </c>
      <c r="M582" s="36">
        <f>IF(Output[[#This Row],[Index]]=1,Output[[#This Row],[Droit Utilisation]],P581)</f>
        <v>41617.153592145783</v>
      </c>
      <c r="N582" s="15">
        <f>Output[[#This Row],[Capital Debut Period]]*Output[[#This Row],[Tx_interet_M]]</f>
        <v>104.04288398036446</v>
      </c>
      <c r="O582" s="15">
        <f>Output[[#This Row],[Mensualité initial]]-Output[[#This Row],[Interet]]</f>
        <v>895.95711601963558</v>
      </c>
      <c r="P582" s="15">
        <f>Output[[#This Row],[Capital Debut Period]]-Output[[#This Row],[Paiement Principal]]</f>
        <v>40721.196476126148</v>
      </c>
      <c r="Q582" s="15">
        <f>Output[[#This Row],[Droit Utilisation]]/Output[[#This Row],[Duree_Mois]]</f>
        <v>927.53929478008888</v>
      </c>
    </row>
    <row r="583" spans="1:17" x14ac:dyDescent="0.25">
      <c r="A583" s="11" t="s">
        <v>10</v>
      </c>
      <c r="B583" s="12">
        <v>43871</v>
      </c>
      <c r="C583">
        <v>1000</v>
      </c>
      <c r="D583">
        <v>5</v>
      </c>
      <c r="E583">
        <v>0.03</v>
      </c>
      <c r="F583">
        <v>60</v>
      </c>
      <c r="G583" s="13">
        <v>44408</v>
      </c>
      <c r="H583">
        <v>582</v>
      </c>
      <c r="I583">
        <v>18</v>
      </c>
      <c r="J583">
        <v>2.5000000000000001E-3</v>
      </c>
      <c r="K583" s="14">
        <v>956.05116874181942</v>
      </c>
      <c r="L583" s="14">
        <v>55652.357686805335</v>
      </c>
      <c r="M583" s="36">
        <f>IF(Output[[#This Row],[Index]]=1,Output[[#This Row],[Droit Utilisation]],P582)</f>
        <v>40721.196476126148</v>
      </c>
      <c r="N583" s="15">
        <f>Output[[#This Row],[Capital Debut Period]]*Output[[#This Row],[Tx_interet_M]]</f>
        <v>101.80299119031537</v>
      </c>
      <c r="O583" s="15">
        <f>Output[[#This Row],[Mensualité initial]]-Output[[#This Row],[Interet]]</f>
        <v>898.19700880968458</v>
      </c>
      <c r="P583" s="15">
        <f>Output[[#This Row],[Capital Debut Period]]-Output[[#This Row],[Paiement Principal]]</f>
        <v>39822.999467316462</v>
      </c>
      <c r="Q583" s="15">
        <f>Output[[#This Row],[Droit Utilisation]]/Output[[#This Row],[Duree_Mois]]</f>
        <v>927.53929478008888</v>
      </c>
    </row>
    <row r="584" spans="1:17" x14ac:dyDescent="0.25">
      <c r="A584" s="11" t="s">
        <v>10</v>
      </c>
      <c r="B584" s="12">
        <v>43871</v>
      </c>
      <c r="C584">
        <v>1000</v>
      </c>
      <c r="D584">
        <v>5</v>
      </c>
      <c r="E584">
        <v>0.03</v>
      </c>
      <c r="F584">
        <v>60</v>
      </c>
      <c r="G584" s="13">
        <v>44439</v>
      </c>
      <c r="H584">
        <v>583</v>
      </c>
      <c r="I584">
        <v>19</v>
      </c>
      <c r="J584">
        <v>2.5000000000000001E-3</v>
      </c>
      <c r="K584" s="14">
        <v>953.66700123872261</v>
      </c>
      <c r="L584" s="14">
        <v>55652.357686805335</v>
      </c>
      <c r="M584" s="36">
        <f>IF(Output[[#This Row],[Index]]=1,Output[[#This Row],[Droit Utilisation]],P583)</f>
        <v>39822.999467316462</v>
      </c>
      <c r="N584" s="15">
        <f>Output[[#This Row],[Capital Debut Period]]*Output[[#This Row],[Tx_interet_M]]</f>
        <v>99.55749866829116</v>
      </c>
      <c r="O584" s="15">
        <f>Output[[#This Row],[Mensualité initial]]-Output[[#This Row],[Interet]]</f>
        <v>900.44250133170885</v>
      </c>
      <c r="P584" s="15">
        <f>Output[[#This Row],[Capital Debut Period]]-Output[[#This Row],[Paiement Principal]]</f>
        <v>38922.556965984753</v>
      </c>
      <c r="Q584" s="15">
        <f>Output[[#This Row],[Droit Utilisation]]/Output[[#This Row],[Duree_Mois]]</f>
        <v>927.53929478008888</v>
      </c>
    </row>
    <row r="585" spans="1:17" x14ac:dyDescent="0.25">
      <c r="A585" s="11" t="s">
        <v>10</v>
      </c>
      <c r="B585" s="12">
        <v>43871</v>
      </c>
      <c r="C585">
        <v>1000</v>
      </c>
      <c r="D585">
        <v>5</v>
      </c>
      <c r="E585">
        <v>0.03</v>
      </c>
      <c r="F585">
        <v>60</v>
      </c>
      <c r="G585" s="13">
        <v>44469</v>
      </c>
      <c r="H585">
        <v>584</v>
      </c>
      <c r="I585">
        <v>20</v>
      </c>
      <c r="J585">
        <v>2.5000000000000001E-3</v>
      </c>
      <c r="K585" s="14">
        <v>951.28877929049645</v>
      </c>
      <c r="L585" s="14">
        <v>55652.357686805335</v>
      </c>
      <c r="M585" s="36">
        <f>IF(Output[[#This Row],[Index]]=1,Output[[#This Row],[Droit Utilisation]],P584)</f>
        <v>38922.556965984753</v>
      </c>
      <c r="N585" s="15">
        <f>Output[[#This Row],[Capital Debut Period]]*Output[[#This Row],[Tx_interet_M]]</f>
        <v>97.306392414961891</v>
      </c>
      <c r="O585" s="15">
        <f>Output[[#This Row],[Mensualité initial]]-Output[[#This Row],[Interet]]</f>
        <v>902.69360758503808</v>
      </c>
      <c r="P585" s="15">
        <f>Output[[#This Row],[Capital Debut Period]]-Output[[#This Row],[Paiement Principal]]</f>
        <v>38019.863358399714</v>
      </c>
      <c r="Q585" s="15">
        <f>Output[[#This Row],[Droit Utilisation]]/Output[[#This Row],[Duree_Mois]]</f>
        <v>927.53929478008888</v>
      </c>
    </row>
    <row r="586" spans="1:17" x14ac:dyDescent="0.25">
      <c r="A586" s="11" t="s">
        <v>10</v>
      </c>
      <c r="B586" s="12">
        <v>43871</v>
      </c>
      <c r="C586">
        <v>1000</v>
      </c>
      <c r="D586">
        <v>5</v>
      </c>
      <c r="E586">
        <v>0.03</v>
      </c>
      <c r="F586">
        <v>60</v>
      </c>
      <c r="G586" s="13">
        <v>44500</v>
      </c>
      <c r="H586">
        <v>585</v>
      </c>
      <c r="I586">
        <v>21</v>
      </c>
      <c r="J586">
        <v>2.5000000000000001E-3</v>
      </c>
      <c r="K586" s="14">
        <v>948.91648807032072</v>
      </c>
      <c r="L586" s="14">
        <v>55652.357686805335</v>
      </c>
      <c r="M586" s="36">
        <f>IF(Output[[#This Row],[Index]]=1,Output[[#This Row],[Droit Utilisation]],P585)</f>
        <v>38019.863358399714</v>
      </c>
      <c r="N586" s="15">
        <f>Output[[#This Row],[Capital Debut Period]]*Output[[#This Row],[Tx_interet_M]]</f>
        <v>95.049658395999288</v>
      </c>
      <c r="O586" s="15">
        <f>Output[[#This Row],[Mensualité initial]]-Output[[#This Row],[Interet]]</f>
        <v>904.95034160400076</v>
      </c>
      <c r="P586" s="15">
        <f>Output[[#This Row],[Capital Debut Period]]-Output[[#This Row],[Paiement Principal]]</f>
        <v>37114.913016795712</v>
      </c>
      <c r="Q586" s="15">
        <f>Output[[#This Row],[Droit Utilisation]]/Output[[#This Row],[Duree_Mois]]</f>
        <v>927.53929478008888</v>
      </c>
    </row>
    <row r="587" spans="1:17" x14ac:dyDescent="0.25">
      <c r="A587" s="11" t="s">
        <v>10</v>
      </c>
      <c r="B587" s="12">
        <v>43871</v>
      </c>
      <c r="C587">
        <v>1000</v>
      </c>
      <c r="D587">
        <v>5</v>
      </c>
      <c r="E587">
        <v>0.03</v>
      </c>
      <c r="F587">
        <v>60</v>
      </c>
      <c r="G587" s="13">
        <v>44530</v>
      </c>
      <c r="H587">
        <v>586</v>
      </c>
      <c r="I587">
        <v>22</v>
      </c>
      <c r="J587">
        <v>2.5000000000000001E-3</v>
      </c>
      <c r="K587" s="14">
        <v>946.55011278834991</v>
      </c>
      <c r="L587" s="14">
        <v>55652.357686805335</v>
      </c>
      <c r="M587" s="36">
        <f>IF(Output[[#This Row],[Index]]=1,Output[[#This Row],[Droit Utilisation]],P586)</f>
        <v>37114.913016795712</v>
      </c>
      <c r="N587" s="15">
        <f>Output[[#This Row],[Capital Debut Period]]*Output[[#This Row],[Tx_interet_M]]</f>
        <v>92.787282541989285</v>
      </c>
      <c r="O587" s="15">
        <f>Output[[#This Row],[Mensualité initial]]-Output[[#This Row],[Interet]]</f>
        <v>907.21271745801073</v>
      </c>
      <c r="P587" s="15">
        <f>Output[[#This Row],[Capital Debut Period]]-Output[[#This Row],[Paiement Principal]]</f>
        <v>36207.700299337703</v>
      </c>
      <c r="Q587" s="15">
        <f>Output[[#This Row],[Droit Utilisation]]/Output[[#This Row],[Duree_Mois]]</f>
        <v>927.53929478008888</v>
      </c>
    </row>
    <row r="588" spans="1:17" x14ac:dyDescent="0.25">
      <c r="A588" s="11" t="s">
        <v>10</v>
      </c>
      <c r="B588" s="12">
        <v>43871</v>
      </c>
      <c r="C588">
        <v>1000</v>
      </c>
      <c r="D588">
        <v>5</v>
      </c>
      <c r="E588">
        <v>0.03</v>
      </c>
      <c r="F588">
        <v>60</v>
      </c>
      <c r="G588" s="13">
        <v>44561</v>
      </c>
      <c r="H588">
        <v>587</v>
      </c>
      <c r="I588">
        <v>23</v>
      </c>
      <c r="J588">
        <v>2.5000000000000001E-3</v>
      </c>
      <c r="K588" s="14">
        <v>944.18963869162087</v>
      </c>
      <c r="L588" s="14">
        <v>55652.357686805335</v>
      </c>
      <c r="M588" s="36">
        <f>IF(Output[[#This Row],[Index]]=1,Output[[#This Row],[Droit Utilisation]],P587)</f>
        <v>36207.700299337703</v>
      </c>
      <c r="N588" s="15">
        <f>Output[[#This Row],[Capital Debut Period]]*Output[[#This Row],[Tx_interet_M]]</f>
        <v>90.519250748344263</v>
      </c>
      <c r="O588" s="15">
        <f>Output[[#This Row],[Mensualité initial]]-Output[[#This Row],[Interet]]</f>
        <v>909.48074925165577</v>
      </c>
      <c r="P588" s="15">
        <f>Output[[#This Row],[Capital Debut Period]]-Output[[#This Row],[Paiement Principal]]</f>
        <v>35298.219550086047</v>
      </c>
      <c r="Q588" s="15">
        <f>Output[[#This Row],[Droit Utilisation]]/Output[[#This Row],[Duree_Mois]]</f>
        <v>927.53929478008888</v>
      </c>
    </row>
    <row r="589" spans="1:17" x14ac:dyDescent="0.25">
      <c r="A589" s="11" t="s">
        <v>10</v>
      </c>
      <c r="B589" s="12">
        <v>43871</v>
      </c>
      <c r="C589">
        <v>1000</v>
      </c>
      <c r="D589">
        <v>5</v>
      </c>
      <c r="E589">
        <v>0.03</v>
      </c>
      <c r="F589">
        <v>60</v>
      </c>
      <c r="G589" s="13">
        <v>44592</v>
      </c>
      <c r="H589">
        <v>588</v>
      </c>
      <c r="I589">
        <v>24</v>
      </c>
      <c r="J589">
        <v>2.5000000000000001E-3</v>
      </c>
      <c r="K589" s="14">
        <v>941.83505106396103</v>
      </c>
      <c r="L589" s="14">
        <v>55652.357686805335</v>
      </c>
      <c r="M589" s="36">
        <f>IF(Output[[#This Row],[Index]]=1,Output[[#This Row],[Droit Utilisation]],P588)</f>
        <v>35298.219550086047</v>
      </c>
      <c r="N589" s="15">
        <f>Output[[#This Row],[Capital Debut Period]]*Output[[#This Row],[Tx_interet_M]]</f>
        <v>88.245548875215121</v>
      </c>
      <c r="O589" s="15">
        <f>Output[[#This Row],[Mensualité initial]]-Output[[#This Row],[Interet]]</f>
        <v>911.75445112478485</v>
      </c>
      <c r="P589" s="15">
        <f>Output[[#This Row],[Capital Debut Period]]-Output[[#This Row],[Paiement Principal]]</f>
        <v>34386.465098961264</v>
      </c>
      <c r="Q589" s="15">
        <f>Output[[#This Row],[Droit Utilisation]]/Output[[#This Row],[Duree_Mois]]</f>
        <v>927.53929478008888</v>
      </c>
    </row>
    <row r="590" spans="1:17" x14ac:dyDescent="0.25">
      <c r="A590" s="11" t="s">
        <v>10</v>
      </c>
      <c r="B590" s="12">
        <v>43871</v>
      </c>
      <c r="C590">
        <v>1000</v>
      </c>
      <c r="D590">
        <v>5</v>
      </c>
      <c r="E590">
        <v>0.03</v>
      </c>
      <c r="F590">
        <v>60</v>
      </c>
      <c r="G590" s="13">
        <v>44620</v>
      </c>
      <c r="H590">
        <v>589</v>
      </c>
      <c r="I590">
        <v>25</v>
      </c>
      <c r="J590">
        <v>2.5000000000000001E-3</v>
      </c>
      <c r="K590" s="14">
        <v>939.48633522589625</v>
      </c>
      <c r="L590" s="14">
        <v>55652.357686805335</v>
      </c>
      <c r="M590" s="36">
        <f>IF(Output[[#This Row],[Index]]=1,Output[[#This Row],[Droit Utilisation]],P589)</f>
        <v>34386.465098961264</v>
      </c>
      <c r="N590" s="15">
        <f>Output[[#This Row],[Capital Debut Period]]*Output[[#This Row],[Tx_interet_M]]</f>
        <v>85.96616274740316</v>
      </c>
      <c r="O590" s="15">
        <f>Output[[#This Row],[Mensualité initial]]-Output[[#This Row],[Interet]]</f>
        <v>914.03383725259687</v>
      </c>
      <c r="P590" s="15">
        <f>Output[[#This Row],[Capital Debut Period]]-Output[[#This Row],[Paiement Principal]]</f>
        <v>33472.431261708669</v>
      </c>
      <c r="Q590" s="15">
        <f>Output[[#This Row],[Droit Utilisation]]/Output[[#This Row],[Duree_Mois]]</f>
        <v>927.53929478008888</v>
      </c>
    </row>
    <row r="591" spans="1:17" x14ac:dyDescent="0.25">
      <c r="A591" s="11" t="s">
        <v>10</v>
      </c>
      <c r="B591" s="12">
        <v>43871</v>
      </c>
      <c r="C591">
        <v>1000</v>
      </c>
      <c r="D591">
        <v>5</v>
      </c>
      <c r="E591">
        <v>0.03</v>
      </c>
      <c r="F591">
        <v>60</v>
      </c>
      <c r="G591" s="13">
        <v>44651</v>
      </c>
      <c r="H591">
        <v>590</v>
      </c>
      <c r="I591">
        <v>26</v>
      </c>
      <c r="J591">
        <v>2.5000000000000001E-3</v>
      </c>
      <c r="K591" s="14">
        <v>937.14347653456002</v>
      </c>
      <c r="L591" s="14">
        <v>55652.357686805335</v>
      </c>
      <c r="M591" s="36">
        <f>IF(Output[[#This Row],[Index]]=1,Output[[#This Row],[Droit Utilisation]],P590)</f>
        <v>33472.431261708669</v>
      </c>
      <c r="N591" s="15">
        <f>Output[[#This Row],[Capital Debut Period]]*Output[[#This Row],[Tx_interet_M]]</f>
        <v>83.681078154271674</v>
      </c>
      <c r="O591" s="15">
        <f>Output[[#This Row],[Mensualité initial]]-Output[[#This Row],[Interet]]</f>
        <v>916.31892184572837</v>
      </c>
      <c r="P591" s="15">
        <f>Output[[#This Row],[Capital Debut Period]]-Output[[#This Row],[Paiement Principal]]</f>
        <v>32556.112339862939</v>
      </c>
      <c r="Q591" s="15">
        <f>Output[[#This Row],[Droit Utilisation]]/Output[[#This Row],[Duree_Mois]]</f>
        <v>927.53929478008888</v>
      </c>
    </row>
    <row r="592" spans="1:17" x14ac:dyDescent="0.25">
      <c r="A592" s="11" t="s">
        <v>10</v>
      </c>
      <c r="B592" s="12">
        <v>43871</v>
      </c>
      <c r="C592">
        <v>1000</v>
      </c>
      <c r="D592">
        <v>5</v>
      </c>
      <c r="E592">
        <v>0.03</v>
      </c>
      <c r="F592">
        <v>60</v>
      </c>
      <c r="G592" s="13">
        <v>44681</v>
      </c>
      <c r="H592">
        <v>591</v>
      </c>
      <c r="I592">
        <v>27</v>
      </c>
      <c r="J592">
        <v>2.5000000000000001E-3</v>
      </c>
      <c r="K592" s="14">
        <v>934.80646038360101</v>
      </c>
      <c r="L592" s="14">
        <v>55652.357686805335</v>
      </c>
      <c r="M592" s="36">
        <f>IF(Output[[#This Row],[Index]]=1,Output[[#This Row],[Droit Utilisation]],P591)</f>
        <v>32556.112339862939</v>
      </c>
      <c r="N592" s="15">
        <f>Output[[#This Row],[Capital Debut Period]]*Output[[#This Row],[Tx_interet_M]]</f>
        <v>81.390280849657344</v>
      </c>
      <c r="O592" s="15">
        <f>Output[[#This Row],[Mensualité initial]]-Output[[#This Row],[Interet]]</f>
        <v>918.6097191503427</v>
      </c>
      <c r="P592" s="15">
        <f>Output[[#This Row],[Capital Debut Period]]-Output[[#This Row],[Paiement Principal]]</f>
        <v>31637.502620712596</v>
      </c>
      <c r="Q592" s="15">
        <f>Output[[#This Row],[Droit Utilisation]]/Output[[#This Row],[Duree_Mois]]</f>
        <v>927.53929478008888</v>
      </c>
    </row>
    <row r="593" spans="1:17" x14ac:dyDescent="0.25">
      <c r="A593" s="11" t="s">
        <v>10</v>
      </c>
      <c r="B593" s="12">
        <v>43871</v>
      </c>
      <c r="C593">
        <v>1000</v>
      </c>
      <c r="D593">
        <v>5</v>
      </c>
      <c r="E593">
        <v>0.03</v>
      </c>
      <c r="F593">
        <v>60</v>
      </c>
      <c r="G593" s="13">
        <v>44712</v>
      </c>
      <c r="H593">
        <v>592</v>
      </c>
      <c r="I593">
        <v>28</v>
      </c>
      <c r="J593">
        <v>2.5000000000000001E-3</v>
      </c>
      <c r="K593" s="14">
        <v>932.47527220309337</v>
      </c>
      <c r="L593" s="14">
        <v>55652.357686805335</v>
      </c>
      <c r="M593" s="36">
        <f>IF(Output[[#This Row],[Index]]=1,Output[[#This Row],[Droit Utilisation]],P592)</f>
        <v>31637.502620712596</v>
      </c>
      <c r="N593" s="15">
        <f>Output[[#This Row],[Capital Debut Period]]*Output[[#This Row],[Tx_interet_M]]</f>
        <v>79.093756551781496</v>
      </c>
      <c r="O593" s="15">
        <f>Output[[#This Row],[Mensualité initial]]-Output[[#This Row],[Interet]]</f>
        <v>920.90624344821845</v>
      </c>
      <c r="P593" s="15">
        <f>Output[[#This Row],[Capital Debut Period]]-Output[[#This Row],[Paiement Principal]]</f>
        <v>30716.596377264377</v>
      </c>
      <c r="Q593" s="15">
        <f>Output[[#This Row],[Droit Utilisation]]/Output[[#This Row],[Duree_Mois]]</f>
        <v>927.53929478008888</v>
      </c>
    </row>
    <row r="594" spans="1:17" x14ac:dyDescent="0.25">
      <c r="A594" s="11" t="s">
        <v>10</v>
      </c>
      <c r="B594" s="12">
        <v>43871</v>
      </c>
      <c r="C594">
        <v>1000</v>
      </c>
      <c r="D594">
        <v>5</v>
      </c>
      <c r="E594">
        <v>0.03</v>
      </c>
      <c r="F594">
        <v>60</v>
      </c>
      <c r="G594" s="13">
        <v>44742</v>
      </c>
      <c r="H594">
        <v>593</v>
      </c>
      <c r="I594">
        <v>29</v>
      </c>
      <c r="J594">
        <v>2.5000000000000001E-3</v>
      </c>
      <c r="K594" s="14">
        <v>930.14989745944479</v>
      </c>
      <c r="L594" s="14">
        <v>55652.357686805335</v>
      </c>
      <c r="M594" s="36">
        <f>IF(Output[[#This Row],[Index]]=1,Output[[#This Row],[Droit Utilisation]],P593)</f>
        <v>30716.596377264377</v>
      </c>
      <c r="N594" s="15">
        <f>Output[[#This Row],[Capital Debut Period]]*Output[[#This Row],[Tx_interet_M]]</f>
        <v>76.791490943160952</v>
      </c>
      <c r="O594" s="15">
        <f>Output[[#This Row],[Mensualité initial]]-Output[[#This Row],[Interet]]</f>
        <v>923.20850905683903</v>
      </c>
      <c r="P594" s="15">
        <f>Output[[#This Row],[Capital Debut Period]]-Output[[#This Row],[Paiement Principal]]</f>
        <v>29793.387868207537</v>
      </c>
      <c r="Q594" s="15">
        <f>Output[[#This Row],[Droit Utilisation]]/Output[[#This Row],[Duree_Mois]]</f>
        <v>927.53929478008888</v>
      </c>
    </row>
    <row r="595" spans="1:17" x14ac:dyDescent="0.25">
      <c r="A595" s="11" t="s">
        <v>10</v>
      </c>
      <c r="B595" s="12">
        <v>43871</v>
      </c>
      <c r="C595">
        <v>1000</v>
      </c>
      <c r="D595">
        <v>5</v>
      </c>
      <c r="E595">
        <v>0.03</v>
      </c>
      <c r="F595">
        <v>60</v>
      </c>
      <c r="G595" s="13">
        <v>44773</v>
      </c>
      <c r="H595">
        <v>594</v>
      </c>
      <c r="I595">
        <v>30</v>
      </c>
      <c r="J595">
        <v>2.5000000000000001E-3</v>
      </c>
      <c r="K595" s="14">
        <v>927.83032165530653</v>
      </c>
      <c r="L595" s="14">
        <v>55652.357686805335</v>
      </c>
      <c r="M595" s="36">
        <f>IF(Output[[#This Row],[Index]]=1,Output[[#This Row],[Droit Utilisation]],P594)</f>
        <v>29793.387868207537</v>
      </c>
      <c r="N595" s="15">
        <f>Output[[#This Row],[Capital Debut Period]]*Output[[#This Row],[Tx_interet_M]]</f>
        <v>74.483469670518843</v>
      </c>
      <c r="O595" s="15">
        <f>Output[[#This Row],[Mensualité initial]]-Output[[#This Row],[Interet]]</f>
        <v>925.51653032948116</v>
      </c>
      <c r="P595" s="15">
        <f>Output[[#This Row],[Capital Debut Period]]-Output[[#This Row],[Paiement Principal]]</f>
        <v>28867.871337878056</v>
      </c>
      <c r="Q595" s="15">
        <f>Output[[#This Row],[Droit Utilisation]]/Output[[#This Row],[Duree_Mois]]</f>
        <v>927.53929478008888</v>
      </c>
    </row>
    <row r="596" spans="1:17" x14ac:dyDescent="0.25">
      <c r="A596" s="11" t="s">
        <v>10</v>
      </c>
      <c r="B596" s="12">
        <v>43871</v>
      </c>
      <c r="C596">
        <v>1000</v>
      </c>
      <c r="D596">
        <v>5</v>
      </c>
      <c r="E596">
        <v>0.03</v>
      </c>
      <c r="F596">
        <v>60</v>
      </c>
      <c r="G596" s="13">
        <v>44804</v>
      </c>
      <c r="H596">
        <v>595</v>
      </c>
      <c r="I596">
        <v>31</v>
      </c>
      <c r="J596">
        <v>2.5000000000000001E-3</v>
      </c>
      <c r="K596" s="14">
        <v>925.51653032948286</v>
      </c>
      <c r="L596" s="14">
        <v>55652.357686805335</v>
      </c>
      <c r="M596" s="36">
        <f>IF(Output[[#This Row],[Index]]=1,Output[[#This Row],[Droit Utilisation]],P595)</f>
        <v>28867.871337878056</v>
      </c>
      <c r="N596" s="15">
        <f>Output[[#This Row],[Capital Debut Period]]*Output[[#This Row],[Tx_interet_M]]</f>
        <v>72.169678344695143</v>
      </c>
      <c r="O596" s="15">
        <f>Output[[#This Row],[Mensualité initial]]-Output[[#This Row],[Interet]]</f>
        <v>927.83032165530483</v>
      </c>
      <c r="P596" s="15">
        <f>Output[[#This Row],[Capital Debut Period]]-Output[[#This Row],[Paiement Principal]]</f>
        <v>27940.041016222753</v>
      </c>
      <c r="Q596" s="15">
        <f>Output[[#This Row],[Droit Utilisation]]/Output[[#This Row],[Duree_Mois]]</f>
        <v>927.53929478008888</v>
      </c>
    </row>
    <row r="597" spans="1:17" x14ac:dyDescent="0.25">
      <c r="A597" s="11" t="s">
        <v>10</v>
      </c>
      <c r="B597" s="12">
        <v>43871</v>
      </c>
      <c r="C597">
        <v>1000</v>
      </c>
      <c r="D597">
        <v>5</v>
      </c>
      <c r="E597">
        <v>0.03</v>
      </c>
      <c r="F597">
        <v>60</v>
      </c>
      <c r="G597" s="13">
        <v>44834</v>
      </c>
      <c r="H597">
        <v>596</v>
      </c>
      <c r="I597">
        <v>32</v>
      </c>
      <c r="J597">
        <v>2.5000000000000001E-3</v>
      </c>
      <c r="K597" s="14">
        <v>923.20850905684085</v>
      </c>
      <c r="L597" s="14">
        <v>55652.357686805335</v>
      </c>
      <c r="M597" s="36">
        <f>IF(Output[[#This Row],[Index]]=1,Output[[#This Row],[Droit Utilisation]],P596)</f>
        <v>27940.041016222753</v>
      </c>
      <c r="N597" s="15">
        <f>Output[[#This Row],[Capital Debut Period]]*Output[[#This Row],[Tx_interet_M]]</f>
        <v>69.85010254055689</v>
      </c>
      <c r="O597" s="15">
        <f>Output[[#This Row],[Mensualité initial]]-Output[[#This Row],[Interet]]</f>
        <v>930.14989745944308</v>
      </c>
      <c r="P597" s="15">
        <f>Output[[#This Row],[Capital Debut Period]]-Output[[#This Row],[Paiement Principal]]</f>
        <v>27009.891118763309</v>
      </c>
      <c r="Q597" s="15">
        <f>Output[[#This Row],[Droit Utilisation]]/Output[[#This Row],[Duree_Mois]]</f>
        <v>927.53929478008888</v>
      </c>
    </row>
    <row r="598" spans="1:17" x14ac:dyDescent="0.25">
      <c r="A598" s="11" t="s">
        <v>10</v>
      </c>
      <c r="B598" s="12">
        <v>43871</v>
      </c>
      <c r="C598">
        <v>1000</v>
      </c>
      <c r="D598">
        <v>5</v>
      </c>
      <c r="E598">
        <v>0.03</v>
      </c>
      <c r="F598">
        <v>60</v>
      </c>
      <c r="G598" s="13">
        <v>44865</v>
      </c>
      <c r="H598">
        <v>597</v>
      </c>
      <c r="I598">
        <v>33</v>
      </c>
      <c r="J598">
        <v>2.5000000000000001E-3</v>
      </c>
      <c r="K598" s="14">
        <v>920.90624344822038</v>
      </c>
      <c r="L598" s="14">
        <v>55652.357686805335</v>
      </c>
      <c r="M598" s="36">
        <f>IF(Output[[#This Row],[Index]]=1,Output[[#This Row],[Droit Utilisation]],P597)</f>
        <v>27009.891118763309</v>
      </c>
      <c r="N598" s="15">
        <f>Output[[#This Row],[Capital Debut Period]]*Output[[#This Row],[Tx_interet_M]]</f>
        <v>67.52472779690828</v>
      </c>
      <c r="O598" s="15">
        <f>Output[[#This Row],[Mensualité initial]]-Output[[#This Row],[Interet]]</f>
        <v>932.47527220309166</v>
      </c>
      <c r="P598" s="15">
        <f>Output[[#This Row],[Capital Debut Period]]-Output[[#This Row],[Paiement Principal]]</f>
        <v>26077.415846560216</v>
      </c>
      <c r="Q598" s="15">
        <f>Output[[#This Row],[Droit Utilisation]]/Output[[#This Row],[Duree_Mois]]</f>
        <v>927.53929478008888</v>
      </c>
    </row>
    <row r="599" spans="1:17" x14ac:dyDescent="0.25">
      <c r="A599" s="11" t="s">
        <v>10</v>
      </c>
      <c r="B599" s="12">
        <v>43871</v>
      </c>
      <c r="C599">
        <v>1000</v>
      </c>
      <c r="D599">
        <v>5</v>
      </c>
      <c r="E599">
        <v>0.03</v>
      </c>
      <c r="F599">
        <v>60</v>
      </c>
      <c r="G599" s="13">
        <v>44895</v>
      </c>
      <c r="H599">
        <v>598</v>
      </c>
      <c r="I599">
        <v>34</v>
      </c>
      <c r="J599">
        <v>2.5000000000000001E-3</v>
      </c>
      <c r="K599" s="14">
        <v>918.60971915034452</v>
      </c>
      <c r="L599" s="14">
        <v>55652.357686805335</v>
      </c>
      <c r="M599" s="36">
        <f>IF(Output[[#This Row],[Index]]=1,Output[[#This Row],[Droit Utilisation]],P598)</f>
        <v>26077.415846560216</v>
      </c>
      <c r="N599" s="15">
        <f>Output[[#This Row],[Capital Debut Period]]*Output[[#This Row],[Tx_interet_M]]</f>
        <v>65.193539616400543</v>
      </c>
      <c r="O599" s="15">
        <f>Output[[#This Row],[Mensualité initial]]-Output[[#This Row],[Interet]]</f>
        <v>934.80646038359941</v>
      </c>
      <c r="P599" s="15">
        <f>Output[[#This Row],[Capital Debut Period]]-Output[[#This Row],[Paiement Principal]]</f>
        <v>25142.609386176617</v>
      </c>
      <c r="Q599" s="15">
        <f>Output[[#This Row],[Droit Utilisation]]/Output[[#This Row],[Duree_Mois]]</f>
        <v>927.53929478008888</v>
      </c>
    </row>
    <row r="600" spans="1:17" x14ac:dyDescent="0.25">
      <c r="A600" s="11" t="s">
        <v>10</v>
      </c>
      <c r="B600" s="12">
        <v>43871</v>
      </c>
      <c r="C600">
        <v>1000</v>
      </c>
      <c r="D600">
        <v>5</v>
      </c>
      <c r="E600">
        <v>0.03</v>
      </c>
      <c r="F600">
        <v>60</v>
      </c>
      <c r="G600" s="13">
        <v>44926</v>
      </c>
      <c r="H600">
        <v>599</v>
      </c>
      <c r="I600">
        <v>35</v>
      </c>
      <c r="J600">
        <v>2.5000000000000001E-3</v>
      </c>
      <c r="K600" s="14">
        <v>916.3189218457303</v>
      </c>
      <c r="L600" s="14">
        <v>55652.357686805335</v>
      </c>
      <c r="M600" s="36">
        <f>IF(Output[[#This Row],[Index]]=1,Output[[#This Row],[Droit Utilisation]],P599)</f>
        <v>25142.609386176617</v>
      </c>
      <c r="N600" s="15">
        <f>Output[[#This Row],[Capital Debut Period]]*Output[[#This Row],[Tx_interet_M]]</f>
        <v>62.856523465441541</v>
      </c>
      <c r="O600" s="15">
        <f>Output[[#This Row],[Mensualité initial]]-Output[[#This Row],[Interet]]</f>
        <v>937.14347653455843</v>
      </c>
      <c r="P600" s="15">
        <f>Output[[#This Row],[Capital Debut Period]]-Output[[#This Row],[Paiement Principal]]</f>
        <v>24205.465909642058</v>
      </c>
      <c r="Q600" s="15">
        <f>Output[[#This Row],[Droit Utilisation]]/Output[[#This Row],[Duree_Mois]]</f>
        <v>927.53929478008888</v>
      </c>
    </row>
    <row r="601" spans="1:17" x14ac:dyDescent="0.25">
      <c r="A601" s="11" t="s">
        <v>10</v>
      </c>
      <c r="B601" s="12">
        <v>43871</v>
      </c>
      <c r="C601">
        <v>1000</v>
      </c>
      <c r="D601">
        <v>5</v>
      </c>
      <c r="E601">
        <v>0.03</v>
      </c>
      <c r="F601">
        <v>60</v>
      </c>
      <c r="G601" s="13">
        <v>44957</v>
      </c>
      <c r="H601">
        <v>600</v>
      </c>
      <c r="I601">
        <v>36</v>
      </c>
      <c r="J601">
        <v>2.5000000000000001E-3</v>
      </c>
      <c r="K601" s="14">
        <v>914.0338372525988</v>
      </c>
      <c r="L601" s="14">
        <v>55652.357686805335</v>
      </c>
      <c r="M601" s="36">
        <f>IF(Output[[#This Row],[Index]]=1,Output[[#This Row],[Droit Utilisation]],P600)</f>
        <v>24205.465909642058</v>
      </c>
      <c r="N601" s="15">
        <f>Output[[#This Row],[Capital Debut Period]]*Output[[#This Row],[Tx_interet_M]]</f>
        <v>60.513664774105145</v>
      </c>
      <c r="O601" s="15">
        <f>Output[[#This Row],[Mensualité initial]]-Output[[#This Row],[Interet]]</f>
        <v>939.48633522589489</v>
      </c>
      <c r="P601" s="15">
        <f>Output[[#This Row],[Capital Debut Period]]-Output[[#This Row],[Paiement Principal]]</f>
        <v>23265.979574416164</v>
      </c>
      <c r="Q601" s="15">
        <f>Output[[#This Row],[Droit Utilisation]]/Output[[#This Row],[Duree_Mois]]</f>
        <v>927.53929478008888</v>
      </c>
    </row>
    <row r="602" spans="1:17" x14ac:dyDescent="0.25">
      <c r="A602" s="11" t="s">
        <v>10</v>
      </c>
      <c r="B602" s="12">
        <v>43871</v>
      </c>
      <c r="C602">
        <v>1000</v>
      </c>
      <c r="D602">
        <v>5</v>
      </c>
      <c r="E602">
        <v>0.03</v>
      </c>
      <c r="F602">
        <v>60</v>
      </c>
      <c r="G602" s="13">
        <v>44985</v>
      </c>
      <c r="H602">
        <v>601</v>
      </c>
      <c r="I602">
        <v>37</v>
      </c>
      <c r="J602">
        <v>2.5000000000000001E-3</v>
      </c>
      <c r="K602" s="14">
        <v>911.7544511247869</v>
      </c>
      <c r="L602" s="14">
        <v>55652.357686805335</v>
      </c>
      <c r="M602" s="36">
        <f>IF(Output[[#This Row],[Index]]=1,Output[[#This Row],[Droit Utilisation]],P601)</f>
        <v>23265.979574416164</v>
      </c>
      <c r="N602" s="15">
        <f>Output[[#This Row],[Capital Debut Period]]*Output[[#This Row],[Tx_interet_M]]</f>
        <v>58.16494893604041</v>
      </c>
      <c r="O602" s="15">
        <f>Output[[#This Row],[Mensualité initial]]-Output[[#This Row],[Interet]]</f>
        <v>941.83505106395955</v>
      </c>
      <c r="P602" s="15">
        <f>Output[[#This Row],[Capital Debut Period]]-Output[[#This Row],[Paiement Principal]]</f>
        <v>22324.144523352203</v>
      </c>
      <c r="Q602" s="15">
        <f>Output[[#This Row],[Droit Utilisation]]/Output[[#This Row],[Duree_Mois]]</f>
        <v>927.53929478008888</v>
      </c>
    </row>
    <row r="603" spans="1:17" x14ac:dyDescent="0.25">
      <c r="A603" s="11" t="s">
        <v>10</v>
      </c>
      <c r="B603" s="12">
        <v>43871</v>
      </c>
      <c r="C603">
        <v>1000</v>
      </c>
      <c r="D603">
        <v>5</v>
      </c>
      <c r="E603">
        <v>0.03</v>
      </c>
      <c r="F603">
        <v>60</v>
      </c>
      <c r="G603" s="13">
        <v>45016</v>
      </c>
      <c r="H603">
        <v>602</v>
      </c>
      <c r="I603">
        <v>38</v>
      </c>
      <c r="J603">
        <v>2.5000000000000001E-3</v>
      </c>
      <c r="K603" s="14">
        <v>909.48074925165781</v>
      </c>
      <c r="L603" s="14">
        <v>55652.357686805335</v>
      </c>
      <c r="M603" s="36">
        <f>IF(Output[[#This Row],[Index]]=1,Output[[#This Row],[Droit Utilisation]],P602)</f>
        <v>22324.144523352203</v>
      </c>
      <c r="N603" s="15">
        <f>Output[[#This Row],[Capital Debut Period]]*Output[[#This Row],[Tx_interet_M]]</f>
        <v>55.810361308380507</v>
      </c>
      <c r="O603" s="15">
        <f>Output[[#This Row],[Mensualité initial]]-Output[[#This Row],[Interet]]</f>
        <v>944.18963869161951</v>
      </c>
      <c r="P603" s="15">
        <f>Output[[#This Row],[Capital Debut Period]]-Output[[#This Row],[Paiement Principal]]</f>
        <v>21379.954884660583</v>
      </c>
      <c r="Q603" s="15">
        <f>Output[[#This Row],[Droit Utilisation]]/Output[[#This Row],[Duree_Mois]]</f>
        <v>927.53929478008888</v>
      </c>
    </row>
    <row r="604" spans="1:17" x14ac:dyDescent="0.25">
      <c r="A604" s="11" t="s">
        <v>10</v>
      </c>
      <c r="B604" s="12">
        <v>43871</v>
      </c>
      <c r="C604">
        <v>1000</v>
      </c>
      <c r="D604">
        <v>5</v>
      </c>
      <c r="E604">
        <v>0.03</v>
      </c>
      <c r="F604">
        <v>60</v>
      </c>
      <c r="G604" s="13">
        <v>45046</v>
      </c>
      <c r="H604">
        <v>603</v>
      </c>
      <c r="I604">
        <v>39</v>
      </c>
      <c r="J604">
        <v>2.5000000000000001E-3</v>
      </c>
      <c r="K604" s="14">
        <v>907.21271745801278</v>
      </c>
      <c r="L604" s="14">
        <v>55652.357686805335</v>
      </c>
      <c r="M604" s="36">
        <f>IF(Output[[#This Row],[Index]]=1,Output[[#This Row],[Droit Utilisation]],P603)</f>
        <v>21379.954884660583</v>
      </c>
      <c r="N604" s="15">
        <f>Output[[#This Row],[Capital Debut Period]]*Output[[#This Row],[Tx_interet_M]]</f>
        <v>53.449887211651458</v>
      </c>
      <c r="O604" s="15">
        <f>Output[[#This Row],[Mensualité initial]]-Output[[#This Row],[Interet]]</f>
        <v>946.55011278834854</v>
      </c>
      <c r="P604" s="15">
        <f>Output[[#This Row],[Capital Debut Period]]-Output[[#This Row],[Paiement Principal]]</f>
        <v>20433.404771872236</v>
      </c>
      <c r="Q604" s="15">
        <f>Output[[#This Row],[Droit Utilisation]]/Output[[#This Row],[Duree_Mois]]</f>
        <v>927.53929478008888</v>
      </c>
    </row>
    <row r="605" spans="1:17" x14ac:dyDescent="0.25">
      <c r="A605" s="11" t="s">
        <v>10</v>
      </c>
      <c r="B605" s="12">
        <v>43871</v>
      </c>
      <c r="C605">
        <v>1000</v>
      </c>
      <c r="D605">
        <v>5</v>
      </c>
      <c r="E605">
        <v>0.03</v>
      </c>
      <c r="F605">
        <v>60</v>
      </c>
      <c r="G605" s="13">
        <v>45077</v>
      </c>
      <c r="H605">
        <v>604</v>
      </c>
      <c r="I605">
        <v>40</v>
      </c>
      <c r="J605">
        <v>2.5000000000000001E-3</v>
      </c>
      <c r="K605" s="14">
        <v>904.95034160400292</v>
      </c>
      <c r="L605" s="14">
        <v>55652.357686805335</v>
      </c>
      <c r="M605" s="36">
        <f>IF(Output[[#This Row],[Index]]=1,Output[[#This Row],[Droit Utilisation]],P604)</f>
        <v>20433.404771872236</v>
      </c>
      <c r="N605" s="15">
        <f>Output[[#This Row],[Capital Debut Period]]*Output[[#This Row],[Tx_interet_M]]</f>
        <v>51.08351192968059</v>
      </c>
      <c r="O605" s="15">
        <f>Output[[#This Row],[Mensualité initial]]-Output[[#This Row],[Interet]]</f>
        <v>948.91648807031936</v>
      </c>
      <c r="P605" s="15">
        <f>Output[[#This Row],[Capital Debut Period]]-Output[[#This Row],[Paiement Principal]]</f>
        <v>19484.488283801915</v>
      </c>
      <c r="Q605" s="15">
        <f>Output[[#This Row],[Droit Utilisation]]/Output[[#This Row],[Duree_Mois]]</f>
        <v>927.53929478008888</v>
      </c>
    </row>
    <row r="606" spans="1:17" x14ac:dyDescent="0.25">
      <c r="A606" s="11" t="s">
        <v>10</v>
      </c>
      <c r="B606" s="12">
        <v>43871</v>
      </c>
      <c r="C606">
        <v>1000</v>
      </c>
      <c r="D606">
        <v>5</v>
      </c>
      <c r="E606">
        <v>0.03</v>
      </c>
      <c r="F606">
        <v>60</v>
      </c>
      <c r="G606" s="13">
        <v>45107</v>
      </c>
      <c r="H606">
        <v>605</v>
      </c>
      <c r="I606">
        <v>41</v>
      </c>
      <c r="J606">
        <v>2.5000000000000001E-3</v>
      </c>
      <c r="K606" s="14">
        <v>902.69360758504024</v>
      </c>
      <c r="L606" s="14">
        <v>55652.357686805335</v>
      </c>
      <c r="M606" s="36">
        <f>IF(Output[[#This Row],[Index]]=1,Output[[#This Row],[Droit Utilisation]],P605)</f>
        <v>19484.488283801915</v>
      </c>
      <c r="N606" s="15">
        <f>Output[[#This Row],[Capital Debut Period]]*Output[[#This Row],[Tx_interet_M]]</f>
        <v>48.711220709504786</v>
      </c>
      <c r="O606" s="15">
        <f>Output[[#This Row],[Mensualité initial]]-Output[[#This Row],[Interet]]</f>
        <v>951.2887792904952</v>
      </c>
      <c r="P606" s="15">
        <f>Output[[#This Row],[Capital Debut Period]]-Output[[#This Row],[Paiement Principal]]</f>
        <v>18533.19950451142</v>
      </c>
      <c r="Q606" s="15">
        <f>Output[[#This Row],[Droit Utilisation]]/Output[[#This Row],[Duree_Mois]]</f>
        <v>927.53929478008888</v>
      </c>
    </row>
    <row r="607" spans="1:17" x14ac:dyDescent="0.25">
      <c r="A607" s="11" t="s">
        <v>10</v>
      </c>
      <c r="B607" s="12">
        <v>43871</v>
      </c>
      <c r="C607">
        <v>1000</v>
      </c>
      <c r="D607">
        <v>5</v>
      </c>
      <c r="E607">
        <v>0.03</v>
      </c>
      <c r="F607">
        <v>60</v>
      </c>
      <c r="G607" s="13">
        <v>45138</v>
      </c>
      <c r="H607">
        <v>606</v>
      </c>
      <c r="I607">
        <v>42</v>
      </c>
      <c r="J607">
        <v>2.5000000000000001E-3</v>
      </c>
      <c r="K607" s="14">
        <v>900.44250133171113</v>
      </c>
      <c r="L607" s="14">
        <v>55652.357686805335</v>
      </c>
      <c r="M607" s="36">
        <f>IF(Output[[#This Row],[Index]]=1,Output[[#This Row],[Droit Utilisation]],P606)</f>
        <v>18533.19950451142</v>
      </c>
      <c r="N607" s="15">
        <f>Output[[#This Row],[Capital Debut Period]]*Output[[#This Row],[Tx_interet_M]]</f>
        <v>46.332998761278553</v>
      </c>
      <c r="O607" s="15">
        <f>Output[[#This Row],[Mensualité initial]]-Output[[#This Row],[Interet]]</f>
        <v>953.66700123872147</v>
      </c>
      <c r="P607" s="15">
        <f>Output[[#This Row],[Capital Debut Period]]-Output[[#This Row],[Paiement Principal]]</f>
        <v>17579.532503272698</v>
      </c>
      <c r="Q607" s="15">
        <f>Output[[#This Row],[Droit Utilisation]]/Output[[#This Row],[Duree_Mois]]</f>
        <v>927.53929478008888</v>
      </c>
    </row>
    <row r="608" spans="1:17" x14ac:dyDescent="0.25">
      <c r="A608" s="11" t="s">
        <v>10</v>
      </c>
      <c r="B608" s="12">
        <v>43871</v>
      </c>
      <c r="C608">
        <v>1000</v>
      </c>
      <c r="D608">
        <v>5</v>
      </c>
      <c r="E608">
        <v>0.03</v>
      </c>
      <c r="F608">
        <v>60</v>
      </c>
      <c r="G608" s="13">
        <v>45169</v>
      </c>
      <c r="H608">
        <v>607</v>
      </c>
      <c r="I608">
        <v>43</v>
      </c>
      <c r="J608">
        <v>2.5000000000000001E-3</v>
      </c>
      <c r="K608" s="14">
        <v>898.19700880968685</v>
      </c>
      <c r="L608" s="14">
        <v>55652.357686805335</v>
      </c>
      <c r="M608" s="36">
        <f>IF(Output[[#This Row],[Index]]=1,Output[[#This Row],[Droit Utilisation]],P607)</f>
        <v>17579.532503272698</v>
      </c>
      <c r="N608" s="15">
        <f>Output[[#This Row],[Capital Debut Period]]*Output[[#This Row],[Tx_interet_M]]</f>
        <v>43.948831258181748</v>
      </c>
      <c r="O608" s="15">
        <f>Output[[#This Row],[Mensualité initial]]-Output[[#This Row],[Interet]]</f>
        <v>956.05116874181829</v>
      </c>
      <c r="P608" s="15">
        <f>Output[[#This Row],[Capital Debut Period]]-Output[[#This Row],[Paiement Principal]]</f>
        <v>16623.481334530879</v>
      </c>
      <c r="Q608" s="15">
        <f>Output[[#This Row],[Droit Utilisation]]/Output[[#This Row],[Duree_Mois]]</f>
        <v>927.53929478008888</v>
      </c>
    </row>
    <row r="609" spans="1:17" x14ac:dyDescent="0.25">
      <c r="A609" s="11" t="s">
        <v>10</v>
      </c>
      <c r="B609" s="12">
        <v>43871</v>
      </c>
      <c r="C609">
        <v>1000</v>
      </c>
      <c r="D609">
        <v>5</v>
      </c>
      <c r="E609">
        <v>0.03</v>
      </c>
      <c r="F609">
        <v>60</v>
      </c>
      <c r="G609" s="13">
        <v>45199</v>
      </c>
      <c r="H609">
        <v>608</v>
      </c>
      <c r="I609">
        <v>44</v>
      </c>
      <c r="J609">
        <v>2.5000000000000001E-3</v>
      </c>
      <c r="K609" s="14">
        <v>895.95711601963785</v>
      </c>
      <c r="L609" s="14">
        <v>55652.357686805335</v>
      </c>
      <c r="M609" s="36">
        <f>IF(Output[[#This Row],[Index]]=1,Output[[#This Row],[Droit Utilisation]],P608)</f>
        <v>16623.481334530879</v>
      </c>
      <c r="N609" s="15">
        <f>Output[[#This Row],[Capital Debut Period]]*Output[[#This Row],[Tx_interet_M]]</f>
        <v>41.558703336327198</v>
      </c>
      <c r="O609" s="15">
        <f>Output[[#This Row],[Mensualité initial]]-Output[[#This Row],[Interet]]</f>
        <v>958.4412966636728</v>
      </c>
      <c r="P609" s="15">
        <f>Output[[#This Row],[Capital Debut Period]]-Output[[#This Row],[Paiement Principal]]</f>
        <v>15665.040037867206</v>
      </c>
      <c r="Q609" s="15">
        <f>Output[[#This Row],[Droit Utilisation]]/Output[[#This Row],[Duree_Mois]]</f>
        <v>927.53929478008888</v>
      </c>
    </row>
    <row r="610" spans="1:17" x14ac:dyDescent="0.25">
      <c r="A610" s="11" t="s">
        <v>10</v>
      </c>
      <c r="B610" s="12">
        <v>43871</v>
      </c>
      <c r="C610">
        <v>1000</v>
      </c>
      <c r="D610">
        <v>5</v>
      </c>
      <c r="E610">
        <v>0.03</v>
      </c>
      <c r="F610">
        <v>60</v>
      </c>
      <c r="G610" s="13">
        <v>45230</v>
      </c>
      <c r="H610">
        <v>609</v>
      </c>
      <c r="I610">
        <v>45</v>
      </c>
      <c r="J610">
        <v>2.5000000000000001E-3</v>
      </c>
      <c r="K610" s="14">
        <v>893.72280899714508</v>
      </c>
      <c r="L610" s="14">
        <v>55652.357686805335</v>
      </c>
      <c r="M610" s="36">
        <f>IF(Output[[#This Row],[Index]]=1,Output[[#This Row],[Droit Utilisation]],P609)</f>
        <v>15665.040037867206</v>
      </c>
      <c r="N610" s="15">
        <f>Output[[#This Row],[Capital Debut Period]]*Output[[#This Row],[Tx_interet_M]]</f>
        <v>39.162600094668015</v>
      </c>
      <c r="O610" s="15">
        <f>Output[[#This Row],[Mensualité initial]]-Output[[#This Row],[Interet]]</f>
        <v>960.83739990533195</v>
      </c>
      <c r="P610" s="15">
        <f>Output[[#This Row],[Capital Debut Period]]-Output[[#This Row],[Paiement Principal]]</f>
        <v>14704.202637961873</v>
      </c>
      <c r="Q610" s="15">
        <f>Output[[#This Row],[Droit Utilisation]]/Output[[#This Row],[Duree_Mois]]</f>
        <v>927.53929478008888</v>
      </c>
    </row>
    <row r="611" spans="1:17" x14ac:dyDescent="0.25">
      <c r="A611" s="11" t="s">
        <v>10</v>
      </c>
      <c r="B611" s="12">
        <v>43871</v>
      </c>
      <c r="C611">
        <v>1000</v>
      </c>
      <c r="D611">
        <v>5</v>
      </c>
      <c r="E611">
        <v>0.03</v>
      </c>
      <c r="F611">
        <v>60</v>
      </c>
      <c r="G611" s="13">
        <v>45260</v>
      </c>
      <c r="H611">
        <v>610</v>
      </c>
      <c r="I611">
        <v>46</v>
      </c>
      <c r="J611">
        <v>2.5000000000000001E-3</v>
      </c>
      <c r="K611" s="14">
        <v>891.49407381261358</v>
      </c>
      <c r="L611" s="14">
        <v>55652.357686805335</v>
      </c>
      <c r="M611" s="36">
        <f>IF(Output[[#This Row],[Index]]=1,Output[[#This Row],[Droit Utilisation]],P610)</f>
        <v>14704.202637961873</v>
      </c>
      <c r="N611" s="15">
        <f>Output[[#This Row],[Capital Debut Period]]*Output[[#This Row],[Tx_interet_M]]</f>
        <v>36.760506594904683</v>
      </c>
      <c r="O611" s="15">
        <f>Output[[#This Row],[Mensualité initial]]-Output[[#This Row],[Interet]]</f>
        <v>963.23949340509535</v>
      </c>
      <c r="P611" s="15">
        <f>Output[[#This Row],[Capital Debut Period]]-Output[[#This Row],[Paiement Principal]]</f>
        <v>13740.963144556777</v>
      </c>
      <c r="Q611" s="15">
        <f>Output[[#This Row],[Droit Utilisation]]/Output[[#This Row],[Duree_Mois]]</f>
        <v>927.53929478008888</v>
      </c>
    </row>
    <row r="612" spans="1:17" x14ac:dyDescent="0.25">
      <c r="A612" s="11" t="s">
        <v>10</v>
      </c>
      <c r="B612" s="12">
        <v>43871</v>
      </c>
      <c r="C612">
        <v>1000</v>
      </c>
      <c r="D612">
        <v>5</v>
      </c>
      <c r="E612">
        <v>0.03</v>
      </c>
      <c r="F612">
        <v>60</v>
      </c>
      <c r="G612" s="13">
        <v>45291</v>
      </c>
      <c r="H612">
        <v>611</v>
      </c>
      <c r="I612">
        <v>47</v>
      </c>
      <c r="J612">
        <v>2.5000000000000001E-3</v>
      </c>
      <c r="K612" s="14">
        <v>889.27089657118563</v>
      </c>
      <c r="L612" s="14">
        <v>55652.357686805335</v>
      </c>
      <c r="M612" s="36">
        <f>IF(Output[[#This Row],[Index]]=1,Output[[#This Row],[Droit Utilisation]],P611)</f>
        <v>13740.963144556777</v>
      </c>
      <c r="N612" s="15">
        <f>Output[[#This Row],[Capital Debut Period]]*Output[[#This Row],[Tx_interet_M]]</f>
        <v>34.352407861391946</v>
      </c>
      <c r="O612" s="15">
        <f>Output[[#This Row],[Mensualité initial]]-Output[[#This Row],[Interet]]</f>
        <v>965.64759213860805</v>
      </c>
      <c r="P612" s="15">
        <f>Output[[#This Row],[Capital Debut Period]]-Output[[#This Row],[Paiement Principal]]</f>
        <v>12775.315552418169</v>
      </c>
      <c r="Q612" s="15">
        <f>Output[[#This Row],[Droit Utilisation]]/Output[[#This Row],[Duree_Mois]]</f>
        <v>927.53929478008888</v>
      </c>
    </row>
    <row r="613" spans="1:17" x14ac:dyDescent="0.25">
      <c r="A613" s="11" t="s">
        <v>10</v>
      </c>
      <c r="B613" s="12">
        <v>43871</v>
      </c>
      <c r="C613">
        <v>1000</v>
      </c>
      <c r="D613">
        <v>5</v>
      </c>
      <c r="E613">
        <v>0.03</v>
      </c>
      <c r="F613">
        <v>60</v>
      </c>
      <c r="G613" s="13">
        <v>45322</v>
      </c>
      <c r="H613">
        <v>612</v>
      </c>
      <c r="I613">
        <v>48</v>
      </c>
      <c r="J613">
        <v>2.5000000000000001E-3</v>
      </c>
      <c r="K613" s="14">
        <v>887.05326341265402</v>
      </c>
      <c r="L613" s="14">
        <v>55652.357686805335</v>
      </c>
      <c r="M613" s="36">
        <f>IF(Output[[#This Row],[Index]]=1,Output[[#This Row],[Droit Utilisation]],P612)</f>
        <v>12775.315552418169</v>
      </c>
      <c r="N613" s="15">
        <f>Output[[#This Row],[Capital Debut Period]]*Output[[#This Row],[Tx_interet_M]]</f>
        <v>31.938288881045423</v>
      </c>
      <c r="O613" s="15">
        <f>Output[[#This Row],[Mensualité initial]]-Output[[#This Row],[Interet]]</f>
        <v>968.06171111895458</v>
      </c>
      <c r="P613" s="15">
        <f>Output[[#This Row],[Capital Debut Period]]-Output[[#This Row],[Paiement Principal]]</f>
        <v>11807.253841299214</v>
      </c>
      <c r="Q613" s="15">
        <f>Output[[#This Row],[Droit Utilisation]]/Output[[#This Row],[Duree_Mois]]</f>
        <v>927.53929478008888</v>
      </c>
    </row>
    <row r="614" spans="1:17" x14ac:dyDescent="0.25">
      <c r="A614" s="11" t="s">
        <v>10</v>
      </c>
      <c r="B614" s="12">
        <v>43871</v>
      </c>
      <c r="C614">
        <v>1000</v>
      </c>
      <c r="D614">
        <v>5</v>
      </c>
      <c r="E614">
        <v>0.03</v>
      </c>
      <c r="F614">
        <v>60</v>
      </c>
      <c r="G614" s="13">
        <v>45351</v>
      </c>
      <c r="H614">
        <v>613</v>
      </c>
      <c r="I614">
        <v>49</v>
      </c>
      <c r="J614">
        <v>2.5000000000000001E-3</v>
      </c>
      <c r="K614" s="14">
        <v>884.84116051137562</v>
      </c>
      <c r="L614" s="14">
        <v>55652.357686805335</v>
      </c>
      <c r="M614" s="36">
        <f>IF(Output[[#This Row],[Index]]=1,Output[[#This Row],[Droit Utilisation]],P613)</f>
        <v>11807.253841299214</v>
      </c>
      <c r="N614" s="15">
        <f>Output[[#This Row],[Capital Debut Period]]*Output[[#This Row],[Tx_interet_M]]</f>
        <v>29.518134603248036</v>
      </c>
      <c r="O614" s="15">
        <f>Output[[#This Row],[Mensualité initial]]-Output[[#This Row],[Interet]]</f>
        <v>970.48186539675191</v>
      </c>
      <c r="P614" s="15">
        <f>Output[[#This Row],[Capital Debut Period]]-Output[[#This Row],[Paiement Principal]]</f>
        <v>10836.771975902462</v>
      </c>
      <c r="Q614" s="15">
        <f>Output[[#This Row],[Droit Utilisation]]/Output[[#This Row],[Duree_Mois]]</f>
        <v>927.53929478008888</v>
      </c>
    </row>
    <row r="615" spans="1:17" x14ac:dyDescent="0.25">
      <c r="A615" s="11" t="s">
        <v>10</v>
      </c>
      <c r="B615" s="12">
        <v>43871</v>
      </c>
      <c r="C615">
        <v>1000</v>
      </c>
      <c r="D615">
        <v>5</v>
      </c>
      <c r="E615">
        <v>0.03</v>
      </c>
      <c r="F615">
        <v>60</v>
      </c>
      <c r="G615" s="13">
        <v>45382</v>
      </c>
      <c r="H615">
        <v>614</v>
      </c>
      <c r="I615">
        <v>50</v>
      </c>
      <c r="J615">
        <v>2.5000000000000001E-3</v>
      </c>
      <c r="K615" s="14">
        <v>882.63457407618523</v>
      </c>
      <c r="L615" s="14">
        <v>55652.357686805335</v>
      </c>
      <c r="M615" s="36">
        <f>IF(Output[[#This Row],[Index]]=1,Output[[#This Row],[Droit Utilisation]],P614)</f>
        <v>10836.771975902462</v>
      </c>
      <c r="N615" s="15">
        <f>Output[[#This Row],[Capital Debut Period]]*Output[[#This Row],[Tx_interet_M]]</f>
        <v>27.091929939756156</v>
      </c>
      <c r="O615" s="15">
        <f>Output[[#This Row],[Mensualité initial]]-Output[[#This Row],[Interet]]</f>
        <v>972.90807006024386</v>
      </c>
      <c r="P615" s="15">
        <f>Output[[#This Row],[Capital Debut Period]]-Output[[#This Row],[Paiement Principal]]</f>
        <v>9863.8639058422177</v>
      </c>
      <c r="Q615" s="15">
        <f>Output[[#This Row],[Droit Utilisation]]/Output[[#This Row],[Duree_Mois]]</f>
        <v>927.53929478008888</v>
      </c>
    </row>
    <row r="616" spans="1:17" x14ac:dyDescent="0.25">
      <c r="A616" s="11" t="s">
        <v>10</v>
      </c>
      <c r="B616" s="12">
        <v>43871</v>
      </c>
      <c r="C616">
        <v>1000</v>
      </c>
      <c r="D616">
        <v>5</v>
      </c>
      <c r="E616">
        <v>0.03</v>
      </c>
      <c r="F616">
        <v>60</v>
      </c>
      <c r="G616" s="13">
        <v>45412</v>
      </c>
      <c r="H616">
        <v>615</v>
      </c>
      <c r="I616">
        <v>51</v>
      </c>
      <c r="J616">
        <v>2.5000000000000001E-3</v>
      </c>
      <c r="K616" s="14">
        <v>880.43349035030951</v>
      </c>
      <c r="L616" s="14">
        <v>55652.357686805335</v>
      </c>
      <c r="M616" s="36">
        <f>IF(Output[[#This Row],[Index]]=1,Output[[#This Row],[Droit Utilisation]],P615)</f>
        <v>9863.8639058422177</v>
      </c>
      <c r="N616" s="15">
        <f>Output[[#This Row],[Capital Debut Period]]*Output[[#This Row],[Tx_interet_M]]</f>
        <v>24.659659764605546</v>
      </c>
      <c r="O616" s="15">
        <f>Output[[#This Row],[Mensualité initial]]-Output[[#This Row],[Interet]]</f>
        <v>975.34034023539448</v>
      </c>
      <c r="P616" s="15">
        <f>Output[[#This Row],[Capital Debut Period]]-Output[[#This Row],[Paiement Principal]]</f>
        <v>8888.5235656068235</v>
      </c>
      <c r="Q616" s="15">
        <f>Output[[#This Row],[Droit Utilisation]]/Output[[#This Row],[Duree_Mois]]</f>
        <v>927.53929478008888</v>
      </c>
    </row>
    <row r="617" spans="1:17" x14ac:dyDescent="0.25">
      <c r="A617" s="11" t="s">
        <v>10</v>
      </c>
      <c r="B617" s="12">
        <v>43871</v>
      </c>
      <c r="C617">
        <v>1000</v>
      </c>
      <c r="D617">
        <v>5</v>
      </c>
      <c r="E617">
        <v>0.03</v>
      </c>
      <c r="F617">
        <v>60</v>
      </c>
      <c r="G617" s="13">
        <v>45443</v>
      </c>
      <c r="H617">
        <v>616</v>
      </c>
      <c r="I617">
        <v>52</v>
      </c>
      <c r="J617">
        <v>2.5000000000000001E-3</v>
      </c>
      <c r="K617" s="14">
        <v>878.23789561128126</v>
      </c>
      <c r="L617" s="14">
        <v>55652.357686805335</v>
      </c>
      <c r="M617" s="36">
        <f>IF(Output[[#This Row],[Index]]=1,Output[[#This Row],[Droit Utilisation]],P616)</f>
        <v>8888.5235656068235</v>
      </c>
      <c r="N617" s="15">
        <f>Output[[#This Row],[Capital Debut Period]]*Output[[#This Row],[Tx_interet_M]]</f>
        <v>22.221308914017058</v>
      </c>
      <c r="O617" s="15">
        <f>Output[[#This Row],[Mensualité initial]]-Output[[#This Row],[Interet]]</f>
        <v>977.77869108598293</v>
      </c>
      <c r="P617" s="15">
        <f>Output[[#This Row],[Capital Debut Period]]-Output[[#This Row],[Paiement Principal]]</f>
        <v>7910.7448745208403</v>
      </c>
      <c r="Q617" s="15">
        <f>Output[[#This Row],[Droit Utilisation]]/Output[[#This Row],[Duree_Mois]]</f>
        <v>927.53929478008888</v>
      </c>
    </row>
    <row r="618" spans="1:17" x14ac:dyDescent="0.25">
      <c r="A618" s="11" t="s">
        <v>10</v>
      </c>
      <c r="B618" s="12">
        <v>43871</v>
      </c>
      <c r="C618">
        <v>1000</v>
      </c>
      <c r="D618">
        <v>5</v>
      </c>
      <c r="E618">
        <v>0.03</v>
      </c>
      <c r="F618">
        <v>60</v>
      </c>
      <c r="G618" s="13">
        <v>45473</v>
      </c>
      <c r="H618">
        <v>617</v>
      </c>
      <c r="I618">
        <v>53</v>
      </c>
      <c r="J618">
        <v>2.5000000000000001E-3</v>
      </c>
      <c r="K618" s="14">
        <v>876.04777617085426</v>
      </c>
      <c r="L618" s="14">
        <v>55652.357686805335</v>
      </c>
      <c r="M618" s="36">
        <f>IF(Output[[#This Row],[Index]]=1,Output[[#This Row],[Droit Utilisation]],P617)</f>
        <v>7910.7448745208403</v>
      </c>
      <c r="N618" s="15">
        <f>Output[[#This Row],[Capital Debut Period]]*Output[[#This Row],[Tx_interet_M]]</f>
        <v>19.7768621863021</v>
      </c>
      <c r="O618" s="15">
        <f>Output[[#This Row],[Mensualité initial]]-Output[[#This Row],[Interet]]</f>
        <v>980.22313781369792</v>
      </c>
      <c r="P618" s="15">
        <f>Output[[#This Row],[Capital Debut Period]]-Output[[#This Row],[Paiement Principal]]</f>
        <v>6930.5217367071427</v>
      </c>
      <c r="Q618" s="15">
        <f>Output[[#This Row],[Droit Utilisation]]/Output[[#This Row],[Duree_Mois]]</f>
        <v>927.53929478008888</v>
      </c>
    </row>
    <row r="619" spans="1:17" x14ac:dyDescent="0.25">
      <c r="A619" s="11" t="s">
        <v>10</v>
      </c>
      <c r="B619" s="12">
        <v>43871</v>
      </c>
      <c r="C619">
        <v>1000</v>
      </c>
      <c r="D619">
        <v>5</v>
      </c>
      <c r="E619">
        <v>0.03</v>
      </c>
      <c r="F619">
        <v>60</v>
      </c>
      <c r="G619" s="13">
        <v>45504</v>
      </c>
      <c r="H619">
        <v>618</v>
      </c>
      <c r="I619">
        <v>54</v>
      </c>
      <c r="J619">
        <v>2.5000000000000001E-3</v>
      </c>
      <c r="K619" s="14">
        <v>873.86311837491701</v>
      </c>
      <c r="L619" s="14">
        <v>55652.357686805335</v>
      </c>
      <c r="M619" s="36">
        <f>IF(Output[[#This Row],[Index]]=1,Output[[#This Row],[Droit Utilisation]],P618)</f>
        <v>6930.5217367071427</v>
      </c>
      <c r="N619" s="15">
        <f>Output[[#This Row],[Capital Debut Period]]*Output[[#This Row],[Tx_interet_M]]</f>
        <v>17.326304341767859</v>
      </c>
      <c r="O619" s="15">
        <f>Output[[#This Row],[Mensualité initial]]-Output[[#This Row],[Interet]]</f>
        <v>982.67369565823219</v>
      </c>
      <c r="P619" s="15">
        <f>Output[[#This Row],[Capital Debut Period]]-Output[[#This Row],[Paiement Principal]]</f>
        <v>5947.8480410489101</v>
      </c>
      <c r="Q619" s="15">
        <f>Output[[#This Row],[Droit Utilisation]]/Output[[#This Row],[Duree_Mois]]</f>
        <v>927.53929478008888</v>
      </c>
    </row>
    <row r="620" spans="1:17" x14ac:dyDescent="0.25">
      <c r="A620" s="11" t="s">
        <v>10</v>
      </c>
      <c r="B620" s="12">
        <v>43871</v>
      </c>
      <c r="C620">
        <v>1000</v>
      </c>
      <c r="D620">
        <v>5</v>
      </c>
      <c r="E620">
        <v>0.03</v>
      </c>
      <c r="F620">
        <v>60</v>
      </c>
      <c r="G620" s="13">
        <v>45535</v>
      </c>
      <c r="H620">
        <v>619</v>
      </c>
      <c r="I620">
        <v>55</v>
      </c>
      <c r="J620">
        <v>2.5000000000000001E-3</v>
      </c>
      <c r="K620" s="14">
        <v>871.68390860340855</v>
      </c>
      <c r="L620" s="14">
        <v>55652.357686805335</v>
      </c>
      <c r="M620" s="36">
        <f>IF(Output[[#This Row],[Index]]=1,Output[[#This Row],[Droit Utilisation]],P619)</f>
        <v>5947.8480410489101</v>
      </c>
      <c r="N620" s="15">
        <f>Output[[#This Row],[Capital Debut Period]]*Output[[#This Row],[Tx_interet_M]]</f>
        <v>14.869620102622276</v>
      </c>
      <c r="O620" s="15">
        <f>Output[[#This Row],[Mensualité initial]]-Output[[#This Row],[Interet]]</f>
        <v>985.13037989737768</v>
      </c>
      <c r="P620" s="15">
        <f>Output[[#This Row],[Capital Debut Period]]-Output[[#This Row],[Paiement Principal]]</f>
        <v>4962.7176611515324</v>
      </c>
      <c r="Q620" s="15">
        <f>Output[[#This Row],[Droit Utilisation]]/Output[[#This Row],[Duree_Mois]]</f>
        <v>927.53929478008888</v>
      </c>
    </row>
    <row r="621" spans="1:17" x14ac:dyDescent="0.25">
      <c r="A621" s="11" t="s">
        <v>10</v>
      </c>
      <c r="B621" s="12">
        <v>43871</v>
      </c>
      <c r="C621">
        <v>1000</v>
      </c>
      <c r="D621">
        <v>5</v>
      </c>
      <c r="E621">
        <v>0.03</v>
      </c>
      <c r="F621">
        <v>60</v>
      </c>
      <c r="G621" s="13">
        <v>45565</v>
      </c>
      <c r="H621">
        <v>620</v>
      </c>
      <c r="I621">
        <v>56</v>
      </c>
      <c r="J621">
        <v>2.5000000000000001E-3</v>
      </c>
      <c r="K621" s="14">
        <v>869.51013327023293</v>
      </c>
      <c r="L621" s="14">
        <v>55652.357686805335</v>
      </c>
      <c r="M621" s="36">
        <f>IF(Output[[#This Row],[Index]]=1,Output[[#This Row],[Droit Utilisation]],P620)</f>
        <v>4962.7176611515324</v>
      </c>
      <c r="N621" s="15">
        <f>Output[[#This Row],[Capital Debut Period]]*Output[[#This Row],[Tx_interet_M]]</f>
        <v>12.406794152878831</v>
      </c>
      <c r="O621" s="15">
        <f>Output[[#This Row],[Mensualité initial]]-Output[[#This Row],[Interet]]</f>
        <v>987.59320584712123</v>
      </c>
      <c r="P621" s="15">
        <f>Output[[#This Row],[Capital Debut Period]]-Output[[#This Row],[Paiement Principal]]</f>
        <v>3975.1244553044112</v>
      </c>
      <c r="Q621" s="15">
        <f>Output[[#This Row],[Droit Utilisation]]/Output[[#This Row],[Duree_Mois]]</f>
        <v>927.53929478008888</v>
      </c>
    </row>
    <row r="622" spans="1:17" x14ac:dyDescent="0.25">
      <c r="A622" s="11" t="s">
        <v>10</v>
      </c>
      <c r="B622" s="12">
        <v>43871</v>
      </c>
      <c r="C622">
        <v>1000</v>
      </c>
      <c r="D622">
        <v>5</v>
      </c>
      <c r="E622">
        <v>0.03</v>
      </c>
      <c r="F622">
        <v>60</v>
      </c>
      <c r="G622" s="13">
        <v>45596</v>
      </c>
      <c r="H622">
        <v>621</v>
      </c>
      <c r="I622">
        <v>57</v>
      </c>
      <c r="J622">
        <v>2.5000000000000001E-3</v>
      </c>
      <c r="K622" s="14">
        <v>867.3417788231751</v>
      </c>
      <c r="L622" s="14">
        <v>55652.357686805335</v>
      </c>
      <c r="M622" s="36">
        <f>IF(Output[[#This Row],[Index]]=1,Output[[#This Row],[Droit Utilisation]],P621)</f>
        <v>3975.1244553044112</v>
      </c>
      <c r="N622" s="15">
        <f>Output[[#This Row],[Capital Debut Period]]*Output[[#This Row],[Tx_interet_M]]</f>
        <v>9.9378111382610275</v>
      </c>
      <c r="O622" s="15">
        <f>Output[[#This Row],[Mensualité initial]]-Output[[#This Row],[Interet]]</f>
        <v>990.06218886173895</v>
      </c>
      <c r="P622" s="15">
        <f>Output[[#This Row],[Capital Debut Period]]-Output[[#This Row],[Paiement Principal]]</f>
        <v>2985.0622664426724</v>
      </c>
      <c r="Q622" s="15">
        <f>Output[[#This Row],[Droit Utilisation]]/Output[[#This Row],[Duree_Mois]]</f>
        <v>927.53929478008888</v>
      </c>
    </row>
    <row r="623" spans="1:17" x14ac:dyDescent="0.25">
      <c r="A623" s="11" t="s">
        <v>10</v>
      </c>
      <c r="B623" s="12">
        <v>43871</v>
      </c>
      <c r="C623">
        <v>1000</v>
      </c>
      <c r="D623">
        <v>5</v>
      </c>
      <c r="E623">
        <v>0.03</v>
      </c>
      <c r="F623">
        <v>60</v>
      </c>
      <c r="G623" s="13">
        <v>45626</v>
      </c>
      <c r="H623">
        <v>622</v>
      </c>
      <c r="I623">
        <v>58</v>
      </c>
      <c r="J623">
        <v>2.5000000000000001E-3</v>
      </c>
      <c r="K623" s="14">
        <v>865.17883174381564</v>
      </c>
      <c r="L623" s="14">
        <v>55652.357686805335</v>
      </c>
      <c r="M623" s="36">
        <f>IF(Output[[#This Row],[Index]]=1,Output[[#This Row],[Droit Utilisation]],P622)</f>
        <v>2985.0622664426724</v>
      </c>
      <c r="N623" s="15">
        <f>Output[[#This Row],[Capital Debut Period]]*Output[[#This Row],[Tx_interet_M]]</f>
        <v>7.4626556661066807</v>
      </c>
      <c r="O623" s="15">
        <f>Output[[#This Row],[Mensualité initial]]-Output[[#This Row],[Interet]]</f>
        <v>992.53734433389332</v>
      </c>
      <c r="P623" s="15">
        <f>Output[[#This Row],[Capital Debut Period]]-Output[[#This Row],[Paiement Principal]]</f>
        <v>1992.524922108779</v>
      </c>
      <c r="Q623" s="15">
        <f>Output[[#This Row],[Droit Utilisation]]/Output[[#This Row],[Duree_Mois]]</f>
        <v>927.53929478008888</v>
      </c>
    </row>
    <row r="624" spans="1:17" x14ac:dyDescent="0.25">
      <c r="A624" s="11" t="s">
        <v>10</v>
      </c>
      <c r="B624" s="12">
        <v>43871</v>
      </c>
      <c r="C624">
        <v>1000</v>
      </c>
      <c r="D624">
        <v>5</v>
      </c>
      <c r="E624">
        <v>0.03</v>
      </c>
      <c r="F624">
        <v>60</v>
      </c>
      <c r="G624" s="13">
        <v>45657</v>
      </c>
      <c r="H624">
        <v>623</v>
      </c>
      <c r="I624">
        <v>59</v>
      </c>
      <c r="J624">
        <v>2.5000000000000001E-3</v>
      </c>
      <c r="K624" s="14">
        <v>863.02127854744708</v>
      </c>
      <c r="L624" s="14">
        <v>55652.357686805335</v>
      </c>
      <c r="M624" s="36">
        <f>IF(Output[[#This Row],[Index]]=1,Output[[#This Row],[Droit Utilisation]],P623)</f>
        <v>1992.524922108779</v>
      </c>
      <c r="N624" s="15">
        <f>Output[[#This Row],[Capital Debut Period]]*Output[[#This Row],[Tx_interet_M]]</f>
        <v>4.9813123052719481</v>
      </c>
      <c r="O624" s="15">
        <f>Output[[#This Row],[Mensualité initial]]-Output[[#This Row],[Interet]]</f>
        <v>995.0186876947281</v>
      </c>
      <c r="P624" s="15">
        <f>Output[[#This Row],[Capital Debut Period]]-Output[[#This Row],[Paiement Principal]]</f>
        <v>997.50623441405094</v>
      </c>
      <c r="Q624" s="15">
        <f>Output[[#This Row],[Droit Utilisation]]/Output[[#This Row],[Duree_Mois]]</f>
        <v>927.53929478008888</v>
      </c>
    </row>
    <row r="625" spans="1:17" x14ac:dyDescent="0.25">
      <c r="A625" s="11" t="s">
        <v>10</v>
      </c>
      <c r="B625" s="12">
        <v>43871</v>
      </c>
      <c r="C625">
        <v>1000</v>
      </c>
      <c r="D625">
        <v>5</v>
      </c>
      <c r="E625">
        <v>0.03</v>
      </c>
      <c r="F625">
        <v>60</v>
      </c>
      <c r="G625" s="13">
        <v>45688</v>
      </c>
      <c r="H625">
        <v>624</v>
      </c>
      <c r="I625">
        <v>60</v>
      </c>
      <c r="J625">
        <v>2.5000000000000001E-3</v>
      </c>
      <c r="K625" s="14">
        <v>860.86910578298955</v>
      </c>
      <c r="L625" s="14">
        <v>55652.357686805335</v>
      </c>
      <c r="M625" s="36">
        <f>IF(Output[[#This Row],[Index]]=1,Output[[#This Row],[Droit Utilisation]],P624)</f>
        <v>997.50623441405094</v>
      </c>
      <c r="N625" s="15">
        <f>Output[[#This Row],[Capital Debut Period]]*Output[[#This Row],[Tx_interet_M]]</f>
        <v>2.4937655860351273</v>
      </c>
      <c r="O625" s="15">
        <f>Output[[#This Row],[Mensualité initial]]-Output[[#This Row],[Interet]]</f>
        <v>997.50623441396488</v>
      </c>
      <c r="P625" s="15">
        <f>Output[[#This Row],[Capital Debut Period]]-Output[[#This Row],[Paiement Principal]]</f>
        <v>8.6060936155263335E-11</v>
      </c>
      <c r="Q625" s="15">
        <f>Output[[#This Row],[Droit Utilisation]]/Output[[#This Row],[Duree_Mois]]</f>
        <v>927.53929478008888</v>
      </c>
    </row>
    <row r="626" spans="1:17" x14ac:dyDescent="0.25">
      <c r="A626" s="11" t="s">
        <v>11</v>
      </c>
      <c r="B626" s="12">
        <v>43872</v>
      </c>
      <c r="C626">
        <v>6000</v>
      </c>
      <c r="D626">
        <v>5</v>
      </c>
      <c r="E626">
        <v>0.03</v>
      </c>
      <c r="F626">
        <v>60</v>
      </c>
      <c r="G626" s="13">
        <v>43890</v>
      </c>
      <c r="H626">
        <v>625</v>
      </c>
      <c r="I626">
        <v>1</v>
      </c>
      <c r="J626">
        <v>2.5000000000000001E-3</v>
      </c>
      <c r="K626" s="14">
        <v>5985.0374064837906</v>
      </c>
      <c r="L626" s="14">
        <v>333914.14612083195</v>
      </c>
      <c r="M626" s="36">
        <f>IF(Output[[#This Row],[Index]]=1,Output[[#This Row],[Droit Utilisation]],P625)</f>
        <v>333914.14612083195</v>
      </c>
      <c r="N626" s="15">
        <f>Output[[#This Row],[Capital Debut Period]]*Output[[#This Row],[Tx_interet_M]]</f>
        <v>834.78536530207987</v>
      </c>
      <c r="O626" s="15">
        <f>Output[[#This Row],[Mensualité initial]]-Output[[#This Row],[Interet]]</f>
        <v>5165.2146346979198</v>
      </c>
      <c r="P626" s="15">
        <f>Output[[#This Row],[Capital Debut Period]]-Output[[#This Row],[Paiement Principal]]</f>
        <v>328748.93148613401</v>
      </c>
      <c r="Q626" s="15">
        <f>Output[[#This Row],[Droit Utilisation]]/Output[[#This Row],[Duree_Mois]]</f>
        <v>5565.2357686805326</v>
      </c>
    </row>
    <row r="627" spans="1:17" x14ac:dyDescent="0.25">
      <c r="A627" s="11" t="s">
        <v>11</v>
      </c>
      <c r="B627" s="12">
        <v>43872</v>
      </c>
      <c r="C627">
        <v>6000</v>
      </c>
      <c r="D627">
        <v>5</v>
      </c>
      <c r="E627">
        <v>0.03</v>
      </c>
      <c r="F627">
        <v>60</v>
      </c>
      <c r="G627" s="13">
        <v>43921</v>
      </c>
      <c r="H627">
        <v>626</v>
      </c>
      <c r="I627">
        <v>2</v>
      </c>
      <c r="J627">
        <v>2.5000000000000001E-3</v>
      </c>
      <c r="K627" s="14">
        <v>5970.1121261683702</v>
      </c>
      <c r="L627" s="14">
        <v>333914.14612083195</v>
      </c>
      <c r="M627" s="36">
        <f>IF(Output[[#This Row],[Index]]=1,Output[[#This Row],[Droit Utilisation]],P626)</f>
        <v>328748.93148613401</v>
      </c>
      <c r="N627" s="15">
        <f>Output[[#This Row],[Capital Debut Period]]*Output[[#This Row],[Tx_interet_M]]</f>
        <v>821.87232871533502</v>
      </c>
      <c r="O627" s="15">
        <f>Output[[#This Row],[Mensualité initial]]-Output[[#This Row],[Interet]]</f>
        <v>5178.1276712846648</v>
      </c>
      <c r="P627" s="15">
        <f>Output[[#This Row],[Capital Debut Period]]-Output[[#This Row],[Paiement Principal]]</f>
        <v>323570.80381484935</v>
      </c>
      <c r="Q627" s="15">
        <f>Output[[#This Row],[Droit Utilisation]]/Output[[#This Row],[Duree_Mois]]</f>
        <v>5565.2357686805326</v>
      </c>
    </row>
    <row r="628" spans="1:17" x14ac:dyDescent="0.25">
      <c r="A628" s="11" t="s">
        <v>11</v>
      </c>
      <c r="B628" s="12">
        <v>43872</v>
      </c>
      <c r="C628">
        <v>6000</v>
      </c>
      <c r="D628">
        <v>5</v>
      </c>
      <c r="E628">
        <v>0.03</v>
      </c>
      <c r="F628">
        <v>60</v>
      </c>
      <c r="G628" s="13">
        <v>43951</v>
      </c>
      <c r="H628">
        <v>627</v>
      </c>
      <c r="I628">
        <v>3</v>
      </c>
      <c r="J628">
        <v>2.5000000000000001E-3</v>
      </c>
      <c r="K628" s="14">
        <v>5955.2240660033622</v>
      </c>
      <c r="L628" s="14">
        <v>333914.14612083195</v>
      </c>
      <c r="M628" s="36">
        <f>IF(Output[[#This Row],[Index]]=1,Output[[#This Row],[Droit Utilisation]],P627)</f>
        <v>323570.80381484935</v>
      </c>
      <c r="N628" s="15">
        <f>Output[[#This Row],[Capital Debut Period]]*Output[[#This Row],[Tx_interet_M]]</f>
        <v>808.92700953712335</v>
      </c>
      <c r="O628" s="15">
        <f>Output[[#This Row],[Mensualité initial]]-Output[[#This Row],[Interet]]</f>
        <v>5191.072990462877</v>
      </c>
      <c r="P628" s="15">
        <f>Output[[#This Row],[Capital Debut Period]]-Output[[#This Row],[Paiement Principal]]</f>
        <v>318379.73082438647</v>
      </c>
      <c r="Q628" s="15">
        <f>Output[[#This Row],[Droit Utilisation]]/Output[[#This Row],[Duree_Mois]]</f>
        <v>5565.2357686805326</v>
      </c>
    </row>
    <row r="629" spans="1:17" x14ac:dyDescent="0.25">
      <c r="A629" s="11" t="s">
        <v>11</v>
      </c>
      <c r="B629" s="12">
        <v>43872</v>
      </c>
      <c r="C629">
        <v>6000</v>
      </c>
      <c r="D629">
        <v>5</v>
      </c>
      <c r="E629">
        <v>0.03</v>
      </c>
      <c r="F629">
        <v>60</v>
      </c>
      <c r="G629" s="13">
        <v>43982</v>
      </c>
      <c r="H629">
        <v>628</v>
      </c>
      <c r="I629">
        <v>4</v>
      </c>
      <c r="J629">
        <v>2.5000000000000001E-3</v>
      </c>
      <c r="K629" s="14">
        <v>5940.3731331704357</v>
      </c>
      <c r="L629" s="14">
        <v>333914.14612083195</v>
      </c>
      <c r="M629" s="36">
        <f>IF(Output[[#This Row],[Index]]=1,Output[[#This Row],[Droit Utilisation]],P628)</f>
        <v>318379.73082438647</v>
      </c>
      <c r="N629" s="15">
        <f>Output[[#This Row],[Capital Debut Period]]*Output[[#This Row],[Tx_interet_M]]</f>
        <v>795.9493270609662</v>
      </c>
      <c r="O629" s="15">
        <f>Output[[#This Row],[Mensualité initial]]-Output[[#This Row],[Interet]]</f>
        <v>5204.0506729390336</v>
      </c>
      <c r="P629" s="15">
        <f>Output[[#This Row],[Capital Debut Period]]-Output[[#This Row],[Paiement Principal]]</f>
        <v>313175.68015144742</v>
      </c>
      <c r="Q629" s="15">
        <f>Output[[#This Row],[Droit Utilisation]]/Output[[#This Row],[Duree_Mois]]</f>
        <v>5565.2357686805326</v>
      </c>
    </row>
    <row r="630" spans="1:17" x14ac:dyDescent="0.25">
      <c r="A630" s="11" t="s">
        <v>11</v>
      </c>
      <c r="B630" s="12">
        <v>43872</v>
      </c>
      <c r="C630">
        <v>6000</v>
      </c>
      <c r="D630">
        <v>5</v>
      </c>
      <c r="E630">
        <v>0.03</v>
      </c>
      <c r="F630">
        <v>60</v>
      </c>
      <c r="G630" s="13">
        <v>44012</v>
      </c>
      <c r="H630">
        <v>629</v>
      </c>
      <c r="I630">
        <v>5</v>
      </c>
      <c r="J630">
        <v>2.5000000000000001E-3</v>
      </c>
      <c r="K630" s="14">
        <v>5925.5592350827301</v>
      </c>
      <c r="L630" s="14">
        <v>333914.14612083195</v>
      </c>
      <c r="M630" s="36">
        <f>IF(Output[[#This Row],[Index]]=1,Output[[#This Row],[Droit Utilisation]],P629)</f>
        <v>313175.68015144742</v>
      </c>
      <c r="N630" s="15">
        <f>Output[[#This Row],[Capital Debut Period]]*Output[[#This Row],[Tx_interet_M]]</f>
        <v>782.93920037861858</v>
      </c>
      <c r="O630" s="15">
        <f>Output[[#This Row],[Mensualité initial]]-Output[[#This Row],[Interet]]</f>
        <v>5217.0607996213812</v>
      </c>
      <c r="P630" s="15">
        <f>Output[[#This Row],[Capital Debut Period]]-Output[[#This Row],[Paiement Principal]]</f>
        <v>307958.61935182603</v>
      </c>
      <c r="Q630" s="15">
        <f>Output[[#This Row],[Droit Utilisation]]/Output[[#This Row],[Duree_Mois]]</f>
        <v>5565.2357686805326</v>
      </c>
    </row>
    <row r="631" spans="1:17" x14ac:dyDescent="0.25">
      <c r="A631" s="11" t="s">
        <v>11</v>
      </c>
      <c r="B631" s="12">
        <v>43872</v>
      </c>
      <c r="C631">
        <v>6000</v>
      </c>
      <c r="D631">
        <v>5</v>
      </c>
      <c r="E631">
        <v>0.03</v>
      </c>
      <c r="F631">
        <v>60</v>
      </c>
      <c r="G631" s="13">
        <v>44043</v>
      </c>
      <c r="H631">
        <v>630</v>
      </c>
      <c r="I631">
        <v>6</v>
      </c>
      <c r="J631">
        <v>2.5000000000000001E-3</v>
      </c>
      <c r="K631" s="14">
        <v>5910.7822793842697</v>
      </c>
      <c r="L631" s="14">
        <v>333914.14612083195</v>
      </c>
      <c r="M631" s="36">
        <f>IF(Output[[#This Row],[Index]]=1,Output[[#This Row],[Droit Utilisation]],P630)</f>
        <v>307958.61935182603</v>
      </c>
      <c r="N631" s="15">
        <f>Output[[#This Row],[Capital Debut Period]]*Output[[#This Row],[Tx_interet_M]]</f>
        <v>769.89654837956505</v>
      </c>
      <c r="O631" s="15">
        <f>Output[[#This Row],[Mensualité initial]]-Output[[#This Row],[Interet]]</f>
        <v>5230.1034516204345</v>
      </c>
      <c r="P631" s="15">
        <f>Output[[#This Row],[Capital Debut Period]]-Output[[#This Row],[Paiement Principal]]</f>
        <v>302728.51590020559</v>
      </c>
      <c r="Q631" s="15">
        <f>Output[[#This Row],[Droit Utilisation]]/Output[[#This Row],[Duree_Mois]]</f>
        <v>5565.2357686805326</v>
      </c>
    </row>
    <row r="632" spans="1:17" x14ac:dyDescent="0.25">
      <c r="A632" s="11" t="s">
        <v>11</v>
      </c>
      <c r="B632" s="12">
        <v>43872</v>
      </c>
      <c r="C632">
        <v>6000</v>
      </c>
      <c r="D632">
        <v>5</v>
      </c>
      <c r="E632">
        <v>0.03</v>
      </c>
      <c r="F632">
        <v>60</v>
      </c>
      <c r="G632" s="13">
        <v>44074</v>
      </c>
      <c r="H632">
        <v>631</v>
      </c>
      <c r="I632">
        <v>7</v>
      </c>
      <c r="J632">
        <v>2.5000000000000001E-3</v>
      </c>
      <c r="K632" s="14">
        <v>5896.0421739493959</v>
      </c>
      <c r="L632" s="14">
        <v>333914.14612083195</v>
      </c>
      <c r="M632" s="36">
        <f>IF(Output[[#This Row],[Index]]=1,Output[[#This Row],[Droit Utilisation]],P631)</f>
        <v>302728.51590020559</v>
      </c>
      <c r="N632" s="15">
        <f>Output[[#This Row],[Capital Debut Period]]*Output[[#This Row],[Tx_interet_M]]</f>
        <v>756.82128975051398</v>
      </c>
      <c r="O632" s="15">
        <f>Output[[#This Row],[Mensualité initial]]-Output[[#This Row],[Interet]]</f>
        <v>5243.1787102494864</v>
      </c>
      <c r="P632" s="15">
        <f>Output[[#This Row],[Capital Debut Period]]-Output[[#This Row],[Paiement Principal]]</f>
        <v>297485.3371899561</v>
      </c>
      <c r="Q632" s="15">
        <f>Output[[#This Row],[Droit Utilisation]]/Output[[#This Row],[Duree_Mois]]</f>
        <v>5565.2357686805326</v>
      </c>
    </row>
    <row r="633" spans="1:17" x14ac:dyDescent="0.25">
      <c r="A633" s="11" t="s">
        <v>11</v>
      </c>
      <c r="B633" s="12">
        <v>43872</v>
      </c>
      <c r="C633">
        <v>6000</v>
      </c>
      <c r="D633">
        <v>5</v>
      </c>
      <c r="E633">
        <v>0.03</v>
      </c>
      <c r="F633">
        <v>60</v>
      </c>
      <c r="G633" s="13">
        <v>44104</v>
      </c>
      <c r="H633">
        <v>632</v>
      </c>
      <c r="I633">
        <v>8</v>
      </c>
      <c r="J633">
        <v>2.5000000000000001E-3</v>
      </c>
      <c r="K633" s="14">
        <v>5881.3388268821909</v>
      </c>
      <c r="L633" s="14">
        <v>333914.14612083195</v>
      </c>
      <c r="M633" s="36">
        <f>IF(Output[[#This Row],[Index]]=1,Output[[#This Row],[Droit Utilisation]],P632)</f>
        <v>297485.3371899561</v>
      </c>
      <c r="N633" s="15">
        <f>Output[[#This Row],[Capital Debut Period]]*Output[[#This Row],[Tx_interet_M]]</f>
        <v>743.71334297489022</v>
      </c>
      <c r="O633" s="15">
        <f>Output[[#This Row],[Mensualité initial]]-Output[[#This Row],[Interet]]</f>
        <v>5256.2866570251099</v>
      </c>
      <c r="P633" s="15">
        <f>Output[[#This Row],[Capital Debut Period]]-Output[[#This Row],[Paiement Principal]]</f>
        <v>292229.050532931</v>
      </c>
      <c r="Q633" s="15">
        <f>Output[[#This Row],[Droit Utilisation]]/Output[[#This Row],[Duree_Mois]]</f>
        <v>5565.2357686805326</v>
      </c>
    </row>
    <row r="634" spans="1:17" x14ac:dyDescent="0.25">
      <c r="A634" s="11" t="s">
        <v>11</v>
      </c>
      <c r="B634" s="12">
        <v>43872</v>
      </c>
      <c r="C634">
        <v>6000</v>
      </c>
      <c r="D634">
        <v>5</v>
      </c>
      <c r="E634">
        <v>0.03</v>
      </c>
      <c r="F634">
        <v>60</v>
      </c>
      <c r="G634" s="13">
        <v>44135</v>
      </c>
      <c r="H634">
        <v>633</v>
      </c>
      <c r="I634">
        <v>9</v>
      </c>
      <c r="J634">
        <v>2.5000000000000001E-3</v>
      </c>
      <c r="K634" s="14">
        <v>5866.6721465159017</v>
      </c>
      <c r="L634" s="14">
        <v>333914.14612083195</v>
      </c>
      <c r="M634" s="36">
        <f>IF(Output[[#This Row],[Index]]=1,Output[[#This Row],[Droit Utilisation]],P633)</f>
        <v>292229.050532931</v>
      </c>
      <c r="N634" s="15">
        <f>Output[[#This Row],[Capital Debut Period]]*Output[[#This Row],[Tx_interet_M]]</f>
        <v>730.57262633232756</v>
      </c>
      <c r="O634" s="15">
        <f>Output[[#This Row],[Mensualité initial]]-Output[[#This Row],[Interet]]</f>
        <v>5269.4273736676723</v>
      </c>
      <c r="P634" s="15">
        <f>Output[[#This Row],[Capital Debut Period]]-Output[[#This Row],[Paiement Principal]]</f>
        <v>286959.62315926334</v>
      </c>
      <c r="Q634" s="15">
        <f>Output[[#This Row],[Droit Utilisation]]/Output[[#This Row],[Duree_Mois]]</f>
        <v>5565.2357686805326</v>
      </c>
    </row>
    <row r="635" spans="1:17" x14ac:dyDescent="0.25">
      <c r="A635" s="11" t="s">
        <v>11</v>
      </c>
      <c r="B635" s="12">
        <v>43872</v>
      </c>
      <c r="C635">
        <v>6000</v>
      </c>
      <c r="D635">
        <v>5</v>
      </c>
      <c r="E635">
        <v>0.03</v>
      </c>
      <c r="F635">
        <v>60</v>
      </c>
      <c r="G635" s="13">
        <v>44165</v>
      </c>
      <c r="H635">
        <v>634</v>
      </c>
      <c r="I635">
        <v>10</v>
      </c>
      <c r="J635">
        <v>2.5000000000000001E-3</v>
      </c>
      <c r="K635" s="14">
        <v>5852.042041412371</v>
      </c>
      <c r="L635" s="14">
        <v>333914.14612083195</v>
      </c>
      <c r="M635" s="36">
        <f>IF(Output[[#This Row],[Index]]=1,Output[[#This Row],[Droit Utilisation]],P634)</f>
        <v>286959.62315926334</v>
      </c>
      <c r="N635" s="15">
        <f>Output[[#This Row],[Capital Debut Period]]*Output[[#This Row],[Tx_interet_M]]</f>
        <v>717.39905789815839</v>
      </c>
      <c r="O635" s="15">
        <f>Output[[#This Row],[Mensualité initial]]-Output[[#This Row],[Interet]]</f>
        <v>5282.6009421018416</v>
      </c>
      <c r="P635" s="15">
        <f>Output[[#This Row],[Capital Debut Period]]-Output[[#This Row],[Paiement Principal]]</f>
        <v>281677.02221716149</v>
      </c>
      <c r="Q635" s="15">
        <f>Output[[#This Row],[Droit Utilisation]]/Output[[#This Row],[Duree_Mois]]</f>
        <v>5565.2357686805326</v>
      </c>
    </row>
    <row r="636" spans="1:17" x14ac:dyDescent="0.25">
      <c r="A636" s="11" t="s">
        <v>11</v>
      </c>
      <c r="B636" s="12">
        <v>43872</v>
      </c>
      <c r="C636">
        <v>6000</v>
      </c>
      <c r="D636">
        <v>5</v>
      </c>
      <c r="E636">
        <v>0.03</v>
      </c>
      <c r="F636">
        <v>60</v>
      </c>
      <c r="G636" s="13">
        <v>44196</v>
      </c>
      <c r="H636">
        <v>635</v>
      </c>
      <c r="I636">
        <v>11</v>
      </c>
      <c r="J636">
        <v>2.5000000000000001E-3</v>
      </c>
      <c r="K636" s="14">
        <v>5837.4484203614675</v>
      </c>
      <c r="L636" s="14">
        <v>333914.14612083195</v>
      </c>
      <c r="M636" s="36">
        <f>IF(Output[[#This Row],[Index]]=1,Output[[#This Row],[Droit Utilisation]],P635)</f>
        <v>281677.02221716149</v>
      </c>
      <c r="N636" s="15">
        <f>Output[[#This Row],[Capital Debut Period]]*Output[[#This Row],[Tx_interet_M]]</f>
        <v>704.19255554290373</v>
      </c>
      <c r="O636" s="15">
        <f>Output[[#This Row],[Mensualité initial]]-Output[[#This Row],[Interet]]</f>
        <v>5295.8074444570966</v>
      </c>
      <c r="P636" s="15">
        <f>Output[[#This Row],[Capital Debut Period]]-Output[[#This Row],[Paiement Principal]]</f>
        <v>276381.21477270441</v>
      </c>
      <c r="Q636" s="15">
        <f>Output[[#This Row],[Droit Utilisation]]/Output[[#This Row],[Duree_Mois]]</f>
        <v>5565.2357686805326</v>
      </c>
    </row>
    <row r="637" spans="1:17" x14ac:dyDescent="0.25">
      <c r="A637" s="11" t="s">
        <v>11</v>
      </c>
      <c r="B637" s="12">
        <v>43872</v>
      </c>
      <c r="C637">
        <v>6000</v>
      </c>
      <c r="D637">
        <v>5</v>
      </c>
      <c r="E637">
        <v>0.03</v>
      </c>
      <c r="F637">
        <v>60</v>
      </c>
      <c r="G637" s="13">
        <v>44227</v>
      </c>
      <c r="H637">
        <v>636</v>
      </c>
      <c r="I637">
        <v>12</v>
      </c>
      <c r="J637">
        <v>2.5000000000000001E-3</v>
      </c>
      <c r="K637" s="14">
        <v>5822.8911923805163</v>
      </c>
      <c r="L637" s="14">
        <v>333914.14612083195</v>
      </c>
      <c r="M637" s="36">
        <f>IF(Output[[#This Row],[Index]]=1,Output[[#This Row],[Droit Utilisation]],P636)</f>
        <v>276381.21477270441</v>
      </c>
      <c r="N637" s="15">
        <f>Output[[#This Row],[Capital Debut Period]]*Output[[#This Row],[Tx_interet_M]]</f>
        <v>690.95303693176106</v>
      </c>
      <c r="O637" s="15">
        <f>Output[[#This Row],[Mensualité initial]]-Output[[#This Row],[Interet]]</f>
        <v>5309.0469630682392</v>
      </c>
      <c r="P637" s="15">
        <f>Output[[#This Row],[Capital Debut Period]]-Output[[#This Row],[Paiement Principal]]</f>
        <v>271072.16780963616</v>
      </c>
      <c r="Q637" s="15">
        <f>Output[[#This Row],[Droit Utilisation]]/Output[[#This Row],[Duree_Mois]]</f>
        <v>5565.2357686805326</v>
      </c>
    </row>
    <row r="638" spans="1:17" x14ac:dyDescent="0.25">
      <c r="A638" s="11" t="s">
        <v>11</v>
      </c>
      <c r="B638" s="12">
        <v>43872</v>
      </c>
      <c r="C638">
        <v>6000</v>
      </c>
      <c r="D638">
        <v>5</v>
      </c>
      <c r="E638">
        <v>0.03</v>
      </c>
      <c r="F638">
        <v>60</v>
      </c>
      <c r="G638" s="13">
        <v>44255</v>
      </c>
      <c r="H638">
        <v>637</v>
      </c>
      <c r="I638">
        <v>13</v>
      </c>
      <c r="J638">
        <v>2.5000000000000001E-3</v>
      </c>
      <c r="K638" s="14">
        <v>5808.3702667137322</v>
      </c>
      <c r="L638" s="14">
        <v>333914.14612083195</v>
      </c>
      <c r="M638" s="36">
        <f>IF(Output[[#This Row],[Index]]=1,Output[[#This Row],[Droit Utilisation]],P637)</f>
        <v>271072.16780963616</v>
      </c>
      <c r="N638" s="15">
        <f>Output[[#This Row],[Capital Debut Period]]*Output[[#This Row],[Tx_interet_M]]</f>
        <v>677.68041952409044</v>
      </c>
      <c r="O638" s="15">
        <f>Output[[#This Row],[Mensualité initial]]-Output[[#This Row],[Interet]]</f>
        <v>5322.3195804759098</v>
      </c>
      <c r="P638" s="15">
        <f>Output[[#This Row],[Capital Debut Period]]-Output[[#This Row],[Paiement Principal]]</f>
        <v>265749.84822916024</v>
      </c>
      <c r="Q638" s="15">
        <f>Output[[#This Row],[Droit Utilisation]]/Output[[#This Row],[Duree_Mois]]</f>
        <v>5565.2357686805326</v>
      </c>
    </row>
    <row r="639" spans="1:17" x14ac:dyDescent="0.25">
      <c r="A639" s="11" t="s">
        <v>11</v>
      </c>
      <c r="B639" s="12">
        <v>43872</v>
      </c>
      <c r="C639">
        <v>6000</v>
      </c>
      <c r="D639">
        <v>5</v>
      </c>
      <c r="E639">
        <v>0.03</v>
      </c>
      <c r="F639">
        <v>60</v>
      </c>
      <c r="G639" s="13">
        <v>44286</v>
      </c>
      <c r="H639">
        <v>638</v>
      </c>
      <c r="I639">
        <v>14</v>
      </c>
      <c r="J639">
        <v>2.5000000000000001E-3</v>
      </c>
      <c r="K639" s="14">
        <v>5793.8855528316535</v>
      </c>
      <c r="L639" s="14">
        <v>333914.14612083195</v>
      </c>
      <c r="M639" s="36">
        <f>IF(Output[[#This Row],[Index]]=1,Output[[#This Row],[Droit Utilisation]],P638)</f>
        <v>265749.84822916024</v>
      </c>
      <c r="N639" s="15">
        <f>Output[[#This Row],[Capital Debut Period]]*Output[[#This Row],[Tx_interet_M]]</f>
        <v>664.37462057290065</v>
      </c>
      <c r="O639" s="15">
        <f>Output[[#This Row],[Mensualité initial]]-Output[[#This Row],[Interet]]</f>
        <v>5335.6253794270997</v>
      </c>
      <c r="P639" s="15">
        <f>Output[[#This Row],[Capital Debut Period]]-Output[[#This Row],[Paiement Principal]]</f>
        <v>260414.22284973314</v>
      </c>
      <c r="Q639" s="15">
        <f>Output[[#This Row],[Droit Utilisation]]/Output[[#This Row],[Duree_Mois]]</f>
        <v>5565.2357686805326</v>
      </c>
    </row>
    <row r="640" spans="1:17" x14ac:dyDescent="0.25">
      <c r="A640" s="11" t="s">
        <v>11</v>
      </c>
      <c r="B640" s="12">
        <v>43872</v>
      </c>
      <c r="C640">
        <v>6000</v>
      </c>
      <c r="D640">
        <v>5</v>
      </c>
      <c r="E640">
        <v>0.03</v>
      </c>
      <c r="F640">
        <v>60</v>
      </c>
      <c r="G640" s="13">
        <v>44316</v>
      </c>
      <c r="H640">
        <v>639</v>
      </c>
      <c r="I640">
        <v>15</v>
      </c>
      <c r="J640">
        <v>2.5000000000000001E-3</v>
      </c>
      <c r="K640" s="14">
        <v>5779.4369604305775</v>
      </c>
      <c r="L640" s="14">
        <v>333914.14612083195</v>
      </c>
      <c r="M640" s="36">
        <f>IF(Output[[#This Row],[Index]]=1,Output[[#This Row],[Droit Utilisation]],P639)</f>
        <v>260414.22284973314</v>
      </c>
      <c r="N640" s="15">
        <f>Output[[#This Row],[Capital Debut Period]]*Output[[#This Row],[Tx_interet_M]]</f>
        <v>651.03555712433285</v>
      </c>
      <c r="O640" s="15">
        <f>Output[[#This Row],[Mensualité initial]]-Output[[#This Row],[Interet]]</f>
        <v>5348.9644428756674</v>
      </c>
      <c r="P640" s="15">
        <f>Output[[#This Row],[Capital Debut Period]]-Output[[#This Row],[Paiement Principal]]</f>
        <v>255065.25840685747</v>
      </c>
      <c r="Q640" s="15">
        <f>Output[[#This Row],[Droit Utilisation]]/Output[[#This Row],[Duree_Mois]]</f>
        <v>5565.2357686805326</v>
      </c>
    </row>
    <row r="641" spans="1:17" x14ac:dyDescent="0.25">
      <c r="A641" s="11" t="s">
        <v>11</v>
      </c>
      <c r="B641" s="12">
        <v>43872</v>
      </c>
      <c r="C641">
        <v>6000</v>
      </c>
      <c r="D641">
        <v>5</v>
      </c>
      <c r="E641">
        <v>0.03</v>
      </c>
      <c r="F641">
        <v>60</v>
      </c>
      <c r="G641" s="13">
        <v>44347</v>
      </c>
      <c r="H641">
        <v>640</v>
      </c>
      <c r="I641">
        <v>16</v>
      </c>
      <c r="J641">
        <v>2.5000000000000001E-3</v>
      </c>
      <c r="K641" s="14">
        <v>5765.0243994319981</v>
      </c>
      <c r="L641" s="14">
        <v>333914.14612083195</v>
      </c>
      <c r="M641" s="36">
        <f>IF(Output[[#This Row],[Index]]=1,Output[[#This Row],[Droit Utilisation]],P640)</f>
        <v>255065.25840685747</v>
      </c>
      <c r="N641" s="15">
        <f>Output[[#This Row],[Capital Debut Period]]*Output[[#This Row],[Tx_interet_M]]</f>
        <v>637.66314601714373</v>
      </c>
      <c r="O641" s="15">
        <f>Output[[#This Row],[Mensualité initial]]-Output[[#This Row],[Interet]]</f>
        <v>5362.3368539828562</v>
      </c>
      <c r="P641" s="15">
        <f>Output[[#This Row],[Capital Debut Period]]-Output[[#This Row],[Paiement Principal]]</f>
        <v>249702.92155287461</v>
      </c>
      <c r="Q641" s="15">
        <f>Output[[#This Row],[Droit Utilisation]]/Output[[#This Row],[Duree_Mois]]</f>
        <v>5565.2357686805326</v>
      </c>
    </row>
    <row r="642" spans="1:17" x14ac:dyDescent="0.25">
      <c r="A642" s="11" t="s">
        <v>11</v>
      </c>
      <c r="B642" s="12">
        <v>43872</v>
      </c>
      <c r="C642">
        <v>6000</v>
      </c>
      <c r="D642">
        <v>5</v>
      </c>
      <c r="E642">
        <v>0.03</v>
      </c>
      <c r="F642">
        <v>60</v>
      </c>
      <c r="G642" s="13">
        <v>44377</v>
      </c>
      <c r="H642">
        <v>641</v>
      </c>
      <c r="I642">
        <v>17</v>
      </c>
      <c r="J642">
        <v>2.5000000000000001E-3</v>
      </c>
      <c r="K642" s="14">
        <v>5750.6477799820432</v>
      </c>
      <c r="L642" s="14">
        <v>333914.14612083195</v>
      </c>
      <c r="M642" s="36">
        <f>IF(Output[[#This Row],[Index]]=1,Output[[#This Row],[Droit Utilisation]],P641)</f>
        <v>249702.92155287461</v>
      </c>
      <c r="N642" s="15">
        <f>Output[[#This Row],[Capital Debut Period]]*Output[[#This Row],[Tx_interet_M]]</f>
        <v>624.25730388218653</v>
      </c>
      <c r="O642" s="15">
        <f>Output[[#This Row],[Mensualité initial]]-Output[[#This Row],[Interet]]</f>
        <v>5375.7426961178135</v>
      </c>
      <c r="P642" s="15">
        <f>Output[[#This Row],[Capital Debut Period]]-Output[[#This Row],[Paiement Principal]]</f>
        <v>244327.1788567568</v>
      </c>
      <c r="Q642" s="15">
        <f>Output[[#This Row],[Droit Utilisation]]/Output[[#This Row],[Duree_Mois]]</f>
        <v>5565.2357686805326</v>
      </c>
    </row>
    <row r="643" spans="1:17" x14ac:dyDescent="0.25">
      <c r="A643" s="11" t="s">
        <v>11</v>
      </c>
      <c r="B643" s="12">
        <v>43872</v>
      </c>
      <c r="C643">
        <v>6000</v>
      </c>
      <c r="D643">
        <v>5</v>
      </c>
      <c r="E643">
        <v>0.03</v>
      </c>
      <c r="F643">
        <v>60</v>
      </c>
      <c r="G643" s="13">
        <v>44408</v>
      </c>
      <c r="H643">
        <v>642</v>
      </c>
      <c r="I643">
        <v>18</v>
      </c>
      <c r="J643">
        <v>2.5000000000000001E-3</v>
      </c>
      <c r="K643" s="14">
        <v>5736.3070124509168</v>
      </c>
      <c r="L643" s="14">
        <v>333914.14612083195</v>
      </c>
      <c r="M643" s="36">
        <f>IF(Output[[#This Row],[Index]]=1,Output[[#This Row],[Droit Utilisation]],P642)</f>
        <v>244327.1788567568</v>
      </c>
      <c r="N643" s="15">
        <f>Output[[#This Row],[Capital Debut Period]]*Output[[#This Row],[Tx_interet_M]]</f>
        <v>610.81794714189198</v>
      </c>
      <c r="O643" s="15">
        <f>Output[[#This Row],[Mensualité initial]]-Output[[#This Row],[Interet]]</f>
        <v>5389.1820528581084</v>
      </c>
      <c r="P643" s="15">
        <f>Output[[#This Row],[Capital Debut Period]]-Output[[#This Row],[Paiement Principal]]</f>
        <v>238937.99680389868</v>
      </c>
      <c r="Q643" s="15">
        <f>Output[[#This Row],[Droit Utilisation]]/Output[[#This Row],[Duree_Mois]]</f>
        <v>5565.2357686805326</v>
      </c>
    </row>
    <row r="644" spans="1:17" x14ac:dyDescent="0.25">
      <c r="A644" s="11" t="s">
        <v>11</v>
      </c>
      <c r="B644" s="12">
        <v>43872</v>
      </c>
      <c r="C644">
        <v>6000</v>
      </c>
      <c r="D644">
        <v>5</v>
      </c>
      <c r="E644">
        <v>0.03</v>
      </c>
      <c r="F644">
        <v>60</v>
      </c>
      <c r="G644" s="13">
        <v>44439</v>
      </c>
      <c r="H644">
        <v>643</v>
      </c>
      <c r="I644">
        <v>19</v>
      </c>
      <c r="J644">
        <v>2.5000000000000001E-3</v>
      </c>
      <c r="K644" s="14">
        <v>5722.0020074323356</v>
      </c>
      <c r="L644" s="14">
        <v>333914.14612083195</v>
      </c>
      <c r="M644" s="36">
        <f>IF(Output[[#This Row],[Index]]=1,Output[[#This Row],[Droit Utilisation]],P643)</f>
        <v>238937.99680389868</v>
      </c>
      <c r="N644" s="15">
        <f>Output[[#This Row],[Capital Debut Period]]*Output[[#This Row],[Tx_interet_M]]</f>
        <v>597.34499200974676</v>
      </c>
      <c r="O644" s="15">
        <f>Output[[#This Row],[Mensualité initial]]-Output[[#This Row],[Interet]]</f>
        <v>5402.6550079902536</v>
      </c>
      <c r="P644" s="15">
        <f>Output[[#This Row],[Capital Debut Period]]-Output[[#This Row],[Paiement Principal]]</f>
        <v>233535.34179590843</v>
      </c>
      <c r="Q644" s="15">
        <f>Output[[#This Row],[Droit Utilisation]]/Output[[#This Row],[Duree_Mois]]</f>
        <v>5565.2357686805326</v>
      </c>
    </row>
    <row r="645" spans="1:17" x14ac:dyDescent="0.25">
      <c r="A645" s="11" t="s">
        <v>11</v>
      </c>
      <c r="B645" s="12">
        <v>43872</v>
      </c>
      <c r="C645">
        <v>6000</v>
      </c>
      <c r="D645">
        <v>5</v>
      </c>
      <c r="E645">
        <v>0.03</v>
      </c>
      <c r="F645">
        <v>60</v>
      </c>
      <c r="G645" s="13">
        <v>44469</v>
      </c>
      <c r="H645">
        <v>644</v>
      </c>
      <c r="I645">
        <v>20</v>
      </c>
      <c r="J645">
        <v>2.5000000000000001E-3</v>
      </c>
      <c r="K645" s="14">
        <v>5707.7326757429792</v>
      </c>
      <c r="L645" s="14">
        <v>333914.14612083195</v>
      </c>
      <c r="M645" s="36">
        <f>IF(Output[[#This Row],[Index]]=1,Output[[#This Row],[Droit Utilisation]],P644)</f>
        <v>233535.34179590843</v>
      </c>
      <c r="N645" s="15">
        <f>Output[[#This Row],[Capital Debut Period]]*Output[[#This Row],[Tx_interet_M]]</f>
        <v>583.83835448977106</v>
      </c>
      <c r="O645" s="15">
        <f>Output[[#This Row],[Mensualité initial]]-Output[[#This Row],[Interet]]</f>
        <v>5416.1616455102285</v>
      </c>
      <c r="P645" s="15">
        <f>Output[[#This Row],[Capital Debut Period]]-Output[[#This Row],[Paiement Principal]]</f>
        <v>228119.1801503982</v>
      </c>
      <c r="Q645" s="15">
        <f>Output[[#This Row],[Droit Utilisation]]/Output[[#This Row],[Duree_Mois]]</f>
        <v>5565.2357686805326</v>
      </c>
    </row>
    <row r="646" spans="1:17" x14ac:dyDescent="0.25">
      <c r="A646" s="11" t="s">
        <v>11</v>
      </c>
      <c r="B646" s="12">
        <v>43872</v>
      </c>
      <c r="C646">
        <v>6000</v>
      </c>
      <c r="D646">
        <v>5</v>
      </c>
      <c r="E646">
        <v>0.03</v>
      </c>
      <c r="F646">
        <v>60</v>
      </c>
      <c r="G646" s="13">
        <v>44500</v>
      </c>
      <c r="H646">
        <v>645</v>
      </c>
      <c r="I646">
        <v>21</v>
      </c>
      <c r="J646">
        <v>2.5000000000000001E-3</v>
      </c>
      <c r="K646" s="14">
        <v>5693.4989284219246</v>
      </c>
      <c r="L646" s="14">
        <v>333914.14612083195</v>
      </c>
      <c r="M646" s="36">
        <f>IF(Output[[#This Row],[Index]]=1,Output[[#This Row],[Droit Utilisation]],P645)</f>
        <v>228119.1801503982</v>
      </c>
      <c r="N646" s="15">
        <f>Output[[#This Row],[Capital Debut Period]]*Output[[#This Row],[Tx_interet_M]]</f>
        <v>570.29795037599547</v>
      </c>
      <c r="O646" s="15">
        <f>Output[[#This Row],[Mensualité initial]]-Output[[#This Row],[Interet]]</f>
        <v>5429.7020496240048</v>
      </c>
      <c r="P646" s="15">
        <f>Output[[#This Row],[Capital Debut Period]]-Output[[#This Row],[Paiement Principal]]</f>
        <v>222689.4781007742</v>
      </c>
      <c r="Q646" s="15">
        <f>Output[[#This Row],[Droit Utilisation]]/Output[[#This Row],[Duree_Mois]]</f>
        <v>5565.2357686805326</v>
      </c>
    </row>
    <row r="647" spans="1:17" x14ac:dyDescent="0.25">
      <c r="A647" s="11" t="s">
        <v>11</v>
      </c>
      <c r="B647" s="12">
        <v>43872</v>
      </c>
      <c r="C647">
        <v>6000</v>
      </c>
      <c r="D647">
        <v>5</v>
      </c>
      <c r="E647">
        <v>0.03</v>
      </c>
      <c r="F647">
        <v>60</v>
      </c>
      <c r="G647" s="13">
        <v>44530</v>
      </c>
      <c r="H647">
        <v>646</v>
      </c>
      <c r="I647">
        <v>22</v>
      </c>
      <c r="J647">
        <v>2.5000000000000001E-3</v>
      </c>
      <c r="K647" s="14">
        <v>5679.3006767300994</v>
      </c>
      <c r="L647" s="14">
        <v>333914.14612083195</v>
      </c>
      <c r="M647" s="36">
        <f>IF(Output[[#This Row],[Index]]=1,Output[[#This Row],[Droit Utilisation]],P646)</f>
        <v>222689.4781007742</v>
      </c>
      <c r="N647" s="15">
        <f>Output[[#This Row],[Capital Debut Period]]*Output[[#This Row],[Tx_interet_M]]</f>
        <v>556.72369525193551</v>
      </c>
      <c r="O647" s="15">
        <f>Output[[#This Row],[Mensualité initial]]-Output[[#This Row],[Interet]]</f>
        <v>5443.2763047480648</v>
      </c>
      <c r="P647" s="15">
        <f>Output[[#This Row],[Capital Debut Period]]-Output[[#This Row],[Paiement Principal]]</f>
        <v>217246.20179602614</v>
      </c>
      <c r="Q647" s="15">
        <f>Output[[#This Row],[Droit Utilisation]]/Output[[#This Row],[Duree_Mois]]</f>
        <v>5565.2357686805326</v>
      </c>
    </row>
    <row r="648" spans="1:17" x14ac:dyDescent="0.25">
      <c r="A648" s="11" t="s">
        <v>11</v>
      </c>
      <c r="B648" s="12">
        <v>43872</v>
      </c>
      <c r="C648">
        <v>6000</v>
      </c>
      <c r="D648">
        <v>5</v>
      </c>
      <c r="E648">
        <v>0.03</v>
      </c>
      <c r="F648">
        <v>60</v>
      </c>
      <c r="G648" s="13">
        <v>44561</v>
      </c>
      <c r="H648">
        <v>647</v>
      </c>
      <c r="I648">
        <v>23</v>
      </c>
      <c r="J648">
        <v>2.5000000000000001E-3</v>
      </c>
      <c r="K648" s="14">
        <v>5665.137832149725</v>
      </c>
      <c r="L648" s="14">
        <v>333914.14612083195</v>
      </c>
      <c r="M648" s="36">
        <f>IF(Output[[#This Row],[Index]]=1,Output[[#This Row],[Droit Utilisation]],P647)</f>
        <v>217246.20179602614</v>
      </c>
      <c r="N648" s="15">
        <f>Output[[#This Row],[Capital Debut Period]]*Output[[#This Row],[Tx_interet_M]]</f>
        <v>543.1155044900654</v>
      </c>
      <c r="O648" s="15">
        <f>Output[[#This Row],[Mensualité initial]]-Output[[#This Row],[Interet]]</f>
        <v>5456.8844955099348</v>
      </c>
      <c r="P648" s="15">
        <f>Output[[#This Row],[Capital Debut Period]]-Output[[#This Row],[Paiement Principal]]</f>
        <v>211789.31730051621</v>
      </c>
      <c r="Q648" s="15">
        <f>Output[[#This Row],[Droit Utilisation]]/Output[[#This Row],[Duree_Mois]]</f>
        <v>5565.2357686805326</v>
      </c>
    </row>
    <row r="649" spans="1:17" x14ac:dyDescent="0.25">
      <c r="A649" s="11" t="s">
        <v>11</v>
      </c>
      <c r="B649" s="12">
        <v>43872</v>
      </c>
      <c r="C649">
        <v>6000</v>
      </c>
      <c r="D649">
        <v>5</v>
      </c>
      <c r="E649">
        <v>0.03</v>
      </c>
      <c r="F649">
        <v>60</v>
      </c>
      <c r="G649" s="13">
        <v>44592</v>
      </c>
      <c r="H649">
        <v>648</v>
      </c>
      <c r="I649">
        <v>24</v>
      </c>
      <c r="J649">
        <v>2.5000000000000001E-3</v>
      </c>
      <c r="K649" s="14">
        <v>5651.010306383766</v>
      </c>
      <c r="L649" s="14">
        <v>333914.14612083195</v>
      </c>
      <c r="M649" s="36">
        <f>IF(Output[[#This Row],[Index]]=1,Output[[#This Row],[Droit Utilisation]],P648)</f>
        <v>211789.31730051621</v>
      </c>
      <c r="N649" s="15">
        <f>Output[[#This Row],[Capital Debut Period]]*Output[[#This Row],[Tx_interet_M]]</f>
        <v>529.47329325129056</v>
      </c>
      <c r="O649" s="15">
        <f>Output[[#This Row],[Mensualité initial]]-Output[[#This Row],[Interet]]</f>
        <v>5470.5267067487093</v>
      </c>
      <c r="P649" s="15">
        <f>Output[[#This Row],[Capital Debut Period]]-Output[[#This Row],[Paiement Principal]]</f>
        <v>206318.79059376751</v>
      </c>
      <c r="Q649" s="15">
        <f>Output[[#This Row],[Droit Utilisation]]/Output[[#This Row],[Duree_Mois]]</f>
        <v>5565.2357686805326</v>
      </c>
    </row>
    <row r="650" spans="1:17" x14ac:dyDescent="0.25">
      <c r="A650" s="11" t="s">
        <v>11</v>
      </c>
      <c r="B650" s="12">
        <v>43872</v>
      </c>
      <c r="C650">
        <v>6000</v>
      </c>
      <c r="D650">
        <v>5</v>
      </c>
      <c r="E650">
        <v>0.03</v>
      </c>
      <c r="F650">
        <v>60</v>
      </c>
      <c r="G650" s="13">
        <v>44620</v>
      </c>
      <c r="H650">
        <v>649</v>
      </c>
      <c r="I650">
        <v>25</v>
      </c>
      <c r="J650">
        <v>2.5000000000000001E-3</v>
      </c>
      <c r="K650" s="14">
        <v>5636.9180113553775</v>
      </c>
      <c r="L650" s="14">
        <v>333914.14612083195</v>
      </c>
      <c r="M650" s="36">
        <f>IF(Output[[#This Row],[Index]]=1,Output[[#This Row],[Droit Utilisation]],P649)</f>
        <v>206318.79059376751</v>
      </c>
      <c r="N650" s="15">
        <f>Output[[#This Row],[Capital Debut Period]]*Output[[#This Row],[Tx_interet_M]]</f>
        <v>515.79697648441879</v>
      </c>
      <c r="O650" s="15">
        <f>Output[[#This Row],[Mensualité initial]]-Output[[#This Row],[Interet]]</f>
        <v>5484.2030235155817</v>
      </c>
      <c r="P650" s="15">
        <f>Output[[#This Row],[Capital Debut Period]]-Output[[#This Row],[Paiement Principal]]</f>
        <v>200834.58757025193</v>
      </c>
      <c r="Q650" s="15">
        <f>Output[[#This Row],[Droit Utilisation]]/Output[[#This Row],[Duree_Mois]]</f>
        <v>5565.2357686805326</v>
      </c>
    </row>
    <row r="651" spans="1:17" x14ac:dyDescent="0.25">
      <c r="A651" s="11" t="s">
        <v>11</v>
      </c>
      <c r="B651" s="12">
        <v>43872</v>
      </c>
      <c r="C651">
        <v>6000</v>
      </c>
      <c r="D651">
        <v>5</v>
      </c>
      <c r="E651">
        <v>0.03</v>
      </c>
      <c r="F651">
        <v>60</v>
      </c>
      <c r="G651" s="13">
        <v>44651</v>
      </c>
      <c r="H651">
        <v>650</v>
      </c>
      <c r="I651">
        <v>26</v>
      </c>
      <c r="J651">
        <v>2.5000000000000001E-3</v>
      </c>
      <c r="K651" s="14">
        <v>5622.8608592073597</v>
      </c>
      <c r="L651" s="14">
        <v>333914.14612083195</v>
      </c>
      <c r="M651" s="36">
        <f>IF(Output[[#This Row],[Index]]=1,Output[[#This Row],[Droit Utilisation]],P650)</f>
        <v>200834.58757025193</v>
      </c>
      <c r="N651" s="15">
        <f>Output[[#This Row],[Capital Debut Period]]*Output[[#This Row],[Tx_interet_M]]</f>
        <v>502.08646892562984</v>
      </c>
      <c r="O651" s="15">
        <f>Output[[#This Row],[Mensualité initial]]-Output[[#This Row],[Interet]]</f>
        <v>5497.9135310743704</v>
      </c>
      <c r="P651" s="15">
        <f>Output[[#This Row],[Capital Debut Period]]-Output[[#This Row],[Paiement Principal]]</f>
        <v>195336.67403917757</v>
      </c>
      <c r="Q651" s="15">
        <f>Output[[#This Row],[Droit Utilisation]]/Output[[#This Row],[Duree_Mois]]</f>
        <v>5565.2357686805326</v>
      </c>
    </row>
    <row r="652" spans="1:17" x14ac:dyDescent="0.25">
      <c r="A652" s="11" t="s">
        <v>11</v>
      </c>
      <c r="B652" s="12">
        <v>43872</v>
      </c>
      <c r="C652">
        <v>6000</v>
      </c>
      <c r="D652">
        <v>5</v>
      </c>
      <c r="E652">
        <v>0.03</v>
      </c>
      <c r="F652">
        <v>60</v>
      </c>
      <c r="G652" s="13">
        <v>44681</v>
      </c>
      <c r="H652">
        <v>651</v>
      </c>
      <c r="I652">
        <v>27</v>
      </c>
      <c r="J652">
        <v>2.5000000000000001E-3</v>
      </c>
      <c r="K652" s="14">
        <v>5608.838762301606</v>
      </c>
      <c r="L652" s="14">
        <v>333914.14612083195</v>
      </c>
      <c r="M652" s="36">
        <f>IF(Output[[#This Row],[Index]]=1,Output[[#This Row],[Droit Utilisation]],P651)</f>
        <v>195336.67403917757</v>
      </c>
      <c r="N652" s="15">
        <f>Output[[#This Row],[Capital Debut Period]]*Output[[#This Row],[Tx_interet_M]]</f>
        <v>488.34168509794392</v>
      </c>
      <c r="O652" s="15">
        <f>Output[[#This Row],[Mensualité initial]]-Output[[#This Row],[Interet]]</f>
        <v>5511.6583149020562</v>
      </c>
      <c r="P652" s="15">
        <f>Output[[#This Row],[Capital Debut Period]]-Output[[#This Row],[Paiement Principal]]</f>
        <v>189825.01572427552</v>
      </c>
      <c r="Q652" s="15">
        <f>Output[[#This Row],[Droit Utilisation]]/Output[[#This Row],[Duree_Mois]]</f>
        <v>5565.2357686805326</v>
      </c>
    </row>
    <row r="653" spans="1:17" x14ac:dyDescent="0.25">
      <c r="A653" s="11" t="s">
        <v>11</v>
      </c>
      <c r="B653" s="12">
        <v>43872</v>
      </c>
      <c r="C653">
        <v>6000</v>
      </c>
      <c r="D653">
        <v>5</v>
      </c>
      <c r="E653">
        <v>0.03</v>
      </c>
      <c r="F653">
        <v>60</v>
      </c>
      <c r="G653" s="13">
        <v>44712</v>
      </c>
      <c r="H653">
        <v>652</v>
      </c>
      <c r="I653">
        <v>28</v>
      </c>
      <c r="J653">
        <v>2.5000000000000001E-3</v>
      </c>
      <c r="K653" s="14">
        <v>5594.85163321856</v>
      </c>
      <c r="L653" s="14">
        <v>333914.14612083195</v>
      </c>
      <c r="M653" s="36">
        <f>IF(Output[[#This Row],[Index]]=1,Output[[#This Row],[Droit Utilisation]],P652)</f>
        <v>189825.01572427552</v>
      </c>
      <c r="N653" s="15">
        <f>Output[[#This Row],[Capital Debut Period]]*Output[[#This Row],[Tx_interet_M]]</f>
        <v>474.56253931068881</v>
      </c>
      <c r="O653" s="15">
        <f>Output[[#This Row],[Mensualité initial]]-Output[[#This Row],[Interet]]</f>
        <v>5525.4374606893116</v>
      </c>
      <c r="P653" s="15">
        <f>Output[[#This Row],[Capital Debut Period]]-Output[[#This Row],[Paiement Principal]]</f>
        <v>184299.57826358621</v>
      </c>
      <c r="Q653" s="15">
        <f>Output[[#This Row],[Droit Utilisation]]/Output[[#This Row],[Duree_Mois]]</f>
        <v>5565.2357686805326</v>
      </c>
    </row>
    <row r="654" spans="1:17" x14ac:dyDescent="0.25">
      <c r="A654" s="11" t="s">
        <v>11</v>
      </c>
      <c r="B654" s="12">
        <v>43872</v>
      </c>
      <c r="C654">
        <v>6000</v>
      </c>
      <c r="D654">
        <v>5</v>
      </c>
      <c r="E654">
        <v>0.03</v>
      </c>
      <c r="F654">
        <v>60</v>
      </c>
      <c r="G654" s="13">
        <v>44742</v>
      </c>
      <c r="H654">
        <v>653</v>
      </c>
      <c r="I654">
        <v>29</v>
      </c>
      <c r="J654">
        <v>2.5000000000000001E-3</v>
      </c>
      <c r="K654" s="14">
        <v>5580.899384756669</v>
      </c>
      <c r="L654" s="14">
        <v>333914.14612083195</v>
      </c>
      <c r="M654" s="36">
        <f>IF(Output[[#This Row],[Index]]=1,Output[[#This Row],[Droit Utilisation]],P653)</f>
        <v>184299.57826358621</v>
      </c>
      <c r="N654" s="15">
        <f>Output[[#This Row],[Capital Debut Period]]*Output[[#This Row],[Tx_interet_M]]</f>
        <v>460.74894565896557</v>
      </c>
      <c r="O654" s="15">
        <f>Output[[#This Row],[Mensualité initial]]-Output[[#This Row],[Interet]]</f>
        <v>5539.2510543410344</v>
      </c>
      <c r="P654" s="15">
        <f>Output[[#This Row],[Capital Debut Period]]-Output[[#This Row],[Paiement Principal]]</f>
        <v>178760.32720924518</v>
      </c>
      <c r="Q654" s="15">
        <f>Output[[#This Row],[Droit Utilisation]]/Output[[#This Row],[Duree_Mois]]</f>
        <v>5565.2357686805326</v>
      </c>
    </row>
    <row r="655" spans="1:17" x14ac:dyDescent="0.25">
      <c r="A655" s="11" t="s">
        <v>11</v>
      </c>
      <c r="B655" s="12">
        <v>43872</v>
      </c>
      <c r="C655">
        <v>6000</v>
      </c>
      <c r="D655">
        <v>5</v>
      </c>
      <c r="E655">
        <v>0.03</v>
      </c>
      <c r="F655">
        <v>60</v>
      </c>
      <c r="G655" s="13">
        <v>44773</v>
      </c>
      <c r="H655">
        <v>654</v>
      </c>
      <c r="I655">
        <v>30</v>
      </c>
      <c r="J655">
        <v>2.5000000000000001E-3</v>
      </c>
      <c r="K655" s="14">
        <v>5566.9819299318397</v>
      </c>
      <c r="L655" s="14">
        <v>333914.14612083195</v>
      </c>
      <c r="M655" s="36">
        <f>IF(Output[[#This Row],[Index]]=1,Output[[#This Row],[Droit Utilisation]],P654)</f>
        <v>178760.32720924518</v>
      </c>
      <c r="N655" s="15">
        <f>Output[[#This Row],[Capital Debut Period]]*Output[[#This Row],[Tx_interet_M]]</f>
        <v>446.90081802311295</v>
      </c>
      <c r="O655" s="15">
        <f>Output[[#This Row],[Mensualité initial]]-Output[[#This Row],[Interet]]</f>
        <v>5553.0991819768869</v>
      </c>
      <c r="P655" s="15">
        <f>Output[[#This Row],[Capital Debut Period]]-Output[[#This Row],[Paiement Principal]]</f>
        <v>173207.22802726828</v>
      </c>
      <c r="Q655" s="15">
        <f>Output[[#This Row],[Droit Utilisation]]/Output[[#This Row],[Duree_Mois]]</f>
        <v>5565.2357686805326</v>
      </c>
    </row>
    <row r="656" spans="1:17" x14ac:dyDescent="0.25">
      <c r="A656" s="11" t="s">
        <v>11</v>
      </c>
      <c r="B656" s="12">
        <v>43872</v>
      </c>
      <c r="C656">
        <v>6000</v>
      </c>
      <c r="D656">
        <v>5</v>
      </c>
      <c r="E656">
        <v>0.03</v>
      </c>
      <c r="F656">
        <v>60</v>
      </c>
      <c r="G656" s="13">
        <v>44804</v>
      </c>
      <c r="H656">
        <v>655</v>
      </c>
      <c r="I656">
        <v>31</v>
      </c>
      <c r="J656">
        <v>2.5000000000000001E-3</v>
      </c>
      <c r="K656" s="14">
        <v>5553.0991819768969</v>
      </c>
      <c r="L656" s="14">
        <v>333914.14612083195</v>
      </c>
      <c r="M656" s="36">
        <f>IF(Output[[#This Row],[Index]]=1,Output[[#This Row],[Droit Utilisation]],P655)</f>
        <v>173207.22802726828</v>
      </c>
      <c r="N656" s="15">
        <f>Output[[#This Row],[Capital Debut Period]]*Output[[#This Row],[Tx_interet_M]]</f>
        <v>433.01807006817074</v>
      </c>
      <c r="O656" s="15">
        <f>Output[[#This Row],[Mensualité initial]]-Output[[#This Row],[Interet]]</f>
        <v>5566.9819299318297</v>
      </c>
      <c r="P656" s="15">
        <f>Output[[#This Row],[Capital Debut Period]]-Output[[#This Row],[Paiement Principal]]</f>
        <v>167640.24609733647</v>
      </c>
      <c r="Q656" s="15">
        <f>Output[[#This Row],[Droit Utilisation]]/Output[[#This Row],[Duree_Mois]]</f>
        <v>5565.2357686805326</v>
      </c>
    </row>
    <row r="657" spans="1:17" x14ac:dyDescent="0.25">
      <c r="A657" s="11" t="s">
        <v>11</v>
      </c>
      <c r="B657" s="12">
        <v>43872</v>
      </c>
      <c r="C657">
        <v>6000</v>
      </c>
      <c r="D657">
        <v>5</v>
      </c>
      <c r="E657">
        <v>0.03</v>
      </c>
      <c r="F657">
        <v>60</v>
      </c>
      <c r="G657" s="13">
        <v>44834</v>
      </c>
      <c r="H657">
        <v>656</v>
      </c>
      <c r="I657">
        <v>32</v>
      </c>
      <c r="J657">
        <v>2.5000000000000001E-3</v>
      </c>
      <c r="K657" s="14">
        <v>5539.2510543410453</v>
      </c>
      <c r="L657" s="14">
        <v>333914.14612083195</v>
      </c>
      <c r="M657" s="36">
        <f>IF(Output[[#This Row],[Index]]=1,Output[[#This Row],[Droit Utilisation]],P656)</f>
        <v>167640.24609733647</v>
      </c>
      <c r="N657" s="15">
        <f>Output[[#This Row],[Capital Debut Period]]*Output[[#This Row],[Tx_interet_M]]</f>
        <v>419.10061524334117</v>
      </c>
      <c r="O657" s="15">
        <f>Output[[#This Row],[Mensualité initial]]-Output[[#This Row],[Interet]]</f>
        <v>5580.8993847566589</v>
      </c>
      <c r="P657" s="15">
        <f>Output[[#This Row],[Capital Debut Period]]-Output[[#This Row],[Paiement Principal]]</f>
        <v>162059.34671257981</v>
      </c>
      <c r="Q657" s="15">
        <f>Output[[#This Row],[Droit Utilisation]]/Output[[#This Row],[Duree_Mois]]</f>
        <v>5565.2357686805326</v>
      </c>
    </row>
    <row r="658" spans="1:17" x14ac:dyDescent="0.25">
      <c r="A658" s="11" t="s">
        <v>11</v>
      </c>
      <c r="B658" s="12">
        <v>43872</v>
      </c>
      <c r="C658">
        <v>6000</v>
      </c>
      <c r="D658">
        <v>5</v>
      </c>
      <c r="E658">
        <v>0.03</v>
      </c>
      <c r="F658">
        <v>60</v>
      </c>
      <c r="G658" s="13">
        <v>44865</v>
      </c>
      <c r="H658">
        <v>657</v>
      </c>
      <c r="I658">
        <v>33</v>
      </c>
      <c r="J658">
        <v>2.5000000000000001E-3</v>
      </c>
      <c r="K658" s="14">
        <v>5525.4374606893225</v>
      </c>
      <c r="L658" s="14">
        <v>333914.14612083195</v>
      </c>
      <c r="M658" s="36">
        <f>IF(Output[[#This Row],[Index]]=1,Output[[#This Row],[Droit Utilisation]],P657)</f>
        <v>162059.34671257981</v>
      </c>
      <c r="N658" s="15">
        <f>Output[[#This Row],[Capital Debut Period]]*Output[[#This Row],[Tx_interet_M]]</f>
        <v>405.14836678144951</v>
      </c>
      <c r="O658" s="15">
        <f>Output[[#This Row],[Mensualité initial]]-Output[[#This Row],[Interet]]</f>
        <v>5594.8516332185509</v>
      </c>
      <c r="P658" s="15">
        <f>Output[[#This Row],[Capital Debut Period]]-Output[[#This Row],[Paiement Principal]]</f>
        <v>156464.49507936125</v>
      </c>
      <c r="Q658" s="15">
        <f>Output[[#This Row],[Droit Utilisation]]/Output[[#This Row],[Duree_Mois]]</f>
        <v>5565.2357686805326</v>
      </c>
    </row>
    <row r="659" spans="1:17" x14ac:dyDescent="0.25">
      <c r="A659" s="11" t="s">
        <v>11</v>
      </c>
      <c r="B659" s="12">
        <v>43872</v>
      </c>
      <c r="C659">
        <v>6000</v>
      </c>
      <c r="D659">
        <v>5</v>
      </c>
      <c r="E659">
        <v>0.03</v>
      </c>
      <c r="F659">
        <v>60</v>
      </c>
      <c r="G659" s="13">
        <v>44895</v>
      </c>
      <c r="H659">
        <v>658</v>
      </c>
      <c r="I659">
        <v>34</v>
      </c>
      <c r="J659">
        <v>2.5000000000000001E-3</v>
      </c>
      <c r="K659" s="14">
        <v>5511.6583149020671</v>
      </c>
      <c r="L659" s="14">
        <v>333914.14612083195</v>
      </c>
      <c r="M659" s="36">
        <f>IF(Output[[#This Row],[Index]]=1,Output[[#This Row],[Droit Utilisation]],P658)</f>
        <v>156464.49507936125</v>
      </c>
      <c r="N659" s="15">
        <f>Output[[#This Row],[Capital Debut Period]]*Output[[#This Row],[Tx_interet_M]]</f>
        <v>391.16123769840311</v>
      </c>
      <c r="O659" s="15">
        <f>Output[[#This Row],[Mensualité initial]]-Output[[#This Row],[Interet]]</f>
        <v>5608.8387623015969</v>
      </c>
      <c r="P659" s="15">
        <f>Output[[#This Row],[Capital Debut Period]]-Output[[#This Row],[Paiement Principal]]</f>
        <v>150855.65631705965</v>
      </c>
      <c r="Q659" s="15">
        <f>Output[[#This Row],[Droit Utilisation]]/Output[[#This Row],[Duree_Mois]]</f>
        <v>5565.2357686805326</v>
      </c>
    </row>
    <row r="660" spans="1:17" x14ac:dyDescent="0.25">
      <c r="A660" s="11" t="s">
        <v>11</v>
      </c>
      <c r="B660" s="12">
        <v>43872</v>
      </c>
      <c r="C660">
        <v>6000</v>
      </c>
      <c r="D660">
        <v>5</v>
      </c>
      <c r="E660">
        <v>0.03</v>
      </c>
      <c r="F660">
        <v>60</v>
      </c>
      <c r="G660" s="13">
        <v>44926</v>
      </c>
      <c r="H660">
        <v>659</v>
      </c>
      <c r="I660">
        <v>35</v>
      </c>
      <c r="J660">
        <v>2.5000000000000001E-3</v>
      </c>
      <c r="K660" s="14">
        <v>5497.9135310743814</v>
      </c>
      <c r="L660" s="14">
        <v>333914.14612083195</v>
      </c>
      <c r="M660" s="36">
        <f>IF(Output[[#This Row],[Index]]=1,Output[[#This Row],[Droit Utilisation]],P659)</f>
        <v>150855.65631705965</v>
      </c>
      <c r="N660" s="15">
        <f>Output[[#This Row],[Capital Debut Period]]*Output[[#This Row],[Tx_interet_M]]</f>
        <v>377.13914079264913</v>
      </c>
      <c r="O660" s="15">
        <f>Output[[#This Row],[Mensualité initial]]-Output[[#This Row],[Interet]]</f>
        <v>5622.8608592073506</v>
      </c>
      <c r="P660" s="15">
        <f>Output[[#This Row],[Capital Debut Period]]-Output[[#This Row],[Paiement Principal]]</f>
        <v>145232.79545785231</v>
      </c>
      <c r="Q660" s="15">
        <f>Output[[#This Row],[Droit Utilisation]]/Output[[#This Row],[Duree_Mois]]</f>
        <v>5565.2357686805326</v>
      </c>
    </row>
    <row r="661" spans="1:17" x14ac:dyDescent="0.25">
      <c r="A661" s="11" t="s">
        <v>11</v>
      </c>
      <c r="B661" s="12">
        <v>43872</v>
      </c>
      <c r="C661">
        <v>6000</v>
      </c>
      <c r="D661">
        <v>5</v>
      </c>
      <c r="E661">
        <v>0.03</v>
      </c>
      <c r="F661">
        <v>60</v>
      </c>
      <c r="G661" s="13">
        <v>44957</v>
      </c>
      <c r="H661">
        <v>660</v>
      </c>
      <c r="I661">
        <v>36</v>
      </c>
      <c r="J661">
        <v>2.5000000000000001E-3</v>
      </c>
      <c r="K661" s="14">
        <v>5484.2030235155926</v>
      </c>
      <c r="L661" s="14">
        <v>333914.14612083195</v>
      </c>
      <c r="M661" s="36">
        <f>IF(Output[[#This Row],[Index]]=1,Output[[#This Row],[Droit Utilisation]],P660)</f>
        <v>145232.79545785231</v>
      </c>
      <c r="N661" s="15">
        <f>Output[[#This Row],[Capital Debut Period]]*Output[[#This Row],[Tx_interet_M]]</f>
        <v>363.08198864463077</v>
      </c>
      <c r="O661" s="15">
        <f>Output[[#This Row],[Mensualité initial]]-Output[[#This Row],[Interet]]</f>
        <v>5636.9180113553693</v>
      </c>
      <c r="P661" s="15">
        <f>Output[[#This Row],[Capital Debut Period]]-Output[[#This Row],[Paiement Principal]]</f>
        <v>139595.87744649695</v>
      </c>
      <c r="Q661" s="15">
        <f>Output[[#This Row],[Droit Utilisation]]/Output[[#This Row],[Duree_Mois]]</f>
        <v>5565.2357686805326</v>
      </c>
    </row>
    <row r="662" spans="1:17" x14ac:dyDescent="0.25">
      <c r="A662" s="11" t="s">
        <v>11</v>
      </c>
      <c r="B662" s="12">
        <v>43872</v>
      </c>
      <c r="C662">
        <v>6000</v>
      </c>
      <c r="D662">
        <v>5</v>
      </c>
      <c r="E662">
        <v>0.03</v>
      </c>
      <c r="F662">
        <v>60</v>
      </c>
      <c r="G662" s="13">
        <v>44985</v>
      </c>
      <c r="H662">
        <v>661</v>
      </c>
      <c r="I662">
        <v>37</v>
      </c>
      <c r="J662">
        <v>2.5000000000000001E-3</v>
      </c>
      <c r="K662" s="14">
        <v>5470.5267067487212</v>
      </c>
      <c r="L662" s="14">
        <v>333914.14612083195</v>
      </c>
      <c r="M662" s="36">
        <f>IF(Output[[#This Row],[Index]]=1,Output[[#This Row],[Droit Utilisation]],P661)</f>
        <v>139595.87744649695</v>
      </c>
      <c r="N662" s="15">
        <f>Output[[#This Row],[Capital Debut Period]]*Output[[#This Row],[Tx_interet_M]]</f>
        <v>348.98969361624239</v>
      </c>
      <c r="O662" s="15">
        <f>Output[[#This Row],[Mensualité initial]]-Output[[#This Row],[Interet]]</f>
        <v>5651.0103063837578</v>
      </c>
      <c r="P662" s="15">
        <f>Output[[#This Row],[Capital Debut Period]]-Output[[#This Row],[Paiement Principal]]</f>
        <v>133944.8671401132</v>
      </c>
      <c r="Q662" s="15">
        <f>Output[[#This Row],[Droit Utilisation]]/Output[[#This Row],[Duree_Mois]]</f>
        <v>5565.2357686805326</v>
      </c>
    </row>
    <row r="663" spans="1:17" x14ac:dyDescent="0.25">
      <c r="A663" s="11" t="s">
        <v>11</v>
      </c>
      <c r="B663" s="12">
        <v>43872</v>
      </c>
      <c r="C663">
        <v>6000</v>
      </c>
      <c r="D663">
        <v>5</v>
      </c>
      <c r="E663">
        <v>0.03</v>
      </c>
      <c r="F663">
        <v>60</v>
      </c>
      <c r="G663" s="13">
        <v>45016</v>
      </c>
      <c r="H663">
        <v>662</v>
      </c>
      <c r="I663">
        <v>38</v>
      </c>
      <c r="J663">
        <v>2.5000000000000001E-3</v>
      </c>
      <c r="K663" s="14">
        <v>5456.8844955099466</v>
      </c>
      <c r="L663" s="14">
        <v>333914.14612083195</v>
      </c>
      <c r="M663" s="36">
        <f>IF(Output[[#This Row],[Index]]=1,Output[[#This Row],[Droit Utilisation]],P662)</f>
        <v>133944.8671401132</v>
      </c>
      <c r="N663" s="15">
        <f>Output[[#This Row],[Capital Debut Period]]*Output[[#This Row],[Tx_interet_M]]</f>
        <v>334.86216785028302</v>
      </c>
      <c r="O663" s="15">
        <f>Output[[#This Row],[Mensualité initial]]-Output[[#This Row],[Interet]]</f>
        <v>5665.1378321497168</v>
      </c>
      <c r="P663" s="15">
        <f>Output[[#This Row],[Capital Debut Period]]-Output[[#This Row],[Paiement Principal]]</f>
        <v>128279.72930796348</v>
      </c>
      <c r="Q663" s="15">
        <f>Output[[#This Row],[Droit Utilisation]]/Output[[#This Row],[Duree_Mois]]</f>
        <v>5565.2357686805326</v>
      </c>
    </row>
    <row r="664" spans="1:17" x14ac:dyDescent="0.25">
      <c r="A664" s="11" t="s">
        <v>11</v>
      </c>
      <c r="B664" s="12">
        <v>43872</v>
      </c>
      <c r="C664">
        <v>6000</v>
      </c>
      <c r="D664">
        <v>5</v>
      </c>
      <c r="E664">
        <v>0.03</v>
      </c>
      <c r="F664">
        <v>60</v>
      </c>
      <c r="G664" s="13">
        <v>45046</v>
      </c>
      <c r="H664">
        <v>663</v>
      </c>
      <c r="I664">
        <v>39</v>
      </c>
      <c r="J664">
        <v>2.5000000000000001E-3</v>
      </c>
      <c r="K664" s="14">
        <v>5443.2763047480767</v>
      </c>
      <c r="L664" s="14">
        <v>333914.14612083195</v>
      </c>
      <c r="M664" s="36">
        <f>IF(Output[[#This Row],[Index]]=1,Output[[#This Row],[Droit Utilisation]],P663)</f>
        <v>128279.72930796348</v>
      </c>
      <c r="N664" s="15">
        <f>Output[[#This Row],[Capital Debut Period]]*Output[[#This Row],[Tx_interet_M]]</f>
        <v>320.69932326990869</v>
      </c>
      <c r="O664" s="15">
        <f>Output[[#This Row],[Mensualité initial]]-Output[[#This Row],[Interet]]</f>
        <v>5679.3006767300913</v>
      </c>
      <c r="P664" s="15">
        <f>Output[[#This Row],[Capital Debut Period]]-Output[[#This Row],[Paiement Principal]]</f>
        <v>122600.42863123339</v>
      </c>
      <c r="Q664" s="15">
        <f>Output[[#This Row],[Droit Utilisation]]/Output[[#This Row],[Duree_Mois]]</f>
        <v>5565.2357686805326</v>
      </c>
    </row>
    <row r="665" spans="1:17" x14ac:dyDescent="0.25">
      <c r="A665" s="11" t="s">
        <v>11</v>
      </c>
      <c r="B665" s="12">
        <v>43872</v>
      </c>
      <c r="C665">
        <v>6000</v>
      </c>
      <c r="D665">
        <v>5</v>
      </c>
      <c r="E665">
        <v>0.03</v>
      </c>
      <c r="F665">
        <v>60</v>
      </c>
      <c r="G665" s="13">
        <v>45077</v>
      </c>
      <c r="H665">
        <v>664</v>
      </c>
      <c r="I665">
        <v>40</v>
      </c>
      <c r="J665">
        <v>2.5000000000000001E-3</v>
      </c>
      <c r="K665" s="14">
        <v>5429.7020496240175</v>
      </c>
      <c r="L665" s="14">
        <v>333914.14612083195</v>
      </c>
      <c r="M665" s="36">
        <f>IF(Output[[#This Row],[Index]]=1,Output[[#This Row],[Droit Utilisation]],P664)</f>
        <v>122600.42863123339</v>
      </c>
      <c r="N665" s="15">
        <f>Output[[#This Row],[Capital Debut Period]]*Output[[#This Row],[Tx_interet_M]]</f>
        <v>306.5010715780835</v>
      </c>
      <c r="O665" s="15">
        <f>Output[[#This Row],[Mensualité initial]]-Output[[#This Row],[Interet]]</f>
        <v>5693.4989284219164</v>
      </c>
      <c r="P665" s="15">
        <f>Output[[#This Row],[Capital Debut Period]]-Output[[#This Row],[Paiement Principal]]</f>
        <v>116906.92970281147</v>
      </c>
      <c r="Q665" s="15">
        <f>Output[[#This Row],[Droit Utilisation]]/Output[[#This Row],[Duree_Mois]]</f>
        <v>5565.2357686805326</v>
      </c>
    </row>
    <row r="666" spans="1:17" x14ac:dyDescent="0.25">
      <c r="A666" s="11" t="s">
        <v>11</v>
      </c>
      <c r="B666" s="12">
        <v>43872</v>
      </c>
      <c r="C666">
        <v>6000</v>
      </c>
      <c r="D666">
        <v>5</v>
      </c>
      <c r="E666">
        <v>0.03</v>
      </c>
      <c r="F666">
        <v>60</v>
      </c>
      <c r="G666" s="13">
        <v>45107</v>
      </c>
      <c r="H666">
        <v>665</v>
      </c>
      <c r="I666">
        <v>41</v>
      </c>
      <c r="J666">
        <v>2.5000000000000001E-3</v>
      </c>
      <c r="K666" s="14">
        <v>5416.1616455102412</v>
      </c>
      <c r="L666" s="14">
        <v>333914.14612083195</v>
      </c>
      <c r="M666" s="36">
        <f>IF(Output[[#This Row],[Index]]=1,Output[[#This Row],[Droit Utilisation]],P665)</f>
        <v>116906.92970281147</v>
      </c>
      <c r="N666" s="15">
        <f>Output[[#This Row],[Capital Debut Period]]*Output[[#This Row],[Tx_interet_M]]</f>
        <v>292.26732425702869</v>
      </c>
      <c r="O666" s="15">
        <f>Output[[#This Row],[Mensualité initial]]-Output[[#This Row],[Interet]]</f>
        <v>5707.732675742971</v>
      </c>
      <c r="P666" s="15">
        <f>Output[[#This Row],[Capital Debut Period]]-Output[[#This Row],[Paiement Principal]]</f>
        <v>111199.1970270685</v>
      </c>
      <c r="Q666" s="15">
        <f>Output[[#This Row],[Droit Utilisation]]/Output[[#This Row],[Duree_Mois]]</f>
        <v>5565.2357686805326</v>
      </c>
    </row>
    <row r="667" spans="1:17" x14ac:dyDescent="0.25">
      <c r="A667" s="11" t="s">
        <v>11</v>
      </c>
      <c r="B667" s="12">
        <v>43872</v>
      </c>
      <c r="C667">
        <v>6000</v>
      </c>
      <c r="D667">
        <v>5</v>
      </c>
      <c r="E667">
        <v>0.03</v>
      </c>
      <c r="F667">
        <v>60</v>
      </c>
      <c r="G667" s="13">
        <v>45138</v>
      </c>
      <c r="H667">
        <v>666</v>
      </c>
      <c r="I667">
        <v>42</v>
      </c>
      <c r="J667">
        <v>2.5000000000000001E-3</v>
      </c>
      <c r="K667" s="14">
        <v>5402.6550079902663</v>
      </c>
      <c r="L667" s="14">
        <v>333914.14612083195</v>
      </c>
      <c r="M667" s="36">
        <f>IF(Output[[#This Row],[Index]]=1,Output[[#This Row],[Droit Utilisation]],P666)</f>
        <v>111199.1970270685</v>
      </c>
      <c r="N667" s="15">
        <f>Output[[#This Row],[Capital Debut Period]]*Output[[#This Row],[Tx_interet_M]]</f>
        <v>277.99799256767125</v>
      </c>
      <c r="O667" s="15">
        <f>Output[[#This Row],[Mensualité initial]]-Output[[#This Row],[Interet]]</f>
        <v>5722.0020074323284</v>
      </c>
      <c r="P667" s="15">
        <f>Output[[#This Row],[Capital Debut Period]]-Output[[#This Row],[Paiement Principal]]</f>
        <v>105477.19501963617</v>
      </c>
      <c r="Q667" s="15">
        <f>Output[[#This Row],[Droit Utilisation]]/Output[[#This Row],[Duree_Mois]]</f>
        <v>5565.2357686805326</v>
      </c>
    </row>
    <row r="668" spans="1:17" x14ac:dyDescent="0.25">
      <c r="A668" s="11" t="s">
        <v>11</v>
      </c>
      <c r="B668" s="12">
        <v>43872</v>
      </c>
      <c r="C668">
        <v>6000</v>
      </c>
      <c r="D668">
        <v>5</v>
      </c>
      <c r="E668">
        <v>0.03</v>
      </c>
      <c r="F668">
        <v>60</v>
      </c>
      <c r="G668" s="13">
        <v>45169</v>
      </c>
      <c r="H668">
        <v>667</v>
      </c>
      <c r="I668">
        <v>43</v>
      </c>
      <c r="J668">
        <v>2.5000000000000001E-3</v>
      </c>
      <c r="K668" s="14">
        <v>5389.1820528581211</v>
      </c>
      <c r="L668" s="14">
        <v>333914.14612083195</v>
      </c>
      <c r="M668" s="36">
        <f>IF(Output[[#This Row],[Index]]=1,Output[[#This Row],[Droit Utilisation]],P667)</f>
        <v>105477.19501963617</v>
      </c>
      <c r="N668" s="15">
        <f>Output[[#This Row],[Capital Debut Period]]*Output[[#This Row],[Tx_interet_M]]</f>
        <v>263.69298754909045</v>
      </c>
      <c r="O668" s="15">
        <f>Output[[#This Row],[Mensualité initial]]-Output[[#This Row],[Interet]]</f>
        <v>5736.3070124509095</v>
      </c>
      <c r="P668" s="15">
        <f>Output[[#This Row],[Capital Debut Period]]-Output[[#This Row],[Paiement Principal]]</f>
        <v>99740.888007185262</v>
      </c>
      <c r="Q668" s="15">
        <f>Output[[#This Row],[Droit Utilisation]]/Output[[#This Row],[Duree_Mois]]</f>
        <v>5565.2357686805326</v>
      </c>
    </row>
    <row r="669" spans="1:17" x14ac:dyDescent="0.25">
      <c r="A669" s="11" t="s">
        <v>11</v>
      </c>
      <c r="B669" s="12">
        <v>43872</v>
      </c>
      <c r="C669">
        <v>6000</v>
      </c>
      <c r="D669">
        <v>5</v>
      </c>
      <c r="E669">
        <v>0.03</v>
      </c>
      <c r="F669">
        <v>60</v>
      </c>
      <c r="G669" s="13">
        <v>45199</v>
      </c>
      <c r="H669">
        <v>668</v>
      </c>
      <c r="I669">
        <v>44</v>
      </c>
      <c r="J669">
        <v>2.5000000000000001E-3</v>
      </c>
      <c r="K669" s="14">
        <v>5375.7426961178271</v>
      </c>
      <c r="L669" s="14">
        <v>333914.14612083195</v>
      </c>
      <c r="M669" s="36">
        <f>IF(Output[[#This Row],[Index]]=1,Output[[#This Row],[Droit Utilisation]],P668)</f>
        <v>99740.888007185262</v>
      </c>
      <c r="N669" s="15">
        <f>Output[[#This Row],[Capital Debut Period]]*Output[[#This Row],[Tx_interet_M]]</f>
        <v>249.35222001796316</v>
      </c>
      <c r="O669" s="15">
        <f>Output[[#This Row],[Mensualité initial]]-Output[[#This Row],[Interet]]</f>
        <v>5750.6477799820368</v>
      </c>
      <c r="P669" s="15">
        <f>Output[[#This Row],[Capital Debut Period]]-Output[[#This Row],[Paiement Principal]]</f>
        <v>93990.24022720322</v>
      </c>
      <c r="Q669" s="15">
        <f>Output[[#This Row],[Droit Utilisation]]/Output[[#This Row],[Duree_Mois]]</f>
        <v>5565.2357686805326</v>
      </c>
    </row>
    <row r="670" spans="1:17" x14ac:dyDescent="0.25">
      <c r="A670" s="11" t="s">
        <v>11</v>
      </c>
      <c r="B670" s="12">
        <v>43872</v>
      </c>
      <c r="C670">
        <v>6000</v>
      </c>
      <c r="D670">
        <v>5</v>
      </c>
      <c r="E670">
        <v>0.03</v>
      </c>
      <c r="F670">
        <v>60</v>
      </c>
      <c r="G670" s="13">
        <v>45230</v>
      </c>
      <c r="H670">
        <v>669</v>
      </c>
      <c r="I670">
        <v>45</v>
      </c>
      <c r="J670">
        <v>2.5000000000000001E-3</v>
      </c>
      <c r="K670" s="14">
        <v>5362.3368539828707</v>
      </c>
      <c r="L670" s="14">
        <v>333914.14612083195</v>
      </c>
      <c r="M670" s="36">
        <f>IF(Output[[#This Row],[Index]]=1,Output[[#This Row],[Droit Utilisation]],P669)</f>
        <v>93990.24022720322</v>
      </c>
      <c r="N670" s="15">
        <f>Output[[#This Row],[Capital Debut Period]]*Output[[#This Row],[Tx_interet_M]]</f>
        <v>234.97560056800805</v>
      </c>
      <c r="O670" s="15">
        <f>Output[[#This Row],[Mensualité initial]]-Output[[#This Row],[Interet]]</f>
        <v>5765.0243994319917</v>
      </c>
      <c r="P670" s="15">
        <f>Output[[#This Row],[Capital Debut Period]]-Output[[#This Row],[Paiement Principal]]</f>
        <v>88225.21582777123</v>
      </c>
      <c r="Q670" s="15">
        <f>Output[[#This Row],[Droit Utilisation]]/Output[[#This Row],[Duree_Mois]]</f>
        <v>5565.2357686805326</v>
      </c>
    </row>
    <row r="671" spans="1:17" x14ac:dyDescent="0.25">
      <c r="A671" s="11" t="s">
        <v>11</v>
      </c>
      <c r="B671" s="12">
        <v>43872</v>
      </c>
      <c r="C671">
        <v>6000</v>
      </c>
      <c r="D671">
        <v>5</v>
      </c>
      <c r="E671">
        <v>0.03</v>
      </c>
      <c r="F671">
        <v>60</v>
      </c>
      <c r="G671" s="13">
        <v>45260</v>
      </c>
      <c r="H671">
        <v>670</v>
      </c>
      <c r="I671">
        <v>46</v>
      </c>
      <c r="J671">
        <v>2.5000000000000001E-3</v>
      </c>
      <c r="K671" s="14">
        <v>5348.9644428756819</v>
      </c>
      <c r="L671" s="14">
        <v>333914.14612083195</v>
      </c>
      <c r="M671" s="36">
        <f>IF(Output[[#This Row],[Index]]=1,Output[[#This Row],[Droit Utilisation]],P670)</f>
        <v>88225.21582777123</v>
      </c>
      <c r="N671" s="15">
        <f>Output[[#This Row],[Capital Debut Period]]*Output[[#This Row],[Tx_interet_M]]</f>
        <v>220.56303956942807</v>
      </c>
      <c r="O671" s="15">
        <f>Output[[#This Row],[Mensualité initial]]-Output[[#This Row],[Interet]]</f>
        <v>5779.4369604305721</v>
      </c>
      <c r="P671" s="15">
        <f>Output[[#This Row],[Capital Debut Period]]-Output[[#This Row],[Paiement Principal]]</f>
        <v>82445.778867340661</v>
      </c>
      <c r="Q671" s="15">
        <f>Output[[#This Row],[Droit Utilisation]]/Output[[#This Row],[Duree_Mois]]</f>
        <v>5565.2357686805326</v>
      </c>
    </row>
    <row r="672" spans="1:17" x14ac:dyDescent="0.25">
      <c r="A672" s="11" t="s">
        <v>11</v>
      </c>
      <c r="B672" s="12">
        <v>43872</v>
      </c>
      <c r="C672">
        <v>6000</v>
      </c>
      <c r="D672">
        <v>5</v>
      </c>
      <c r="E672">
        <v>0.03</v>
      </c>
      <c r="F672">
        <v>60</v>
      </c>
      <c r="G672" s="13">
        <v>45291</v>
      </c>
      <c r="H672">
        <v>671</v>
      </c>
      <c r="I672">
        <v>47</v>
      </c>
      <c r="J672">
        <v>2.5000000000000001E-3</v>
      </c>
      <c r="K672" s="14">
        <v>5335.6253794271142</v>
      </c>
      <c r="L672" s="14">
        <v>333914.14612083195</v>
      </c>
      <c r="M672" s="36">
        <f>IF(Output[[#This Row],[Index]]=1,Output[[#This Row],[Droit Utilisation]],P671)</f>
        <v>82445.778867340661</v>
      </c>
      <c r="N672" s="15">
        <f>Output[[#This Row],[Capital Debut Period]]*Output[[#This Row],[Tx_interet_M]]</f>
        <v>206.11444716835166</v>
      </c>
      <c r="O672" s="15">
        <f>Output[[#This Row],[Mensualité initial]]-Output[[#This Row],[Interet]]</f>
        <v>5793.8855528316481</v>
      </c>
      <c r="P672" s="15">
        <f>Output[[#This Row],[Capital Debut Period]]-Output[[#This Row],[Paiement Principal]]</f>
        <v>76651.893314509012</v>
      </c>
      <c r="Q672" s="15">
        <f>Output[[#This Row],[Droit Utilisation]]/Output[[#This Row],[Duree_Mois]]</f>
        <v>5565.2357686805326</v>
      </c>
    </row>
    <row r="673" spans="1:17" x14ac:dyDescent="0.25">
      <c r="A673" s="11" t="s">
        <v>11</v>
      </c>
      <c r="B673" s="12">
        <v>43872</v>
      </c>
      <c r="C673">
        <v>6000</v>
      </c>
      <c r="D673">
        <v>5</v>
      </c>
      <c r="E673">
        <v>0.03</v>
      </c>
      <c r="F673">
        <v>60</v>
      </c>
      <c r="G673" s="13">
        <v>45322</v>
      </c>
      <c r="H673">
        <v>672</v>
      </c>
      <c r="I673">
        <v>48</v>
      </c>
      <c r="J673">
        <v>2.5000000000000001E-3</v>
      </c>
      <c r="K673" s="14">
        <v>5322.3195804759243</v>
      </c>
      <c r="L673" s="14">
        <v>333914.14612083195</v>
      </c>
      <c r="M673" s="36">
        <f>IF(Output[[#This Row],[Index]]=1,Output[[#This Row],[Droit Utilisation]],P672)</f>
        <v>76651.893314509012</v>
      </c>
      <c r="N673" s="15">
        <f>Output[[#This Row],[Capital Debut Period]]*Output[[#This Row],[Tx_interet_M]]</f>
        <v>191.62973328627254</v>
      </c>
      <c r="O673" s="15">
        <f>Output[[#This Row],[Mensualité initial]]-Output[[#This Row],[Interet]]</f>
        <v>5808.3702667137277</v>
      </c>
      <c r="P673" s="15">
        <f>Output[[#This Row],[Capital Debut Period]]-Output[[#This Row],[Paiement Principal]]</f>
        <v>70843.523047795286</v>
      </c>
      <c r="Q673" s="15">
        <f>Output[[#This Row],[Droit Utilisation]]/Output[[#This Row],[Duree_Mois]]</f>
        <v>5565.2357686805326</v>
      </c>
    </row>
    <row r="674" spans="1:17" x14ac:dyDescent="0.25">
      <c r="A674" s="11" t="s">
        <v>11</v>
      </c>
      <c r="B674" s="12">
        <v>43872</v>
      </c>
      <c r="C674">
        <v>6000</v>
      </c>
      <c r="D674">
        <v>5</v>
      </c>
      <c r="E674">
        <v>0.03</v>
      </c>
      <c r="F674">
        <v>60</v>
      </c>
      <c r="G674" s="13">
        <v>45351</v>
      </c>
      <c r="H674">
        <v>673</v>
      </c>
      <c r="I674">
        <v>49</v>
      </c>
      <c r="J674">
        <v>2.5000000000000001E-3</v>
      </c>
      <c r="K674" s="14">
        <v>5309.0469630682537</v>
      </c>
      <c r="L674" s="14">
        <v>333914.14612083195</v>
      </c>
      <c r="M674" s="36">
        <f>IF(Output[[#This Row],[Index]]=1,Output[[#This Row],[Droit Utilisation]],P673)</f>
        <v>70843.523047795286</v>
      </c>
      <c r="N674" s="15">
        <f>Output[[#This Row],[Capital Debut Period]]*Output[[#This Row],[Tx_interet_M]]</f>
        <v>177.10880761948823</v>
      </c>
      <c r="O674" s="15">
        <f>Output[[#This Row],[Mensualité initial]]-Output[[#This Row],[Interet]]</f>
        <v>5822.8911923805117</v>
      </c>
      <c r="P674" s="15">
        <f>Output[[#This Row],[Capital Debut Period]]-Output[[#This Row],[Paiement Principal]]</f>
        <v>65020.631855414773</v>
      </c>
      <c r="Q674" s="15">
        <f>Output[[#This Row],[Droit Utilisation]]/Output[[#This Row],[Duree_Mois]]</f>
        <v>5565.2357686805326</v>
      </c>
    </row>
    <row r="675" spans="1:17" x14ac:dyDescent="0.25">
      <c r="A675" s="11" t="s">
        <v>11</v>
      </c>
      <c r="B675" s="12">
        <v>43872</v>
      </c>
      <c r="C675">
        <v>6000</v>
      </c>
      <c r="D675">
        <v>5</v>
      </c>
      <c r="E675">
        <v>0.03</v>
      </c>
      <c r="F675">
        <v>60</v>
      </c>
      <c r="G675" s="13">
        <v>45382</v>
      </c>
      <c r="H675">
        <v>674</v>
      </c>
      <c r="I675">
        <v>50</v>
      </c>
      <c r="J675">
        <v>2.5000000000000001E-3</v>
      </c>
      <c r="K675" s="14">
        <v>5295.8074444571121</v>
      </c>
      <c r="L675" s="14">
        <v>333914.14612083195</v>
      </c>
      <c r="M675" s="36">
        <f>IF(Output[[#This Row],[Index]]=1,Output[[#This Row],[Droit Utilisation]],P674)</f>
        <v>65020.631855414773</v>
      </c>
      <c r="N675" s="15">
        <f>Output[[#This Row],[Capital Debut Period]]*Output[[#This Row],[Tx_interet_M]]</f>
        <v>162.55157963853694</v>
      </c>
      <c r="O675" s="15">
        <f>Output[[#This Row],[Mensualité initial]]-Output[[#This Row],[Interet]]</f>
        <v>5837.4484203614629</v>
      </c>
      <c r="P675" s="15">
        <f>Output[[#This Row],[Capital Debut Period]]-Output[[#This Row],[Paiement Principal]]</f>
        <v>59183.18343505331</v>
      </c>
      <c r="Q675" s="15">
        <f>Output[[#This Row],[Droit Utilisation]]/Output[[#This Row],[Duree_Mois]]</f>
        <v>5565.2357686805326</v>
      </c>
    </row>
    <row r="676" spans="1:17" x14ac:dyDescent="0.25">
      <c r="A676" s="11" t="s">
        <v>11</v>
      </c>
      <c r="B676" s="12">
        <v>43872</v>
      </c>
      <c r="C676">
        <v>6000</v>
      </c>
      <c r="D676">
        <v>5</v>
      </c>
      <c r="E676">
        <v>0.03</v>
      </c>
      <c r="F676">
        <v>60</v>
      </c>
      <c r="G676" s="13">
        <v>45412</v>
      </c>
      <c r="H676">
        <v>675</v>
      </c>
      <c r="I676">
        <v>51</v>
      </c>
      <c r="J676">
        <v>2.5000000000000001E-3</v>
      </c>
      <c r="K676" s="14">
        <v>5282.6009421018571</v>
      </c>
      <c r="L676" s="14">
        <v>333914.14612083195</v>
      </c>
      <c r="M676" s="36">
        <f>IF(Output[[#This Row],[Index]]=1,Output[[#This Row],[Droit Utilisation]],P675)</f>
        <v>59183.18343505331</v>
      </c>
      <c r="N676" s="15">
        <f>Output[[#This Row],[Capital Debut Period]]*Output[[#This Row],[Tx_interet_M]]</f>
        <v>147.95795858763327</v>
      </c>
      <c r="O676" s="15">
        <f>Output[[#This Row],[Mensualité initial]]-Output[[#This Row],[Interet]]</f>
        <v>5852.0420414123664</v>
      </c>
      <c r="P676" s="15">
        <f>Output[[#This Row],[Capital Debut Period]]-Output[[#This Row],[Paiement Principal]]</f>
        <v>53331.141393640944</v>
      </c>
      <c r="Q676" s="15">
        <f>Output[[#This Row],[Droit Utilisation]]/Output[[#This Row],[Duree_Mois]]</f>
        <v>5565.2357686805326</v>
      </c>
    </row>
    <row r="677" spans="1:17" x14ac:dyDescent="0.25">
      <c r="A677" s="11" t="s">
        <v>11</v>
      </c>
      <c r="B677" s="12">
        <v>43872</v>
      </c>
      <c r="C677">
        <v>6000</v>
      </c>
      <c r="D677">
        <v>5</v>
      </c>
      <c r="E677">
        <v>0.03</v>
      </c>
      <c r="F677">
        <v>60</v>
      </c>
      <c r="G677" s="13">
        <v>45443</v>
      </c>
      <c r="H677">
        <v>676</v>
      </c>
      <c r="I677">
        <v>52</v>
      </c>
      <c r="J677">
        <v>2.5000000000000001E-3</v>
      </c>
      <c r="K677" s="14">
        <v>5269.4273736676878</v>
      </c>
      <c r="L677" s="14">
        <v>333914.14612083195</v>
      </c>
      <c r="M677" s="36">
        <f>IF(Output[[#This Row],[Index]]=1,Output[[#This Row],[Droit Utilisation]],P676)</f>
        <v>53331.141393640944</v>
      </c>
      <c r="N677" s="15">
        <f>Output[[#This Row],[Capital Debut Period]]*Output[[#This Row],[Tx_interet_M]]</f>
        <v>133.32785348410238</v>
      </c>
      <c r="O677" s="15">
        <f>Output[[#This Row],[Mensualité initial]]-Output[[#This Row],[Interet]]</f>
        <v>5866.672146515898</v>
      </c>
      <c r="P677" s="15">
        <f>Output[[#This Row],[Capital Debut Period]]-Output[[#This Row],[Paiement Principal]]</f>
        <v>47464.469247125046</v>
      </c>
      <c r="Q677" s="15">
        <f>Output[[#This Row],[Droit Utilisation]]/Output[[#This Row],[Duree_Mois]]</f>
        <v>5565.2357686805326</v>
      </c>
    </row>
    <row r="678" spans="1:17" x14ac:dyDescent="0.25">
      <c r="A678" s="11" t="s">
        <v>11</v>
      </c>
      <c r="B678" s="12">
        <v>43872</v>
      </c>
      <c r="C678">
        <v>6000</v>
      </c>
      <c r="D678">
        <v>5</v>
      </c>
      <c r="E678">
        <v>0.03</v>
      </c>
      <c r="F678">
        <v>60</v>
      </c>
      <c r="G678" s="13">
        <v>45473</v>
      </c>
      <c r="H678">
        <v>677</v>
      </c>
      <c r="I678">
        <v>53</v>
      </c>
      <c r="J678">
        <v>2.5000000000000001E-3</v>
      </c>
      <c r="K678" s="14">
        <v>5256.2866570251254</v>
      </c>
      <c r="L678" s="14">
        <v>333914.14612083195</v>
      </c>
      <c r="M678" s="36">
        <f>IF(Output[[#This Row],[Index]]=1,Output[[#This Row],[Droit Utilisation]],P677)</f>
        <v>47464.469247125046</v>
      </c>
      <c r="N678" s="15">
        <f>Output[[#This Row],[Capital Debut Period]]*Output[[#This Row],[Tx_interet_M]]</f>
        <v>118.66117311781261</v>
      </c>
      <c r="O678" s="15">
        <f>Output[[#This Row],[Mensualité initial]]-Output[[#This Row],[Interet]]</f>
        <v>5881.3388268821873</v>
      </c>
      <c r="P678" s="15">
        <f>Output[[#This Row],[Capital Debut Period]]-Output[[#This Row],[Paiement Principal]]</f>
        <v>41583.130420242858</v>
      </c>
      <c r="Q678" s="15">
        <f>Output[[#This Row],[Droit Utilisation]]/Output[[#This Row],[Duree_Mois]]</f>
        <v>5565.2357686805326</v>
      </c>
    </row>
    <row r="679" spans="1:17" x14ac:dyDescent="0.25">
      <c r="A679" s="11" t="s">
        <v>11</v>
      </c>
      <c r="B679" s="12">
        <v>43872</v>
      </c>
      <c r="C679">
        <v>6000</v>
      </c>
      <c r="D679">
        <v>5</v>
      </c>
      <c r="E679">
        <v>0.03</v>
      </c>
      <c r="F679">
        <v>60</v>
      </c>
      <c r="G679" s="13">
        <v>45504</v>
      </c>
      <c r="H679">
        <v>678</v>
      </c>
      <c r="I679">
        <v>54</v>
      </c>
      <c r="J679">
        <v>2.5000000000000001E-3</v>
      </c>
      <c r="K679" s="14">
        <v>5243.1787102495018</v>
      </c>
      <c r="L679" s="14">
        <v>333914.14612083195</v>
      </c>
      <c r="M679" s="36">
        <f>IF(Output[[#This Row],[Index]]=1,Output[[#This Row],[Droit Utilisation]],P678)</f>
        <v>41583.130420242858</v>
      </c>
      <c r="N679" s="15">
        <f>Output[[#This Row],[Capital Debut Period]]*Output[[#This Row],[Tx_interet_M]]</f>
        <v>103.95782605060715</v>
      </c>
      <c r="O679" s="15">
        <f>Output[[#This Row],[Mensualité initial]]-Output[[#This Row],[Interet]]</f>
        <v>5896.0421739493931</v>
      </c>
      <c r="P679" s="15">
        <f>Output[[#This Row],[Capital Debut Period]]-Output[[#This Row],[Paiement Principal]]</f>
        <v>35687.088246293468</v>
      </c>
      <c r="Q679" s="15">
        <f>Output[[#This Row],[Droit Utilisation]]/Output[[#This Row],[Duree_Mois]]</f>
        <v>5565.2357686805326</v>
      </c>
    </row>
    <row r="680" spans="1:17" x14ac:dyDescent="0.25">
      <c r="A680" s="11" t="s">
        <v>11</v>
      </c>
      <c r="B680" s="12">
        <v>43872</v>
      </c>
      <c r="C680">
        <v>6000</v>
      </c>
      <c r="D680">
        <v>5</v>
      </c>
      <c r="E680">
        <v>0.03</v>
      </c>
      <c r="F680">
        <v>60</v>
      </c>
      <c r="G680" s="13">
        <v>45535</v>
      </c>
      <c r="H680">
        <v>679</v>
      </c>
      <c r="I680">
        <v>55</v>
      </c>
      <c r="J680">
        <v>2.5000000000000001E-3</v>
      </c>
      <c r="K680" s="14">
        <v>5230.1034516204509</v>
      </c>
      <c r="L680" s="14">
        <v>333914.14612083195</v>
      </c>
      <c r="M680" s="36">
        <f>IF(Output[[#This Row],[Index]]=1,Output[[#This Row],[Droit Utilisation]],P679)</f>
        <v>35687.088246293468</v>
      </c>
      <c r="N680" s="15">
        <f>Output[[#This Row],[Capital Debut Period]]*Output[[#This Row],[Tx_interet_M]]</f>
        <v>89.217720615733668</v>
      </c>
      <c r="O680" s="15">
        <f>Output[[#This Row],[Mensualité initial]]-Output[[#This Row],[Interet]]</f>
        <v>5910.7822793842661</v>
      </c>
      <c r="P680" s="15">
        <f>Output[[#This Row],[Capital Debut Period]]-Output[[#This Row],[Paiement Principal]]</f>
        <v>29776.305966909204</v>
      </c>
      <c r="Q680" s="15">
        <f>Output[[#This Row],[Droit Utilisation]]/Output[[#This Row],[Duree_Mois]]</f>
        <v>5565.2357686805326</v>
      </c>
    </row>
    <row r="681" spans="1:17" x14ac:dyDescent="0.25">
      <c r="A681" s="11" t="s">
        <v>11</v>
      </c>
      <c r="B681" s="12">
        <v>43872</v>
      </c>
      <c r="C681">
        <v>6000</v>
      </c>
      <c r="D681">
        <v>5</v>
      </c>
      <c r="E681">
        <v>0.03</v>
      </c>
      <c r="F681">
        <v>60</v>
      </c>
      <c r="G681" s="13">
        <v>45565</v>
      </c>
      <c r="H681">
        <v>680</v>
      </c>
      <c r="I681">
        <v>56</v>
      </c>
      <c r="J681">
        <v>2.5000000000000001E-3</v>
      </c>
      <c r="K681" s="14">
        <v>5217.0607996213976</v>
      </c>
      <c r="L681" s="14">
        <v>333914.14612083195</v>
      </c>
      <c r="M681" s="36">
        <f>IF(Output[[#This Row],[Index]]=1,Output[[#This Row],[Droit Utilisation]],P680)</f>
        <v>29776.305966909204</v>
      </c>
      <c r="N681" s="15">
        <f>Output[[#This Row],[Capital Debut Period]]*Output[[#This Row],[Tx_interet_M]]</f>
        <v>74.440764917273015</v>
      </c>
      <c r="O681" s="15">
        <f>Output[[#This Row],[Mensualité initial]]-Output[[#This Row],[Interet]]</f>
        <v>5925.5592350827274</v>
      </c>
      <c r="P681" s="15">
        <f>Output[[#This Row],[Capital Debut Period]]-Output[[#This Row],[Paiement Principal]]</f>
        <v>23850.746731826475</v>
      </c>
      <c r="Q681" s="15">
        <f>Output[[#This Row],[Droit Utilisation]]/Output[[#This Row],[Duree_Mois]]</f>
        <v>5565.2357686805326</v>
      </c>
    </row>
    <row r="682" spans="1:17" x14ac:dyDescent="0.25">
      <c r="A682" s="11" t="s">
        <v>11</v>
      </c>
      <c r="B682" s="12">
        <v>43872</v>
      </c>
      <c r="C682">
        <v>6000</v>
      </c>
      <c r="D682">
        <v>5</v>
      </c>
      <c r="E682">
        <v>0.03</v>
      </c>
      <c r="F682">
        <v>60</v>
      </c>
      <c r="G682" s="13">
        <v>45596</v>
      </c>
      <c r="H682">
        <v>681</v>
      </c>
      <c r="I682">
        <v>57</v>
      </c>
      <c r="J682">
        <v>2.5000000000000001E-3</v>
      </c>
      <c r="K682" s="14">
        <v>5204.0506729390509</v>
      </c>
      <c r="L682" s="14">
        <v>333914.14612083195</v>
      </c>
      <c r="M682" s="36">
        <f>IF(Output[[#This Row],[Index]]=1,Output[[#This Row],[Droit Utilisation]],P681)</f>
        <v>23850.746731826475</v>
      </c>
      <c r="N682" s="15">
        <f>Output[[#This Row],[Capital Debut Period]]*Output[[#This Row],[Tx_interet_M]]</f>
        <v>59.62686682956619</v>
      </c>
      <c r="O682" s="15">
        <f>Output[[#This Row],[Mensualité initial]]-Output[[#This Row],[Interet]]</f>
        <v>5940.3731331704339</v>
      </c>
      <c r="P682" s="15">
        <f>Output[[#This Row],[Capital Debut Period]]-Output[[#This Row],[Paiement Principal]]</f>
        <v>17910.373598656042</v>
      </c>
      <c r="Q682" s="15">
        <f>Output[[#This Row],[Droit Utilisation]]/Output[[#This Row],[Duree_Mois]]</f>
        <v>5565.2357686805326</v>
      </c>
    </row>
    <row r="683" spans="1:17" x14ac:dyDescent="0.25">
      <c r="A683" s="11" t="s">
        <v>11</v>
      </c>
      <c r="B683" s="12">
        <v>43872</v>
      </c>
      <c r="C683">
        <v>6000</v>
      </c>
      <c r="D683">
        <v>5</v>
      </c>
      <c r="E683">
        <v>0.03</v>
      </c>
      <c r="F683">
        <v>60</v>
      </c>
      <c r="G683" s="13">
        <v>45626</v>
      </c>
      <c r="H683">
        <v>682</v>
      </c>
      <c r="I683">
        <v>58</v>
      </c>
      <c r="J683">
        <v>2.5000000000000001E-3</v>
      </c>
      <c r="K683" s="14">
        <v>5191.0729904628934</v>
      </c>
      <c r="L683" s="14">
        <v>333914.14612083195</v>
      </c>
      <c r="M683" s="36">
        <f>IF(Output[[#This Row],[Index]]=1,Output[[#This Row],[Droit Utilisation]],P682)</f>
        <v>17910.373598656042</v>
      </c>
      <c r="N683" s="15">
        <f>Output[[#This Row],[Capital Debut Period]]*Output[[#This Row],[Tx_interet_M]]</f>
        <v>44.775933996640106</v>
      </c>
      <c r="O683" s="15">
        <f>Output[[#This Row],[Mensualité initial]]-Output[[#This Row],[Interet]]</f>
        <v>5955.2240660033603</v>
      </c>
      <c r="P683" s="15">
        <f>Output[[#This Row],[Capital Debut Period]]-Output[[#This Row],[Paiement Principal]]</f>
        <v>11955.149532652682</v>
      </c>
      <c r="Q683" s="15">
        <f>Output[[#This Row],[Droit Utilisation]]/Output[[#This Row],[Duree_Mois]]</f>
        <v>5565.2357686805326</v>
      </c>
    </row>
    <row r="684" spans="1:17" x14ac:dyDescent="0.25">
      <c r="A684" s="11" t="s">
        <v>11</v>
      </c>
      <c r="B684" s="12">
        <v>43872</v>
      </c>
      <c r="C684">
        <v>6000</v>
      </c>
      <c r="D684">
        <v>5</v>
      </c>
      <c r="E684">
        <v>0.03</v>
      </c>
      <c r="F684">
        <v>60</v>
      </c>
      <c r="G684" s="13">
        <v>45657</v>
      </c>
      <c r="H684">
        <v>683</v>
      </c>
      <c r="I684">
        <v>59</v>
      </c>
      <c r="J684">
        <v>2.5000000000000001E-3</v>
      </c>
      <c r="K684" s="14">
        <v>5178.127671284682</v>
      </c>
      <c r="L684" s="14">
        <v>333914.14612083195</v>
      </c>
      <c r="M684" s="36">
        <f>IF(Output[[#This Row],[Index]]=1,Output[[#This Row],[Droit Utilisation]],P683)</f>
        <v>11955.149532652682</v>
      </c>
      <c r="N684" s="15">
        <f>Output[[#This Row],[Capital Debut Period]]*Output[[#This Row],[Tx_interet_M]]</f>
        <v>29.887873831631705</v>
      </c>
      <c r="O684" s="15">
        <f>Output[[#This Row],[Mensualité initial]]-Output[[#This Row],[Interet]]</f>
        <v>5970.1121261683684</v>
      </c>
      <c r="P684" s="15">
        <f>Output[[#This Row],[Capital Debut Period]]-Output[[#This Row],[Paiement Principal]]</f>
        <v>5985.0374064843136</v>
      </c>
      <c r="Q684" s="15">
        <f>Output[[#This Row],[Droit Utilisation]]/Output[[#This Row],[Duree_Mois]]</f>
        <v>5565.2357686805326</v>
      </c>
    </row>
    <row r="685" spans="1:17" x14ac:dyDescent="0.25">
      <c r="A685" s="11" t="s">
        <v>11</v>
      </c>
      <c r="B685" s="12">
        <v>43872</v>
      </c>
      <c r="C685">
        <v>6000</v>
      </c>
      <c r="D685">
        <v>5</v>
      </c>
      <c r="E685">
        <v>0.03</v>
      </c>
      <c r="F685">
        <v>60</v>
      </c>
      <c r="G685" s="13">
        <v>45688</v>
      </c>
      <c r="H685">
        <v>684</v>
      </c>
      <c r="I685">
        <v>60</v>
      </c>
      <c r="J685">
        <v>2.5000000000000001E-3</v>
      </c>
      <c r="K685" s="14">
        <v>5165.2146346979371</v>
      </c>
      <c r="L685" s="14">
        <v>333914.14612083195</v>
      </c>
      <c r="M685" s="36">
        <f>IF(Output[[#This Row],[Index]]=1,Output[[#This Row],[Droit Utilisation]],P684)</f>
        <v>5985.0374064843136</v>
      </c>
      <c r="N685" s="15">
        <f>Output[[#This Row],[Capital Debut Period]]*Output[[#This Row],[Tx_interet_M]]</f>
        <v>14.962593516210784</v>
      </c>
      <c r="O685" s="15">
        <f>Output[[#This Row],[Mensualité initial]]-Output[[#This Row],[Interet]]</f>
        <v>5985.0374064837888</v>
      </c>
      <c r="P685" s="15">
        <f>Output[[#This Row],[Capital Debut Period]]-Output[[#This Row],[Paiement Principal]]</f>
        <v>5.2477844292297959E-10</v>
      </c>
      <c r="Q685" s="15">
        <f>Output[[#This Row],[Droit Utilisation]]/Output[[#This Row],[Duree_Mois]]</f>
        <v>5565.2357686805326</v>
      </c>
    </row>
    <row r="686" spans="1:17" x14ac:dyDescent="0.25">
      <c r="A686" s="11" t="s">
        <v>12</v>
      </c>
      <c r="B686" s="12">
        <v>43831</v>
      </c>
      <c r="C686">
        <v>6000</v>
      </c>
      <c r="D686">
        <v>5</v>
      </c>
      <c r="E686">
        <v>0.03</v>
      </c>
      <c r="F686">
        <v>60</v>
      </c>
      <c r="G686" s="13">
        <v>43861</v>
      </c>
      <c r="H686">
        <v>685</v>
      </c>
      <c r="I686">
        <v>1</v>
      </c>
      <c r="J686">
        <v>2.5000000000000001E-3</v>
      </c>
      <c r="K686" s="14">
        <v>5985.0374064837906</v>
      </c>
      <c r="L686" s="14">
        <v>333914.14612083195</v>
      </c>
      <c r="M686" s="36">
        <f>IF(Output[[#This Row],[Index]]=1,Output[[#This Row],[Droit Utilisation]],P685)</f>
        <v>333914.14612083195</v>
      </c>
      <c r="N686" s="15">
        <f>Output[[#This Row],[Capital Debut Period]]*Output[[#This Row],[Tx_interet_M]]</f>
        <v>834.78536530207987</v>
      </c>
      <c r="O686" s="15">
        <f>Output[[#This Row],[Mensualité initial]]-Output[[#This Row],[Interet]]</f>
        <v>5165.2146346979198</v>
      </c>
      <c r="P686" s="15">
        <f>Output[[#This Row],[Capital Debut Period]]-Output[[#This Row],[Paiement Principal]]</f>
        <v>328748.93148613401</v>
      </c>
      <c r="Q686" s="15">
        <f>Output[[#This Row],[Droit Utilisation]]/Output[[#This Row],[Duree_Mois]]</f>
        <v>5565.2357686805326</v>
      </c>
    </row>
    <row r="687" spans="1:17" x14ac:dyDescent="0.25">
      <c r="A687" s="11" t="s">
        <v>12</v>
      </c>
      <c r="B687" s="12">
        <v>43831</v>
      </c>
      <c r="C687">
        <v>6000</v>
      </c>
      <c r="D687">
        <v>5</v>
      </c>
      <c r="E687">
        <v>0.03</v>
      </c>
      <c r="F687">
        <v>60</v>
      </c>
      <c r="G687" s="13">
        <v>43890</v>
      </c>
      <c r="H687">
        <v>686</v>
      </c>
      <c r="I687">
        <v>2</v>
      </c>
      <c r="J687">
        <v>2.5000000000000001E-3</v>
      </c>
      <c r="K687" s="14">
        <v>5970.1121261683702</v>
      </c>
      <c r="L687" s="14">
        <v>333914.14612083195</v>
      </c>
      <c r="M687" s="36">
        <f>IF(Output[[#This Row],[Index]]=1,Output[[#This Row],[Droit Utilisation]],P686)</f>
        <v>328748.93148613401</v>
      </c>
      <c r="N687" s="15">
        <f>Output[[#This Row],[Capital Debut Period]]*Output[[#This Row],[Tx_interet_M]]</f>
        <v>821.87232871533502</v>
      </c>
      <c r="O687" s="15">
        <f>Output[[#This Row],[Mensualité initial]]-Output[[#This Row],[Interet]]</f>
        <v>5178.1276712846648</v>
      </c>
      <c r="P687" s="15">
        <f>Output[[#This Row],[Capital Debut Period]]-Output[[#This Row],[Paiement Principal]]</f>
        <v>323570.80381484935</v>
      </c>
      <c r="Q687" s="15">
        <f>Output[[#This Row],[Droit Utilisation]]/Output[[#This Row],[Duree_Mois]]</f>
        <v>5565.2357686805326</v>
      </c>
    </row>
    <row r="688" spans="1:17" x14ac:dyDescent="0.25">
      <c r="A688" s="11" t="s">
        <v>12</v>
      </c>
      <c r="B688" s="12">
        <v>43831</v>
      </c>
      <c r="C688">
        <v>6000</v>
      </c>
      <c r="D688">
        <v>5</v>
      </c>
      <c r="E688">
        <v>0.03</v>
      </c>
      <c r="F688">
        <v>60</v>
      </c>
      <c r="G688" s="13">
        <v>43921</v>
      </c>
      <c r="H688">
        <v>687</v>
      </c>
      <c r="I688">
        <v>3</v>
      </c>
      <c r="J688">
        <v>2.5000000000000001E-3</v>
      </c>
      <c r="K688" s="14">
        <v>5955.2240660033622</v>
      </c>
      <c r="L688" s="14">
        <v>333914.14612083195</v>
      </c>
      <c r="M688" s="36">
        <f>IF(Output[[#This Row],[Index]]=1,Output[[#This Row],[Droit Utilisation]],P687)</f>
        <v>323570.80381484935</v>
      </c>
      <c r="N688" s="15">
        <f>Output[[#This Row],[Capital Debut Period]]*Output[[#This Row],[Tx_interet_M]]</f>
        <v>808.92700953712335</v>
      </c>
      <c r="O688" s="15">
        <f>Output[[#This Row],[Mensualité initial]]-Output[[#This Row],[Interet]]</f>
        <v>5191.072990462877</v>
      </c>
      <c r="P688" s="15">
        <f>Output[[#This Row],[Capital Debut Period]]-Output[[#This Row],[Paiement Principal]]</f>
        <v>318379.73082438647</v>
      </c>
      <c r="Q688" s="15">
        <f>Output[[#This Row],[Droit Utilisation]]/Output[[#This Row],[Duree_Mois]]</f>
        <v>5565.2357686805326</v>
      </c>
    </row>
    <row r="689" spans="1:17" x14ac:dyDescent="0.25">
      <c r="A689" s="11" t="s">
        <v>12</v>
      </c>
      <c r="B689" s="12">
        <v>43831</v>
      </c>
      <c r="C689">
        <v>6000</v>
      </c>
      <c r="D689">
        <v>5</v>
      </c>
      <c r="E689">
        <v>0.03</v>
      </c>
      <c r="F689">
        <v>60</v>
      </c>
      <c r="G689" s="13">
        <v>43951</v>
      </c>
      <c r="H689">
        <v>688</v>
      </c>
      <c r="I689">
        <v>4</v>
      </c>
      <c r="J689">
        <v>2.5000000000000001E-3</v>
      </c>
      <c r="K689" s="14">
        <v>5940.3731331704357</v>
      </c>
      <c r="L689" s="14">
        <v>333914.14612083195</v>
      </c>
      <c r="M689" s="36">
        <f>IF(Output[[#This Row],[Index]]=1,Output[[#This Row],[Droit Utilisation]],P688)</f>
        <v>318379.73082438647</v>
      </c>
      <c r="N689" s="15">
        <f>Output[[#This Row],[Capital Debut Period]]*Output[[#This Row],[Tx_interet_M]]</f>
        <v>795.9493270609662</v>
      </c>
      <c r="O689" s="15">
        <f>Output[[#This Row],[Mensualité initial]]-Output[[#This Row],[Interet]]</f>
        <v>5204.0506729390336</v>
      </c>
      <c r="P689" s="15">
        <f>Output[[#This Row],[Capital Debut Period]]-Output[[#This Row],[Paiement Principal]]</f>
        <v>313175.68015144742</v>
      </c>
      <c r="Q689" s="15">
        <f>Output[[#This Row],[Droit Utilisation]]/Output[[#This Row],[Duree_Mois]]</f>
        <v>5565.2357686805326</v>
      </c>
    </row>
    <row r="690" spans="1:17" x14ac:dyDescent="0.25">
      <c r="A690" s="11" t="s">
        <v>12</v>
      </c>
      <c r="B690" s="12">
        <v>43831</v>
      </c>
      <c r="C690">
        <v>6000</v>
      </c>
      <c r="D690">
        <v>5</v>
      </c>
      <c r="E690">
        <v>0.03</v>
      </c>
      <c r="F690">
        <v>60</v>
      </c>
      <c r="G690" s="13">
        <v>43982</v>
      </c>
      <c r="H690">
        <v>689</v>
      </c>
      <c r="I690">
        <v>5</v>
      </c>
      <c r="J690">
        <v>2.5000000000000001E-3</v>
      </c>
      <c r="K690" s="14">
        <v>5925.5592350827301</v>
      </c>
      <c r="L690" s="14">
        <v>333914.14612083195</v>
      </c>
      <c r="M690" s="36">
        <f>IF(Output[[#This Row],[Index]]=1,Output[[#This Row],[Droit Utilisation]],P689)</f>
        <v>313175.68015144742</v>
      </c>
      <c r="N690" s="15">
        <f>Output[[#This Row],[Capital Debut Period]]*Output[[#This Row],[Tx_interet_M]]</f>
        <v>782.93920037861858</v>
      </c>
      <c r="O690" s="15">
        <f>Output[[#This Row],[Mensualité initial]]-Output[[#This Row],[Interet]]</f>
        <v>5217.0607996213812</v>
      </c>
      <c r="P690" s="15">
        <f>Output[[#This Row],[Capital Debut Period]]-Output[[#This Row],[Paiement Principal]]</f>
        <v>307958.61935182603</v>
      </c>
      <c r="Q690" s="15">
        <f>Output[[#This Row],[Droit Utilisation]]/Output[[#This Row],[Duree_Mois]]</f>
        <v>5565.2357686805326</v>
      </c>
    </row>
    <row r="691" spans="1:17" x14ac:dyDescent="0.25">
      <c r="A691" s="11" t="s">
        <v>12</v>
      </c>
      <c r="B691" s="12">
        <v>43831</v>
      </c>
      <c r="C691">
        <v>6000</v>
      </c>
      <c r="D691">
        <v>5</v>
      </c>
      <c r="E691">
        <v>0.03</v>
      </c>
      <c r="F691">
        <v>60</v>
      </c>
      <c r="G691" s="13">
        <v>44012</v>
      </c>
      <c r="H691">
        <v>690</v>
      </c>
      <c r="I691">
        <v>6</v>
      </c>
      <c r="J691">
        <v>2.5000000000000001E-3</v>
      </c>
      <c r="K691" s="14">
        <v>5910.7822793842697</v>
      </c>
      <c r="L691" s="14">
        <v>333914.14612083195</v>
      </c>
      <c r="M691" s="36">
        <f>IF(Output[[#This Row],[Index]]=1,Output[[#This Row],[Droit Utilisation]],P690)</f>
        <v>307958.61935182603</v>
      </c>
      <c r="N691" s="15">
        <f>Output[[#This Row],[Capital Debut Period]]*Output[[#This Row],[Tx_interet_M]]</f>
        <v>769.89654837956505</v>
      </c>
      <c r="O691" s="15">
        <f>Output[[#This Row],[Mensualité initial]]-Output[[#This Row],[Interet]]</f>
        <v>5230.1034516204345</v>
      </c>
      <c r="P691" s="15">
        <f>Output[[#This Row],[Capital Debut Period]]-Output[[#This Row],[Paiement Principal]]</f>
        <v>302728.51590020559</v>
      </c>
      <c r="Q691" s="15">
        <f>Output[[#This Row],[Droit Utilisation]]/Output[[#This Row],[Duree_Mois]]</f>
        <v>5565.2357686805326</v>
      </c>
    </row>
    <row r="692" spans="1:17" x14ac:dyDescent="0.25">
      <c r="A692" s="11" t="s">
        <v>12</v>
      </c>
      <c r="B692" s="12">
        <v>43831</v>
      </c>
      <c r="C692">
        <v>6000</v>
      </c>
      <c r="D692">
        <v>5</v>
      </c>
      <c r="E692">
        <v>0.03</v>
      </c>
      <c r="F692">
        <v>60</v>
      </c>
      <c r="G692" s="13">
        <v>44043</v>
      </c>
      <c r="H692">
        <v>691</v>
      </c>
      <c r="I692">
        <v>7</v>
      </c>
      <c r="J692">
        <v>2.5000000000000001E-3</v>
      </c>
      <c r="K692" s="14">
        <v>5896.0421739493959</v>
      </c>
      <c r="L692" s="14">
        <v>333914.14612083195</v>
      </c>
      <c r="M692" s="36">
        <f>IF(Output[[#This Row],[Index]]=1,Output[[#This Row],[Droit Utilisation]],P691)</f>
        <v>302728.51590020559</v>
      </c>
      <c r="N692" s="15">
        <f>Output[[#This Row],[Capital Debut Period]]*Output[[#This Row],[Tx_interet_M]]</f>
        <v>756.82128975051398</v>
      </c>
      <c r="O692" s="15">
        <f>Output[[#This Row],[Mensualité initial]]-Output[[#This Row],[Interet]]</f>
        <v>5243.1787102494864</v>
      </c>
      <c r="P692" s="15">
        <f>Output[[#This Row],[Capital Debut Period]]-Output[[#This Row],[Paiement Principal]]</f>
        <v>297485.3371899561</v>
      </c>
      <c r="Q692" s="15">
        <f>Output[[#This Row],[Droit Utilisation]]/Output[[#This Row],[Duree_Mois]]</f>
        <v>5565.2357686805326</v>
      </c>
    </row>
    <row r="693" spans="1:17" x14ac:dyDescent="0.25">
      <c r="A693" s="11" t="s">
        <v>12</v>
      </c>
      <c r="B693" s="12">
        <v>43831</v>
      </c>
      <c r="C693">
        <v>6000</v>
      </c>
      <c r="D693">
        <v>5</v>
      </c>
      <c r="E693">
        <v>0.03</v>
      </c>
      <c r="F693">
        <v>60</v>
      </c>
      <c r="G693" s="13">
        <v>44074</v>
      </c>
      <c r="H693">
        <v>692</v>
      </c>
      <c r="I693">
        <v>8</v>
      </c>
      <c r="J693">
        <v>2.5000000000000001E-3</v>
      </c>
      <c r="K693" s="14">
        <v>5881.3388268821909</v>
      </c>
      <c r="L693" s="14">
        <v>333914.14612083195</v>
      </c>
      <c r="M693" s="36">
        <f>IF(Output[[#This Row],[Index]]=1,Output[[#This Row],[Droit Utilisation]],P692)</f>
        <v>297485.3371899561</v>
      </c>
      <c r="N693" s="15">
        <f>Output[[#This Row],[Capital Debut Period]]*Output[[#This Row],[Tx_interet_M]]</f>
        <v>743.71334297489022</v>
      </c>
      <c r="O693" s="15">
        <f>Output[[#This Row],[Mensualité initial]]-Output[[#This Row],[Interet]]</f>
        <v>5256.2866570251099</v>
      </c>
      <c r="P693" s="15">
        <f>Output[[#This Row],[Capital Debut Period]]-Output[[#This Row],[Paiement Principal]]</f>
        <v>292229.050532931</v>
      </c>
      <c r="Q693" s="15">
        <f>Output[[#This Row],[Droit Utilisation]]/Output[[#This Row],[Duree_Mois]]</f>
        <v>5565.2357686805326</v>
      </c>
    </row>
    <row r="694" spans="1:17" x14ac:dyDescent="0.25">
      <c r="A694" s="11" t="s">
        <v>12</v>
      </c>
      <c r="B694" s="12">
        <v>43831</v>
      </c>
      <c r="C694">
        <v>6000</v>
      </c>
      <c r="D694">
        <v>5</v>
      </c>
      <c r="E694">
        <v>0.03</v>
      </c>
      <c r="F694">
        <v>60</v>
      </c>
      <c r="G694" s="13">
        <v>44104</v>
      </c>
      <c r="H694">
        <v>693</v>
      </c>
      <c r="I694">
        <v>9</v>
      </c>
      <c r="J694">
        <v>2.5000000000000001E-3</v>
      </c>
      <c r="K694" s="14">
        <v>5866.6721465159017</v>
      </c>
      <c r="L694" s="14">
        <v>333914.14612083195</v>
      </c>
      <c r="M694" s="36">
        <f>IF(Output[[#This Row],[Index]]=1,Output[[#This Row],[Droit Utilisation]],P693)</f>
        <v>292229.050532931</v>
      </c>
      <c r="N694" s="15">
        <f>Output[[#This Row],[Capital Debut Period]]*Output[[#This Row],[Tx_interet_M]]</f>
        <v>730.57262633232756</v>
      </c>
      <c r="O694" s="15">
        <f>Output[[#This Row],[Mensualité initial]]-Output[[#This Row],[Interet]]</f>
        <v>5269.4273736676723</v>
      </c>
      <c r="P694" s="15">
        <f>Output[[#This Row],[Capital Debut Period]]-Output[[#This Row],[Paiement Principal]]</f>
        <v>286959.62315926334</v>
      </c>
      <c r="Q694" s="15">
        <f>Output[[#This Row],[Droit Utilisation]]/Output[[#This Row],[Duree_Mois]]</f>
        <v>5565.2357686805326</v>
      </c>
    </row>
    <row r="695" spans="1:17" x14ac:dyDescent="0.25">
      <c r="A695" s="11" t="s">
        <v>12</v>
      </c>
      <c r="B695" s="12">
        <v>43831</v>
      </c>
      <c r="C695">
        <v>6000</v>
      </c>
      <c r="D695">
        <v>5</v>
      </c>
      <c r="E695">
        <v>0.03</v>
      </c>
      <c r="F695">
        <v>60</v>
      </c>
      <c r="G695" s="13">
        <v>44135</v>
      </c>
      <c r="H695">
        <v>694</v>
      </c>
      <c r="I695">
        <v>10</v>
      </c>
      <c r="J695">
        <v>2.5000000000000001E-3</v>
      </c>
      <c r="K695" s="14">
        <v>5852.042041412371</v>
      </c>
      <c r="L695" s="14">
        <v>333914.14612083195</v>
      </c>
      <c r="M695" s="36">
        <f>IF(Output[[#This Row],[Index]]=1,Output[[#This Row],[Droit Utilisation]],P694)</f>
        <v>286959.62315926334</v>
      </c>
      <c r="N695" s="15">
        <f>Output[[#This Row],[Capital Debut Period]]*Output[[#This Row],[Tx_interet_M]]</f>
        <v>717.39905789815839</v>
      </c>
      <c r="O695" s="15">
        <f>Output[[#This Row],[Mensualité initial]]-Output[[#This Row],[Interet]]</f>
        <v>5282.6009421018416</v>
      </c>
      <c r="P695" s="15">
        <f>Output[[#This Row],[Capital Debut Period]]-Output[[#This Row],[Paiement Principal]]</f>
        <v>281677.02221716149</v>
      </c>
      <c r="Q695" s="15">
        <f>Output[[#This Row],[Droit Utilisation]]/Output[[#This Row],[Duree_Mois]]</f>
        <v>5565.2357686805326</v>
      </c>
    </row>
    <row r="696" spans="1:17" x14ac:dyDescent="0.25">
      <c r="A696" s="11" t="s">
        <v>12</v>
      </c>
      <c r="B696" s="12">
        <v>43831</v>
      </c>
      <c r="C696">
        <v>6000</v>
      </c>
      <c r="D696">
        <v>5</v>
      </c>
      <c r="E696">
        <v>0.03</v>
      </c>
      <c r="F696">
        <v>60</v>
      </c>
      <c r="G696" s="13">
        <v>44165</v>
      </c>
      <c r="H696">
        <v>695</v>
      </c>
      <c r="I696">
        <v>11</v>
      </c>
      <c r="J696">
        <v>2.5000000000000001E-3</v>
      </c>
      <c r="K696" s="14">
        <v>5837.4484203614675</v>
      </c>
      <c r="L696" s="14">
        <v>333914.14612083195</v>
      </c>
      <c r="M696" s="36">
        <f>IF(Output[[#This Row],[Index]]=1,Output[[#This Row],[Droit Utilisation]],P695)</f>
        <v>281677.02221716149</v>
      </c>
      <c r="N696" s="15">
        <f>Output[[#This Row],[Capital Debut Period]]*Output[[#This Row],[Tx_interet_M]]</f>
        <v>704.19255554290373</v>
      </c>
      <c r="O696" s="15">
        <f>Output[[#This Row],[Mensualité initial]]-Output[[#This Row],[Interet]]</f>
        <v>5295.8074444570966</v>
      </c>
      <c r="P696" s="15">
        <f>Output[[#This Row],[Capital Debut Period]]-Output[[#This Row],[Paiement Principal]]</f>
        <v>276381.21477270441</v>
      </c>
      <c r="Q696" s="15">
        <f>Output[[#This Row],[Droit Utilisation]]/Output[[#This Row],[Duree_Mois]]</f>
        <v>5565.2357686805326</v>
      </c>
    </row>
    <row r="697" spans="1:17" x14ac:dyDescent="0.25">
      <c r="A697" s="11" t="s">
        <v>12</v>
      </c>
      <c r="B697" s="12">
        <v>43831</v>
      </c>
      <c r="C697">
        <v>6000</v>
      </c>
      <c r="D697">
        <v>5</v>
      </c>
      <c r="E697">
        <v>0.03</v>
      </c>
      <c r="F697">
        <v>60</v>
      </c>
      <c r="G697" s="13">
        <v>44196</v>
      </c>
      <c r="H697">
        <v>696</v>
      </c>
      <c r="I697">
        <v>12</v>
      </c>
      <c r="J697">
        <v>2.5000000000000001E-3</v>
      </c>
      <c r="K697" s="14">
        <v>5822.8911923805163</v>
      </c>
      <c r="L697" s="14">
        <v>333914.14612083195</v>
      </c>
      <c r="M697" s="36">
        <f>IF(Output[[#This Row],[Index]]=1,Output[[#This Row],[Droit Utilisation]],P696)</f>
        <v>276381.21477270441</v>
      </c>
      <c r="N697" s="15">
        <f>Output[[#This Row],[Capital Debut Period]]*Output[[#This Row],[Tx_interet_M]]</f>
        <v>690.95303693176106</v>
      </c>
      <c r="O697" s="15">
        <f>Output[[#This Row],[Mensualité initial]]-Output[[#This Row],[Interet]]</f>
        <v>5309.0469630682392</v>
      </c>
      <c r="P697" s="15">
        <f>Output[[#This Row],[Capital Debut Period]]-Output[[#This Row],[Paiement Principal]]</f>
        <v>271072.16780963616</v>
      </c>
      <c r="Q697" s="15">
        <f>Output[[#This Row],[Droit Utilisation]]/Output[[#This Row],[Duree_Mois]]</f>
        <v>5565.2357686805326</v>
      </c>
    </row>
    <row r="698" spans="1:17" x14ac:dyDescent="0.25">
      <c r="A698" s="11" t="s">
        <v>12</v>
      </c>
      <c r="B698" s="12">
        <v>43831</v>
      </c>
      <c r="C698">
        <v>6000</v>
      </c>
      <c r="D698">
        <v>5</v>
      </c>
      <c r="E698">
        <v>0.03</v>
      </c>
      <c r="F698">
        <v>60</v>
      </c>
      <c r="G698" s="13">
        <v>44227</v>
      </c>
      <c r="H698">
        <v>697</v>
      </c>
      <c r="I698">
        <v>13</v>
      </c>
      <c r="J698">
        <v>2.5000000000000001E-3</v>
      </c>
      <c r="K698" s="14">
        <v>5808.3702667137322</v>
      </c>
      <c r="L698" s="14">
        <v>333914.14612083195</v>
      </c>
      <c r="M698" s="36">
        <f>IF(Output[[#This Row],[Index]]=1,Output[[#This Row],[Droit Utilisation]],P697)</f>
        <v>271072.16780963616</v>
      </c>
      <c r="N698" s="15">
        <f>Output[[#This Row],[Capital Debut Period]]*Output[[#This Row],[Tx_interet_M]]</f>
        <v>677.68041952409044</v>
      </c>
      <c r="O698" s="15">
        <f>Output[[#This Row],[Mensualité initial]]-Output[[#This Row],[Interet]]</f>
        <v>5322.3195804759098</v>
      </c>
      <c r="P698" s="15">
        <f>Output[[#This Row],[Capital Debut Period]]-Output[[#This Row],[Paiement Principal]]</f>
        <v>265749.84822916024</v>
      </c>
      <c r="Q698" s="15">
        <f>Output[[#This Row],[Droit Utilisation]]/Output[[#This Row],[Duree_Mois]]</f>
        <v>5565.2357686805326</v>
      </c>
    </row>
    <row r="699" spans="1:17" x14ac:dyDescent="0.25">
      <c r="A699" s="11" t="s">
        <v>12</v>
      </c>
      <c r="B699" s="12">
        <v>43831</v>
      </c>
      <c r="C699">
        <v>6000</v>
      </c>
      <c r="D699">
        <v>5</v>
      </c>
      <c r="E699">
        <v>0.03</v>
      </c>
      <c r="F699">
        <v>60</v>
      </c>
      <c r="G699" s="13">
        <v>44255</v>
      </c>
      <c r="H699">
        <v>698</v>
      </c>
      <c r="I699">
        <v>14</v>
      </c>
      <c r="J699">
        <v>2.5000000000000001E-3</v>
      </c>
      <c r="K699" s="14">
        <v>5793.8855528316535</v>
      </c>
      <c r="L699" s="14">
        <v>333914.14612083195</v>
      </c>
      <c r="M699" s="36">
        <f>IF(Output[[#This Row],[Index]]=1,Output[[#This Row],[Droit Utilisation]],P698)</f>
        <v>265749.84822916024</v>
      </c>
      <c r="N699" s="15">
        <f>Output[[#This Row],[Capital Debut Period]]*Output[[#This Row],[Tx_interet_M]]</f>
        <v>664.37462057290065</v>
      </c>
      <c r="O699" s="15">
        <f>Output[[#This Row],[Mensualité initial]]-Output[[#This Row],[Interet]]</f>
        <v>5335.6253794270997</v>
      </c>
      <c r="P699" s="15">
        <f>Output[[#This Row],[Capital Debut Period]]-Output[[#This Row],[Paiement Principal]]</f>
        <v>260414.22284973314</v>
      </c>
      <c r="Q699" s="15">
        <f>Output[[#This Row],[Droit Utilisation]]/Output[[#This Row],[Duree_Mois]]</f>
        <v>5565.2357686805326</v>
      </c>
    </row>
    <row r="700" spans="1:17" x14ac:dyDescent="0.25">
      <c r="A700" s="11" t="s">
        <v>12</v>
      </c>
      <c r="B700" s="12">
        <v>43831</v>
      </c>
      <c r="C700">
        <v>6000</v>
      </c>
      <c r="D700">
        <v>5</v>
      </c>
      <c r="E700">
        <v>0.03</v>
      </c>
      <c r="F700">
        <v>60</v>
      </c>
      <c r="G700" s="13">
        <v>44286</v>
      </c>
      <c r="H700">
        <v>699</v>
      </c>
      <c r="I700">
        <v>15</v>
      </c>
      <c r="J700">
        <v>2.5000000000000001E-3</v>
      </c>
      <c r="K700" s="14">
        <v>5779.4369604305775</v>
      </c>
      <c r="L700" s="14">
        <v>333914.14612083195</v>
      </c>
      <c r="M700" s="36">
        <f>IF(Output[[#This Row],[Index]]=1,Output[[#This Row],[Droit Utilisation]],P699)</f>
        <v>260414.22284973314</v>
      </c>
      <c r="N700" s="15">
        <f>Output[[#This Row],[Capital Debut Period]]*Output[[#This Row],[Tx_interet_M]]</f>
        <v>651.03555712433285</v>
      </c>
      <c r="O700" s="15">
        <f>Output[[#This Row],[Mensualité initial]]-Output[[#This Row],[Interet]]</f>
        <v>5348.9644428756674</v>
      </c>
      <c r="P700" s="15">
        <f>Output[[#This Row],[Capital Debut Period]]-Output[[#This Row],[Paiement Principal]]</f>
        <v>255065.25840685747</v>
      </c>
      <c r="Q700" s="15">
        <f>Output[[#This Row],[Droit Utilisation]]/Output[[#This Row],[Duree_Mois]]</f>
        <v>5565.2357686805326</v>
      </c>
    </row>
    <row r="701" spans="1:17" x14ac:dyDescent="0.25">
      <c r="A701" s="11" t="s">
        <v>12</v>
      </c>
      <c r="B701" s="12">
        <v>43831</v>
      </c>
      <c r="C701">
        <v>6000</v>
      </c>
      <c r="D701">
        <v>5</v>
      </c>
      <c r="E701">
        <v>0.03</v>
      </c>
      <c r="F701">
        <v>60</v>
      </c>
      <c r="G701" s="13">
        <v>44316</v>
      </c>
      <c r="H701">
        <v>700</v>
      </c>
      <c r="I701">
        <v>16</v>
      </c>
      <c r="J701">
        <v>2.5000000000000001E-3</v>
      </c>
      <c r="K701" s="14">
        <v>5765.0243994319981</v>
      </c>
      <c r="L701" s="14">
        <v>333914.14612083195</v>
      </c>
      <c r="M701" s="36">
        <f>IF(Output[[#This Row],[Index]]=1,Output[[#This Row],[Droit Utilisation]],P700)</f>
        <v>255065.25840685747</v>
      </c>
      <c r="N701" s="15">
        <f>Output[[#This Row],[Capital Debut Period]]*Output[[#This Row],[Tx_interet_M]]</f>
        <v>637.66314601714373</v>
      </c>
      <c r="O701" s="15">
        <f>Output[[#This Row],[Mensualité initial]]-Output[[#This Row],[Interet]]</f>
        <v>5362.3368539828562</v>
      </c>
      <c r="P701" s="15">
        <f>Output[[#This Row],[Capital Debut Period]]-Output[[#This Row],[Paiement Principal]]</f>
        <v>249702.92155287461</v>
      </c>
      <c r="Q701" s="15">
        <f>Output[[#This Row],[Droit Utilisation]]/Output[[#This Row],[Duree_Mois]]</f>
        <v>5565.2357686805326</v>
      </c>
    </row>
    <row r="702" spans="1:17" x14ac:dyDescent="0.25">
      <c r="A702" s="11" t="s">
        <v>12</v>
      </c>
      <c r="B702" s="12">
        <v>43831</v>
      </c>
      <c r="C702">
        <v>6000</v>
      </c>
      <c r="D702">
        <v>5</v>
      </c>
      <c r="E702">
        <v>0.03</v>
      </c>
      <c r="F702">
        <v>60</v>
      </c>
      <c r="G702" s="13">
        <v>44347</v>
      </c>
      <c r="H702">
        <v>701</v>
      </c>
      <c r="I702">
        <v>17</v>
      </c>
      <c r="J702">
        <v>2.5000000000000001E-3</v>
      </c>
      <c r="K702" s="14">
        <v>5750.6477799820432</v>
      </c>
      <c r="L702" s="14">
        <v>333914.14612083195</v>
      </c>
      <c r="M702" s="36">
        <f>IF(Output[[#This Row],[Index]]=1,Output[[#This Row],[Droit Utilisation]],P701)</f>
        <v>249702.92155287461</v>
      </c>
      <c r="N702" s="15">
        <f>Output[[#This Row],[Capital Debut Period]]*Output[[#This Row],[Tx_interet_M]]</f>
        <v>624.25730388218653</v>
      </c>
      <c r="O702" s="15">
        <f>Output[[#This Row],[Mensualité initial]]-Output[[#This Row],[Interet]]</f>
        <v>5375.7426961178135</v>
      </c>
      <c r="P702" s="15">
        <f>Output[[#This Row],[Capital Debut Period]]-Output[[#This Row],[Paiement Principal]]</f>
        <v>244327.1788567568</v>
      </c>
      <c r="Q702" s="15">
        <f>Output[[#This Row],[Droit Utilisation]]/Output[[#This Row],[Duree_Mois]]</f>
        <v>5565.2357686805326</v>
      </c>
    </row>
    <row r="703" spans="1:17" x14ac:dyDescent="0.25">
      <c r="A703" s="11" t="s">
        <v>12</v>
      </c>
      <c r="B703" s="12">
        <v>43831</v>
      </c>
      <c r="C703">
        <v>6000</v>
      </c>
      <c r="D703">
        <v>5</v>
      </c>
      <c r="E703">
        <v>0.03</v>
      </c>
      <c r="F703">
        <v>60</v>
      </c>
      <c r="G703" s="13">
        <v>44377</v>
      </c>
      <c r="H703">
        <v>702</v>
      </c>
      <c r="I703">
        <v>18</v>
      </c>
      <c r="J703">
        <v>2.5000000000000001E-3</v>
      </c>
      <c r="K703" s="14">
        <v>5736.3070124509168</v>
      </c>
      <c r="L703" s="14">
        <v>333914.14612083195</v>
      </c>
      <c r="M703" s="36">
        <f>IF(Output[[#This Row],[Index]]=1,Output[[#This Row],[Droit Utilisation]],P702)</f>
        <v>244327.1788567568</v>
      </c>
      <c r="N703" s="15">
        <f>Output[[#This Row],[Capital Debut Period]]*Output[[#This Row],[Tx_interet_M]]</f>
        <v>610.81794714189198</v>
      </c>
      <c r="O703" s="15">
        <f>Output[[#This Row],[Mensualité initial]]-Output[[#This Row],[Interet]]</f>
        <v>5389.1820528581084</v>
      </c>
      <c r="P703" s="15">
        <f>Output[[#This Row],[Capital Debut Period]]-Output[[#This Row],[Paiement Principal]]</f>
        <v>238937.99680389868</v>
      </c>
      <c r="Q703" s="15">
        <f>Output[[#This Row],[Droit Utilisation]]/Output[[#This Row],[Duree_Mois]]</f>
        <v>5565.2357686805326</v>
      </c>
    </row>
    <row r="704" spans="1:17" x14ac:dyDescent="0.25">
      <c r="A704" s="11" t="s">
        <v>12</v>
      </c>
      <c r="B704" s="12">
        <v>43831</v>
      </c>
      <c r="C704">
        <v>6000</v>
      </c>
      <c r="D704">
        <v>5</v>
      </c>
      <c r="E704">
        <v>0.03</v>
      </c>
      <c r="F704">
        <v>60</v>
      </c>
      <c r="G704" s="13">
        <v>44408</v>
      </c>
      <c r="H704">
        <v>703</v>
      </c>
      <c r="I704">
        <v>19</v>
      </c>
      <c r="J704">
        <v>2.5000000000000001E-3</v>
      </c>
      <c r="K704" s="14">
        <v>5722.0020074323356</v>
      </c>
      <c r="L704" s="14">
        <v>333914.14612083195</v>
      </c>
      <c r="M704" s="36">
        <f>IF(Output[[#This Row],[Index]]=1,Output[[#This Row],[Droit Utilisation]],P703)</f>
        <v>238937.99680389868</v>
      </c>
      <c r="N704" s="15">
        <f>Output[[#This Row],[Capital Debut Period]]*Output[[#This Row],[Tx_interet_M]]</f>
        <v>597.34499200974676</v>
      </c>
      <c r="O704" s="15">
        <f>Output[[#This Row],[Mensualité initial]]-Output[[#This Row],[Interet]]</f>
        <v>5402.6550079902536</v>
      </c>
      <c r="P704" s="15">
        <f>Output[[#This Row],[Capital Debut Period]]-Output[[#This Row],[Paiement Principal]]</f>
        <v>233535.34179590843</v>
      </c>
      <c r="Q704" s="15">
        <f>Output[[#This Row],[Droit Utilisation]]/Output[[#This Row],[Duree_Mois]]</f>
        <v>5565.2357686805326</v>
      </c>
    </row>
    <row r="705" spans="1:17" x14ac:dyDescent="0.25">
      <c r="A705" s="11" t="s">
        <v>12</v>
      </c>
      <c r="B705" s="12">
        <v>43831</v>
      </c>
      <c r="C705">
        <v>6000</v>
      </c>
      <c r="D705">
        <v>5</v>
      </c>
      <c r="E705">
        <v>0.03</v>
      </c>
      <c r="F705">
        <v>60</v>
      </c>
      <c r="G705" s="13">
        <v>44439</v>
      </c>
      <c r="H705">
        <v>704</v>
      </c>
      <c r="I705">
        <v>20</v>
      </c>
      <c r="J705">
        <v>2.5000000000000001E-3</v>
      </c>
      <c r="K705" s="14">
        <v>5707.7326757429792</v>
      </c>
      <c r="L705" s="14">
        <v>333914.14612083195</v>
      </c>
      <c r="M705" s="36">
        <f>IF(Output[[#This Row],[Index]]=1,Output[[#This Row],[Droit Utilisation]],P704)</f>
        <v>233535.34179590843</v>
      </c>
      <c r="N705" s="15">
        <f>Output[[#This Row],[Capital Debut Period]]*Output[[#This Row],[Tx_interet_M]]</f>
        <v>583.83835448977106</v>
      </c>
      <c r="O705" s="15">
        <f>Output[[#This Row],[Mensualité initial]]-Output[[#This Row],[Interet]]</f>
        <v>5416.1616455102285</v>
      </c>
      <c r="P705" s="15">
        <f>Output[[#This Row],[Capital Debut Period]]-Output[[#This Row],[Paiement Principal]]</f>
        <v>228119.1801503982</v>
      </c>
      <c r="Q705" s="15">
        <f>Output[[#This Row],[Droit Utilisation]]/Output[[#This Row],[Duree_Mois]]</f>
        <v>5565.2357686805326</v>
      </c>
    </row>
    <row r="706" spans="1:17" x14ac:dyDescent="0.25">
      <c r="A706" s="11" t="s">
        <v>12</v>
      </c>
      <c r="B706" s="12">
        <v>43831</v>
      </c>
      <c r="C706">
        <v>6000</v>
      </c>
      <c r="D706">
        <v>5</v>
      </c>
      <c r="E706">
        <v>0.03</v>
      </c>
      <c r="F706">
        <v>60</v>
      </c>
      <c r="G706" s="13">
        <v>44469</v>
      </c>
      <c r="H706">
        <v>705</v>
      </c>
      <c r="I706">
        <v>21</v>
      </c>
      <c r="J706">
        <v>2.5000000000000001E-3</v>
      </c>
      <c r="K706" s="14">
        <v>5693.4989284219246</v>
      </c>
      <c r="L706" s="14">
        <v>333914.14612083195</v>
      </c>
      <c r="M706" s="36">
        <f>IF(Output[[#This Row],[Index]]=1,Output[[#This Row],[Droit Utilisation]],P705)</f>
        <v>228119.1801503982</v>
      </c>
      <c r="N706" s="15">
        <f>Output[[#This Row],[Capital Debut Period]]*Output[[#This Row],[Tx_interet_M]]</f>
        <v>570.29795037599547</v>
      </c>
      <c r="O706" s="15">
        <f>Output[[#This Row],[Mensualité initial]]-Output[[#This Row],[Interet]]</f>
        <v>5429.7020496240048</v>
      </c>
      <c r="P706" s="15">
        <f>Output[[#This Row],[Capital Debut Period]]-Output[[#This Row],[Paiement Principal]]</f>
        <v>222689.4781007742</v>
      </c>
      <c r="Q706" s="15">
        <f>Output[[#This Row],[Droit Utilisation]]/Output[[#This Row],[Duree_Mois]]</f>
        <v>5565.2357686805326</v>
      </c>
    </row>
    <row r="707" spans="1:17" x14ac:dyDescent="0.25">
      <c r="A707" s="11" t="s">
        <v>12</v>
      </c>
      <c r="B707" s="12">
        <v>43831</v>
      </c>
      <c r="C707">
        <v>6000</v>
      </c>
      <c r="D707">
        <v>5</v>
      </c>
      <c r="E707">
        <v>0.03</v>
      </c>
      <c r="F707">
        <v>60</v>
      </c>
      <c r="G707" s="13">
        <v>44500</v>
      </c>
      <c r="H707">
        <v>706</v>
      </c>
      <c r="I707">
        <v>22</v>
      </c>
      <c r="J707">
        <v>2.5000000000000001E-3</v>
      </c>
      <c r="K707" s="14">
        <v>5679.3006767300994</v>
      </c>
      <c r="L707" s="14">
        <v>333914.14612083195</v>
      </c>
      <c r="M707" s="36">
        <f>IF(Output[[#This Row],[Index]]=1,Output[[#This Row],[Droit Utilisation]],P706)</f>
        <v>222689.4781007742</v>
      </c>
      <c r="N707" s="15">
        <f>Output[[#This Row],[Capital Debut Period]]*Output[[#This Row],[Tx_interet_M]]</f>
        <v>556.72369525193551</v>
      </c>
      <c r="O707" s="15">
        <f>Output[[#This Row],[Mensualité initial]]-Output[[#This Row],[Interet]]</f>
        <v>5443.2763047480648</v>
      </c>
      <c r="P707" s="15">
        <f>Output[[#This Row],[Capital Debut Period]]-Output[[#This Row],[Paiement Principal]]</f>
        <v>217246.20179602614</v>
      </c>
      <c r="Q707" s="15">
        <f>Output[[#This Row],[Droit Utilisation]]/Output[[#This Row],[Duree_Mois]]</f>
        <v>5565.2357686805326</v>
      </c>
    </row>
    <row r="708" spans="1:17" x14ac:dyDescent="0.25">
      <c r="A708" s="11" t="s">
        <v>12</v>
      </c>
      <c r="B708" s="12">
        <v>43831</v>
      </c>
      <c r="C708">
        <v>6000</v>
      </c>
      <c r="D708">
        <v>5</v>
      </c>
      <c r="E708">
        <v>0.03</v>
      </c>
      <c r="F708">
        <v>60</v>
      </c>
      <c r="G708" s="13">
        <v>44530</v>
      </c>
      <c r="H708">
        <v>707</v>
      </c>
      <c r="I708">
        <v>23</v>
      </c>
      <c r="J708">
        <v>2.5000000000000001E-3</v>
      </c>
      <c r="K708" s="14">
        <v>5665.137832149725</v>
      </c>
      <c r="L708" s="14">
        <v>333914.14612083195</v>
      </c>
      <c r="M708" s="36">
        <f>IF(Output[[#This Row],[Index]]=1,Output[[#This Row],[Droit Utilisation]],P707)</f>
        <v>217246.20179602614</v>
      </c>
      <c r="N708" s="15">
        <f>Output[[#This Row],[Capital Debut Period]]*Output[[#This Row],[Tx_interet_M]]</f>
        <v>543.1155044900654</v>
      </c>
      <c r="O708" s="15">
        <f>Output[[#This Row],[Mensualité initial]]-Output[[#This Row],[Interet]]</f>
        <v>5456.8844955099348</v>
      </c>
      <c r="P708" s="15">
        <f>Output[[#This Row],[Capital Debut Period]]-Output[[#This Row],[Paiement Principal]]</f>
        <v>211789.31730051621</v>
      </c>
      <c r="Q708" s="15">
        <f>Output[[#This Row],[Droit Utilisation]]/Output[[#This Row],[Duree_Mois]]</f>
        <v>5565.2357686805326</v>
      </c>
    </row>
    <row r="709" spans="1:17" x14ac:dyDescent="0.25">
      <c r="A709" s="11" t="s">
        <v>12</v>
      </c>
      <c r="B709" s="12">
        <v>43831</v>
      </c>
      <c r="C709">
        <v>6000</v>
      </c>
      <c r="D709">
        <v>5</v>
      </c>
      <c r="E709">
        <v>0.03</v>
      </c>
      <c r="F709">
        <v>60</v>
      </c>
      <c r="G709" s="13">
        <v>44561</v>
      </c>
      <c r="H709">
        <v>708</v>
      </c>
      <c r="I709">
        <v>24</v>
      </c>
      <c r="J709">
        <v>2.5000000000000001E-3</v>
      </c>
      <c r="K709" s="14">
        <v>5651.010306383766</v>
      </c>
      <c r="L709" s="14">
        <v>333914.14612083195</v>
      </c>
      <c r="M709" s="36">
        <f>IF(Output[[#This Row],[Index]]=1,Output[[#This Row],[Droit Utilisation]],P708)</f>
        <v>211789.31730051621</v>
      </c>
      <c r="N709" s="15">
        <f>Output[[#This Row],[Capital Debut Period]]*Output[[#This Row],[Tx_interet_M]]</f>
        <v>529.47329325129056</v>
      </c>
      <c r="O709" s="15">
        <f>Output[[#This Row],[Mensualité initial]]-Output[[#This Row],[Interet]]</f>
        <v>5470.5267067487093</v>
      </c>
      <c r="P709" s="15">
        <f>Output[[#This Row],[Capital Debut Period]]-Output[[#This Row],[Paiement Principal]]</f>
        <v>206318.79059376751</v>
      </c>
      <c r="Q709" s="15">
        <f>Output[[#This Row],[Droit Utilisation]]/Output[[#This Row],[Duree_Mois]]</f>
        <v>5565.2357686805326</v>
      </c>
    </row>
    <row r="710" spans="1:17" x14ac:dyDescent="0.25">
      <c r="A710" s="11" t="s">
        <v>12</v>
      </c>
      <c r="B710" s="12">
        <v>43831</v>
      </c>
      <c r="C710">
        <v>6000</v>
      </c>
      <c r="D710">
        <v>5</v>
      </c>
      <c r="E710">
        <v>0.03</v>
      </c>
      <c r="F710">
        <v>60</v>
      </c>
      <c r="G710" s="13">
        <v>44592</v>
      </c>
      <c r="H710">
        <v>709</v>
      </c>
      <c r="I710">
        <v>25</v>
      </c>
      <c r="J710">
        <v>2.5000000000000001E-3</v>
      </c>
      <c r="K710" s="14">
        <v>5636.9180113553775</v>
      </c>
      <c r="L710" s="14">
        <v>333914.14612083195</v>
      </c>
      <c r="M710" s="36">
        <f>IF(Output[[#This Row],[Index]]=1,Output[[#This Row],[Droit Utilisation]],P709)</f>
        <v>206318.79059376751</v>
      </c>
      <c r="N710" s="15">
        <f>Output[[#This Row],[Capital Debut Period]]*Output[[#This Row],[Tx_interet_M]]</f>
        <v>515.79697648441879</v>
      </c>
      <c r="O710" s="15">
        <f>Output[[#This Row],[Mensualité initial]]-Output[[#This Row],[Interet]]</f>
        <v>5484.2030235155817</v>
      </c>
      <c r="P710" s="15">
        <f>Output[[#This Row],[Capital Debut Period]]-Output[[#This Row],[Paiement Principal]]</f>
        <v>200834.58757025193</v>
      </c>
      <c r="Q710" s="15">
        <f>Output[[#This Row],[Droit Utilisation]]/Output[[#This Row],[Duree_Mois]]</f>
        <v>5565.2357686805326</v>
      </c>
    </row>
    <row r="711" spans="1:17" x14ac:dyDescent="0.25">
      <c r="A711" s="11" t="s">
        <v>12</v>
      </c>
      <c r="B711" s="12">
        <v>43831</v>
      </c>
      <c r="C711">
        <v>6000</v>
      </c>
      <c r="D711">
        <v>5</v>
      </c>
      <c r="E711">
        <v>0.03</v>
      </c>
      <c r="F711">
        <v>60</v>
      </c>
      <c r="G711" s="13">
        <v>44620</v>
      </c>
      <c r="H711">
        <v>710</v>
      </c>
      <c r="I711">
        <v>26</v>
      </c>
      <c r="J711">
        <v>2.5000000000000001E-3</v>
      </c>
      <c r="K711" s="14">
        <v>5622.8608592073597</v>
      </c>
      <c r="L711" s="14">
        <v>333914.14612083195</v>
      </c>
      <c r="M711" s="36">
        <f>IF(Output[[#This Row],[Index]]=1,Output[[#This Row],[Droit Utilisation]],P710)</f>
        <v>200834.58757025193</v>
      </c>
      <c r="N711" s="15">
        <f>Output[[#This Row],[Capital Debut Period]]*Output[[#This Row],[Tx_interet_M]]</f>
        <v>502.08646892562984</v>
      </c>
      <c r="O711" s="15">
        <f>Output[[#This Row],[Mensualité initial]]-Output[[#This Row],[Interet]]</f>
        <v>5497.9135310743704</v>
      </c>
      <c r="P711" s="15">
        <f>Output[[#This Row],[Capital Debut Period]]-Output[[#This Row],[Paiement Principal]]</f>
        <v>195336.67403917757</v>
      </c>
      <c r="Q711" s="15">
        <f>Output[[#This Row],[Droit Utilisation]]/Output[[#This Row],[Duree_Mois]]</f>
        <v>5565.2357686805326</v>
      </c>
    </row>
    <row r="712" spans="1:17" x14ac:dyDescent="0.25">
      <c r="A712" s="11" t="s">
        <v>12</v>
      </c>
      <c r="B712" s="12">
        <v>43831</v>
      </c>
      <c r="C712">
        <v>6000</v>
      </c>
      <c r="D712">
        <v>5</v>
      </c>
      <c r="E712">
        <v>0.03</v>
      </c>
      <c r="F712">
        <v>60</v>
      </c>
      <c r="G712" s="13">
        <v>44651</v>
      </c>
      <c r="H712">
        <v>711</v>
      </c>
      <c r="I712">
        <v>27</v>
      </c>
      <c r="J712">
        <v>2.5000000000000001E-3</v>
      </c>
      <c r="K712" s="14">
        <v>5608.838762301606</v>
      </c>
      <c r="L712" s="14">
        <v>333914.14612083195</v>
      </c>
      <c r="M712" s="36">
        <f>IF(Output[[#This Row],[Index]]=1,Output[[#This Row],[Droit Utilisation]],P711)</f>
        <v>195336.67403917757</v>
      </c>
      <c r="N712" s="15">
        <f>Output[[#This Row],[Capital Debut Period]]*Output[[#This Row],[Tx_interet_M]]</f>
        <v>488.34168509794392</v>
      </c>
      <c r="O712" s="15">
        <f>Output[[#This Row],[Mensualité initial]]-Output[[#This Row],[Interet]]</f>
        <v>5511.6583149020562</v>
      </c>
      <c r="P712" s="15">
        <f>Output[[#This Row],[Capital Debut Period]]-Output[[#This Row],[Paiement Principal]]</f>
        <v>189825.01572427552</v>
      </c>
      <c r="Q712" s="15">
        <f>Output[[#This Row],[Droit Utilisation]]/Output[[#This Row],[Duree_Mois]]</f>
        <v>5565.2357686805326</v>
      </c>
    </row>
    <row r="713" spans="1:17" x14ac:dyDescent="0.25">
      <c r="A713" s="11" t="s">
        <v>12</v>
      </c>
      <c r="B713" s="12">
        <v>43831</v>
      </c>
      <c r="C713">
        <v>6000</v>
      </c>
      <c r="D713">
        <v>5</v>
      </c>
      <c r="E713">
        <v>0.03</v>
      </c>
      <c r="F713">
        <v>60</v>
      </c>
      <c r="G713" s="13">
        <v>44681</v>
      </c>
      <c r="H713">
        <v>712</v>
      </c>
      <c r="I713">
        <v>28</v>
      </c>
      <c r="J713">
        <v>2.5000000000000001E-3</v>
      </c>
      <c r="K713" s="14">
        <v>5594.85163321856</v>
      </c>
      <c r="L713" s="14">
        <v>333914.14612083195</v>
      </c>
      <c r="M713" s="36">
        <f>IF(Output[[#This Row],[Index]]=1,Output[[#This Row],[Droit Utilisation]],P712)</f>
        <v>189825.01572427552</v>
      </c>
      <c r="N713" s="15">
        <f>Output[[#This Row],[Capital Debut Period]]*Output[[#This Row],[Tx_interet_M]]</f>
        <v>474.56253931068881</v>
      </c>
      <c r="O713" s="15">
        <f>Output[[#This Row],[Mensualité initial]]-Output[[#This Row],[Interet]]</f>
        <v>5525.4374606893116</v>
      </c>
      <c r="P713" s="15">
        <f>Output[[#This Row],[Capital Debut Period]]-Output[[#This Row],[Paiement Principal]]</f>
        <v>184299.57826358621</v>
      </c>
      <c r="Q713" s="15">
        <f>Output[[#This Row],[Droit Utilisation]]/Output[[#This Row],[Duree_Mois]]</f>
        <v>5565.2357686805326</v>
      </c>
    </row>
    <row r="714" spans="1:17" x14ac:dyDescent="0.25">
      <c r="A714" s="11" t="s">
        <v>12</v>
      </c>
      <c r="B714" s="12">
        <v>43831</v>
      </c>
      <c r="C714">
        <v>6000</v>
      </c>
      <c r="D714">
        <v>5</v>
      </c>
      <c r="E714">
        <v>0.03</v>
      </c>
      <c r="F714">
        <v>60</v>
      </c>
      <c r="G714" s="13">
        <v>44712</v>
      </c>
      <c r="H714">
        <v>713</v>
      </c>
      <c r="I714">
        <v>29</v>
      </c>
      <c r="J714">
        <v>2.5000000000000001E-3</v>
      </c>
      <c r="K714" s="14">
        <v>5580.899384756669</v>
      </c>
      <c r="L714" s="14">
        <v>333914.14612083195</v>
      </c>
      <c r="M714" s="36">
        <f>IF(Output[[#This Row],[Index]]=1,Output[[#This Row],[Droit Utilisation]],P713)</f>
        <v>184299.57826358621</v>
      </c>
      <c r="N714" s="15">
        <f>Output[[#This Row],[Capital Debut Period]]*Output[[#This Row],[Tx_interet_M]]</f>
        <v>460.74894565896557</v>
      </c>
      <c r="O714" s="15">
        <f>Output[[#This Row],[Mensualité initial]]-Output[[#This Row],[Interet]]</f>
        <v>5539.2510543410344</v>
      </c>
      <c r="P714" s="15">
        <f>Output[[#This Row],[Capital Debut Period]]-Output[[#This Row],[Paiement Principal]]</f>
        <v>178760.32720924518</v>
      </c>
      <c r="Q714" s="15">
        <f>Output[[#This Row],[Droit Utilisation]]/Output[[#This Row],[Duree_Mois]]</f>
        <v>5565.2357686805326</v>
      </c>
    </row>
    <row r="715" spans="1:17" x14ac:dyDescent="0.25">
      <c r="A715" s="11" t="s">
        <v>12</v>
      </c>
      <c r="B715" s="12">
        <v>43831</v>
      </c>
      <c r="C715">
        <v>6000</v>
      </c>
      <c r="D715">
        <v>5</v>
      </c>
      <c r="E715">
        <v>0.03</v>
      </c>
      <c r="F715">
        <v>60</v>
      </c>
      <c r="G715" s="13">
        <v>44742</v>
      </c>
      <c r="H715">
        <v>714</v>
      </c>
      <c r="I715">
        <v>30</v>
      </c>
      <c r="J715">
        <v>2.5000000000000001E-3</v>
      </c>
      <c r="K715" s="14">
        <v>5566.9819299318397</v>
      </c>
      <c r="L715" s="14">
        <v>333914.14612083195</v>
      </c>
      <c r="M715" s="36">
        <f>IF(Output[[#This Row],[Index]]=1,Output[[#This Row],[Droit Utilisation]],P714)</f>
        <v>178760.32720924518</v>
      </c>
      <c r="N715" s="15">
        <f>Output[[#This Row],[Capital Debut Period]]*Output[[#This Row],[Tx_interet_M]]</f>
        <v>446.90081802311295</v>
      </c>
      <c r="O715" s="15">
        <f>Output[[#This Row],[Mensualité initial]]-Output[[#This Row],[Interet]]</f>
        <v>5553.0991819768869</v>
      </c>
      <c r="P715" s="15">
        <f>Output[[#This Row],[Capital Debut Period]]-Output[[#This Row],[Paiement Principal]]</f>
        <v>173207.22802726828</v>
      </c>
      <c r="Q715" s="15">
        <f>Output[[#This Row],[Droit Utilisation]]/Output[[#This Row],[Duree_Mois]]</f>
        <v>5565.2357686805326</v>
      </c>
    </row>
    <row r="716" spans="1:17" x14ac:dyDescent="0.25">
      <c r="A716" s="11" t="s">
        <v>12</v>
      </c>
      <c r="B716" s="12">
        <v>43831</v>
      </c>
      <c r="C716">
        <v>6000</v>
      </c>
      <c r="D716">
        <v>5</v>
      </c>
      <c r="E716">
        <v>0.03</v>
      </c>
      <c r="F716">
        <v>60</v>
      </c>
      <c r="G716" s="13">
        <v>44773</v>
      </c>
      <c r="H716">
        <v>715</v>
      </c>
      <c r="I716">
        <v>31</v>
      </c>
      <c r="J716">
        <v>2.5000000000000001E-3</v>
      </c>
      <c r="K716" s="14">
        <v>5553.0991819768969</v>
      </c>
      <c r="L716" s="14">
        <v>333914.14612083195</v>
      </c>
      <c r="M716" s="36">
        <f>IF(Output[[#This Row],[Index]]=1,Output[[#This Row],[Droit Utilisation]],P715)</f>
        <v>173207.22802726828</v>
      </c>
      <c r="N716" s="15">
        <f>Output[[#This Row],[Capital Debut Period]]*Output[[#This Row],[Tx_interet_M]]</f>
        <v>433.01807006817074</v>
      </c>
      <c r="O716" s="15">
        <f>Output[[#This Row],[Mensualité initial]]-Output[[#This Row],[Interet]]</f>
        <v>5566.9819299318297</v>
      </c>
      <c r="P716" s="15">
        <f>Output[[#This Row],[Capital Debut Period]]-Output[[#This Row],[Paiement Principal]]</f>
        <v>167640.24609733647</v>
      </c>
      <c r="Q716" s="15">
        <f>Output[[#This Row],[Droit Utilisation]]/Output[[#This Row],[Duree_Mois]]</f>
        <v>5565.2357686805326</v>
      </c>
    </row>
    <row r="717" spans="1:17" x14ac:dyDescent="0.25">
      <c r="A717" s="11" t="s">
        <v>12</v>
      </c>
      <c r="B717" s="12">
        <v>43831</v>
      </c>
      <c r="C717">
        <v>6000</v>
      </c>
      <c r="D717">
        <v>5</v>
      </c>
      <c r="E717">
        <v>0.03</v>
      </c>
      <c r="F717">
        <v>60</v>
      </c>
      <c r="G717" s="13">
        <v>44804</v>
      </c>
      <c r="H717">
        <v>716</v>
      </c>
      <c r="I717">
        <v>32</v>
      </c>
      <c r="J717">
        <v>2.5000000000000001E-3</v>
      </c>
      <c r="K717" s="14">
        <v>5539.2510543410453</v>
      </c>
      <c r="L717" s="14">
        <v>333914.14612083195</v>
      </c>
      <c r="M717" s="36">
        <f>IF(Output[[#This Row],[Index]]=1,Output[[#This Row],[Droit Utilisation]],P716)</f>
        <v>167640.24609733647</v>
      </c>
      <c r="N717" s="15">
        <f>Output[[#This Row],[Capital Debut Period]]*Output[[#This Row],[Tx_interet_M]]</f>
        <v>419.10061524334117</v>
      </c>
      <c r="O717" s="15">
        <f>Output[[#This Row],[Mensualité initial]]-Output[[#This Row],[Interet]]</f>
        <v>5580.8993847566589</v>
      </c>
      <c r="P717" s="15">
        <f>Output[[#This Row],[Capital Debut Period]]-Output[[#This Row],[Paiement Principal]]</f>
        <v>162059.34671257981</v>
      </c>
      <c r="Q717" s="15">
        <f>Output[[#This Row],[Droit Utilisation]]/Output[[#This Row],[Duree_Mois]]</f>
        <v>5565.2357686805326</v>
      </c>
    </row>
    <row r="718" spans="1:17" x14ac:dyDescent="0.25">
      <c r="A718" s="11" t="s">
        <v>12</v>
      </c>
      <c r="B718" s="12">
        <v>43831</v>
      </c>
      <c r="C718">
        <v>6000</v>
      </c>
      <c r="D718">
        <v>5</v>
      </c>
      <c r="E718">
        <v>0.03</v>
      </c>
      <c r="F718">
        <v>60</v>
      </c>
      <c r="G718" s="13">
        <v>44834</v>
      </c>
      <c r="H718">
        <v>717</v>
      </c>
      <c r="I718">
        <v>33</v>
      </c>
      <c r="J718">
        <v>2.5000000000000001E-3</v>
      </c>
      <c r="K718" s="14">
        <v>5525.4374606893225</v>
      </c>
      <c r="L718" s="14">
        <v>333914.14612083195</v>
      </c>
      <c r="M718" s="36">
        <f>IF(Output[[#This Row],[Index]]=1,Output[[#This Row],[Droit Utilisation]],P717)</f>
        <v>162059.34671257981</v>
      </c>
      <c r="N718" s="15">
        <f>Output[[#This Row],[Capital Debut Period]]*Output[[#This Row],[Tx_interet_M]]</f>
        <v>405.14836678144951</v>
      </c>
      <c r="O718" s="15">
        <f>Output[[#This Row],[Mensualité initial]]-Output[[#This Row],[Interet]]</f>
        <v>5594.8516332185509</v>
      </c>
      <c r="P718" s="15">
        <f>Output[[#This Row],[Capital Debut Period]]-Output[[#This Row],[Paiement Principal]]</f>
        <v>156464.49507936125</v>
      </c>
      <c r="Q718" s="15">
        <f>Output[[#This Row],[Droit Utilisation]]/Output[[#This Row],[Duree_Mois]]</f>
        <v>5565.2357686805326</v>
      </c>
    </row>
    <row r="719" spans="1:17" x14ac:dyDescent="0.25">
      <c r="A719" s="11" t="s">
        <v>12</v>
      </c>
      <c r="B719" s="12">
        <v>43831</v>
      </c>
      <c r="C719">
        <v>6000</v>
      </c>
      <c r="D719">
        <v>5</v>
      </c>
      <c r="E719">
        <v>0.03</v>
      </c>
      <c r="F719">
        <v>60</v>
      </c>
      <c r="G719" s="13">
        <v>44865</v>
      </c>
      <c r="H719">
        <v>718</v>
      </c>
      <c r="I719">
        <v>34</v>
      </c>
      <c r="J719">
        <v>2.5000000000000001E-3</v>
      </c>
      <c r="K719" s="14">
        <v>5511.6583149020671</v>
      </c>
      <c r="L719" s="14">
        <v>333914.14612083195</v>
      </c>
      <c r="M719" s="36">
        <f>IF(Output[[#This Row],[Index]]=1,Output[[#This Row],[Droit Utilisation]],P718)</f>
        <v>156464.49507936125</v>
      </c>
      <c r="N719" s="15">
        <f>Output[[#This Row],[Capital Debut Period]]*Output[[#This Row],[Tx_interet_M]]</f>
        <v>391.16123769840311</v>
      </c>
      <c r="O719" s="15">
        <f>Output[[#This Row],[Mensualité initial]]-Output[[#This Row],[Interet]]</f>
        <v>5608.8387623015969</v>
      </c>
      <c r="P719" s="15">
        <f>Output[[#This Row],[Capital Debut Period]]-Output[[#This Row],[Paiement Principal]]</f>
        <v>150855.65631705965</v>
      </c>
      <c r="Q719" s="15">
        <f>Output[[#This Row],[Droit Utilisation]]/Output[[#This Row],[Duree_Mois]]</f>
        <v>5565.2357686805326</v>
      </c>
    </row>
    <row r="720" spans="1:17" x14ac:dyDescent="0.25">
      <c r="A720" s="11" t="s">
        <v>12</v>
      </c>
      <c r="B720" s="12">
        <v>43831</v>
      </c>
      <c r="C720">
        <v>6000</v>
      </c>
      <c r="D720">
        <v>5</v>
      </c>
      <c r="E720">
        <v>0.03</v>
      </c>
      <c r="F720">
        <v>60</v>
      </c>
      <c r="G720" s="13">
        <v>44895</v>
      </c>
      <c r="H720">
        <v>719</v>
      </c>
      <c r="I720">
        <v>35</v>
      </c>
      <c r="J720">
        <v>2.5000000000000001E-3</v>
      </c>
      <c r="K720" s="14">
        <v>5497.9135310743814</v>
      </c>
      <c r="L720" s="14">
        <v>333914.14612083195</v>
      </c>
      <c r="M720" s="36">
        <f>IF(Output[[#This Row],[Index]]=1,Output[[#This Row],[Droit Utilisation]],P719)</f>
        <v>150855.65631705965</v>
      </c>
      <c r="N720" s="15">
        <f>Output[[#This Row],[Capital Debut Period]]*Output[[#This Row],[Tx_interet_M]]</f>
        <v>377.13914079264913</v>
      </c>
      <c r="O720" s="15">
        <f>Output[[#This Row],[Mensualité initial]]-Output[[#This Row],[Interet]]</f>
        <v>5622.8608592073506</v>
      </c>
      <c r="P720" s="15">
        <f>Output[[#This Row],[Capital Debut Period]]-Output[[#This Row],[Paiement Principal]]</f>
        <v>145232.79545785231</v>
      </c>
      <c r="Q720" s="15">
        <f>Output[[#This Row],[Droit Utilisation]]/Output[[#This Row],[Duree_Mois]]</f>
        <v>5565.2357686805326</v>
      </c>
    </row>
    <row r="721" spans="1:17" x14ac:dyDescent="0.25">
      <c r="A721" s="11" t="s">
        <v>12</v>
      </c>
      <c r="B721" s="12">
        <v>43831</v>
      </c>
      <c r="C721">
        <v>6000</v>
      </c>
      <c r="D721">
        <v>5</v>
      </c>
      <c r="E721">
        <v>0.03</v>
      </c>
      <c r="F721">
        <v>60</v>
      </c>
      <c r="G721" s="13">
        <v>44926</v>
      </c>
      <c r="H721">
        <v>720</v>
      </c>
      <c r="I721">
        <v>36</v>
      </c>
      <c r="J721">
        <v>2.5000000000000001E-3</v>
      </c>
      <c r="K721" s="14">
        <v>5484.2030235155926</v>
      </c>
      <c r="L721" s="14">
        <v>333914.14612083195</v>
      </c>
      <c r="M721" s="36">
        <f>IF(Output[[#This Row],[Index]]=1,Output[[#This Row],[Droit Utilisation]],P720)</f>
        <v>145232.79545785231</v>
      </c>
      <c r="N721" s="15">
        <f>Output[[#This Row],[Capital Debut Period]]*Output[[#This Row],[Tx_interet_M]]</f>
        <v>363.08198864463077</v>
      </c>
      <c r="O721" s="15">
        <f>Output[[#This Row],[Mensualité initial]]-Output[[#This Row],[Interet]]</f>
        <v>5636.9180113553693</v>
      </c>
      <c r="P721" s="15">
        <f>Output[[#This Row],[Capital Debut Period]]-Output[[#This Row],[Paiement Principal]]</f>
        <v>139595.87744649695</v>
      </c>
      <c r="Q721" s="15">
        <f>Output[[#This Row],[Droit Utilisation]]/Output[[#This Row],[Duree_Mois]]</f>
        <v>5565.2357686805326</v>
      </c>
    </row>
    <row r="722" spans="1:17" x14ac:dyDescent="0.25">
      <c r="A722" s="11" t="s">
        <v>12</v>
      </c>
      <c r="B722" s="12">
        <v>43831</v>
      </c>
      <c r="C722">
        <v>6000</v>
      </c>
      <c r="D722">
        <v>5</v>
      </c>
      <c r="E722">
        <v>0.03</v>
      </c>
      <c r="F722">
        <v>60</v>
      </c>
      <c r="G722" s="13">
        <v>44957</v>
      </c>
      <c r="H722">
        <v>721</v>
      </c>
      <c r="I722">
        <v>37</v>
      </c>
      <c r="J722">
        <v>2.5000000000000001E-3</v>
      </c>
      <c r="K722" s="14">
        <v>5470.5267067487212</v>
      </c>
      <c r="L722" s="14">
        <v>333914.14612083195</v>
      </c>
      <c r="M722" s="36">
        <f>IF(Output[[#This Row],[Index]]=1,Output[[#This Row],[Droit Utilisation]],P721)</f>
        <v>139595.87744649695</v>
      </c>
      <c r="N722" s="15">
        <f>Output[[#This Row],[Capital Debut Period]]*Output[[#This Row],[Tx_interet_M]]</f>
        <v>348.98969361624239</v>
      </c>
      <c r="O722" s="15">
        <f>Output[[#This Row],[Mensualité initial]]-Output[[#This Row],[Interet]]</f>
        <v>5651.0103063837578</v>
      </c>
      <c r="P722" s="15">
        <f>Output[[#This Row],[Capital Debut Period]]-Output[[#This Row],[Paiement Principal]]</f>
        <v>133944.8671401132</v>
      </c>
      <c r="Q722" s="15">
        <f>Output[[#This Row],[Droit Utilisation]]/Output[[#This Row],[Duree_Mois]]</f>
        <v>5565.2357686805326</v>
      </c>
    </row>
    <row r="723" spans="1:17" x14ac:dyDescent="0.25">
      <c r="A723" s="11" t="s">
        <v>12</v>
      </c>
      <c r="B723" s="12">
        <v>43831</v>
      </c>
      <c r="C723">
        <v>6000</v>
      </c>
      <c r="D723">
        <v>5</v>
      </c>
      <c r="E723">
        <v>0.03</v>
      </c>
      <c r="F723">
        <v>60</v>
      </c>
      <c r="G723" s="13">
        <v>44985</v>
      </c>
      <c r="H723">
        <v>722</v>
      </c>
      <c r="I723">
        <v>38</v>
      </c>
      <c r="J723">
        <v>2.5000000000000001E-3</v>
      </c>
      <c r="K723" s="14">
        <v>5456.8844955099466</v>
      </c>
      <c r="L723" s="14">
        <v>333914.14612083195</v>
      </c>
      <c r="M723" s="36">
        <f>IF(Output[[#This Row],[Index]]=1,Output[[#This Row],[Droit Utilisation]],P722)</f>
        <v>133944.8671401132</v>
      </c>
      <c r="N723" s="15">
        <f>Output[[#This Row],[Capital Debut Period]]*Output[[#This Row],[Tx_interet_M]]</f>
        <v>334.86216785028302</v>
      </c>
      <c r="O723" s="15">
        <f>Output[[#This Row],[Mensualité initial]]-Output[[#This Row],[Interet]]</f>
        <v>5665.1378321497168</v>
      </c>
      <c r="P723" s="15">
        <f>Output[[#This Row],[Capital Debut Period]]-Output[[#This Row],[Paiement Principal]]</f>
        <v>128279.72930796348</v>
      </c>
      <c r="Q723" s="15">
        <f>Output[[#This Row],[Droit Utilisation]]/Output[[#This Row],[Duree_Mois]]</f>
        <v>5565.2357686805326</v>
      </c>
    </row>
    <row r="724" spans="1:17" x14ac:dyDescent="0.25">
      <c r="A724" s="11" t="s">
        <v>12</v>
      </c>
      <c r="B724" s="12">
        <v>43831</v>
      </c>
      <c r="C724">
        <v>6000</v>
      </c>
      <c r="D724">
        <v>5</v>
      </c>
      <c r="E724">
        <v>0.03</v>
      </c>
      <c r="F724">
        <v>60</v>
      </c>
      <c r="G724" s="13">
        <v>45016</v>
      </c>
      <c r="H724">
        <v>723</v>
      </c>
      <c r="I724">
        <v>39</v>
      </c>
      <c r="J724">
        <v>2.5000000000000001E-3</v>
      </c>
      <c r="K724" s="14">
        <v>5443.2763047480767</v>
      </c>
      <c r="L724" s="14">
        <v>333914.14612083195</v>
      </c>
      <c r="M724" s="36">
        <f>IF(Output[[#This Row],[Index]]=1,Output[[#This Row],[Droit Utilisation]],P723)</f>
        <v>128279.72930796348</v>
      </c>
      <c r="N724" s="15">
        <f>Output[[#This Row],[Capital Debut Period]]*Output[[#This Row],[Tx_interet_M]]</f>
        <v>320.69932326990869</v>
      </c>
      <c r="O724" s="15">
        <f>Output[[#This Row],[Mensualité initial]]-Output[[#This Row],[Interet]]</f>
        <v>5679.3006767300913</v>
      </c>
      <c r="P724" s="15">
        <f>Output[[#This Row],[Capital Debut Period]]-Output[[#This Row],[Paiement Principal]]</f>
        <v>122600.42863123339</v>
      </c>
      <c r="Q724" s="15">
        <f>Output[[#This Row],[Droit Utilisation]]/Output[[#This Row],[Duree_Mois]]</f>
        <v>5565.2357686805326</v>
      </c>
    </row>
    <row r="725" spans="1:17" x14ac:dyDescent="0.25">
      <c r="A725" s="11" t="s">
        <v>12</v>
      </c>
      <c r="B725" s="12">
        <v>43831</v>
      </c>
      <c r="C725">
        <v>6000</v>
      </c>
      <c r="D725">
        <v>5</v>
      </c>
      <c r="E725">
        <v>0.03</v>
      </c>
      <c r="F725">
        <v>60</v>
      </c>
      <c r="G725" s="13">
        <v>45046</v>
      </c>
      <c r="H725">
        <v>724</v>
      </c>
      <c r="I725">
        <v>40</v>
      </c>
      <c r="J725">
        <v>2.5000000000000001E-3</v>
      </c>
      <c r="K725" s="14">
        <v>5429.7020496240175</v>
      </c>
      <c r="L725" s="14">
        <v>333914.14612083195</v>
      </c>
      <c r="M725" s="36">
        <f>IF(Output[[#This Row],[Index]]=1,Output[[#This Row],[Droit Utilisation]],P724)</f>
        <v>122600.42863123339</v>
      </c>
      <c r="N725" s="15">
        <f>Output[[#This Row],[Capital Debut Period]]*Output[[#This Row],[Tx_interet_M]]</f>
        <v>306.5010715780835</v>
      </c>
      <c r="O725" s="15">
        <f>Output[[#This Row],[Mensualité initial]]-Output[[#This Row],[Interet]]</f>
        <v>5693.4989284219164</v>
      </c>
      <c r="P725" s="15">
        <f>Output[[#This Row],[Capital Debut Period]]-Output[[#This Row],[Paiement Principal]]</f>
        <v>116906.92970281147</v>
      </c>
      <c r="Q725" s="15">
        <f>Output[[#This Row],[Droit Utilisation]]/Output[[#This Row],[Duree_Mois]]</f>
        <v>5565.2357686805326</v>
      </c>
    </row>
    <row r="726" spans="1:17" x14ac:dyDescent="0.25">
      <c r="A726" s="11" t="s">
        <v>12</v>
      </c>
      <c r="B726" s="12">
        <v>43831</v>
      </c>
      <c r="C726">
        <v>6000</v>
      </c>
      <c r="D726">
        <v>5</v>
      </c>
      <c r="E726">
        <v>0.03</v>
      </c>
      <c r="F726">
        <v>60</v>
      </c>
      <c r="G726" s="13">
        <v>45077</v>
      </c>
      <c r="H726">
        <v>725</v>
      </c>
      <c r="I726">
        <v>41</v>
      </c>
      <c r="J726">
        <v>2.5000000000000001E-3</v>
      </c>
      <c r="K726" s="14">
        <v>5416.1616455102412</v>
      </c>
      <c r="L726" s="14">
        <v>333914.14612083195</v>
      </c>
      <c r="M726" s="36">
        <f>IF(Output[[#This Row],[Index]]=1,Output[[#This Row],[Droit Utilisation]],P725)</f>
        <v>116906.92970281147</v>
      </c>
      <c r="N726" s="15">
        <f>Output[[#This Row],[Capital Debut Period]]*Output[[#This Row],[Tx_interet_M]]</f>
        <v>292.26732425702869</v>
      </c>
      <c r="O726" s="15">
        <f>Output[[#This Row],[Mensualité initial]]-Output[[#This Row],[Interet]]</f>
        <v>5707.732675742971</v>
      </c>
      <c r="P726" s="15">
        <f>Output[[#This Row],[Capital Debut Period]]-Output[[#This Row],[Paiement Principal]]</f>
        <v>111199.1970270685</v>
      </c>
      <c r="Q726" s="15">
        <f>Output[[#This Row],[Droit Utilisation]]/Output[[#This Row],[Duree_Mois]]</f>
        <v>5565.2357686805326</v>
      </c>
    </row>
    <row r="727" spans="1:17" x14ac:dyDescent="0.25">
      <c r="A727" s="11" t="s">
        <v>12</v>
      </c>
      <c r="B727" s="12">
        <v>43831</v>
      </c>
      <c r="C727">
        <v>6000</v>
      </c>
      <c r="D727">
        <v>5</v>
      </c>
      <c r="E727">
        <v>0.03</v>
      </c>
      <c r="F727">
        <v>60</v>
      </c>
      <c r="G727" s="13">
        <v>45107</v>
      </c>
      <c r="H727">
        <v>726</v>
      </c>
      <c r="I727">
        <v>42</v>
      </c>
      <c r="J727">
        <v>2.5000000000000001E-3</v>
      </c>
      <c r="K727" s="14">
        <v>5402.6550079902663</v>
      </c>
      <c r="L727" s="14">
        <v>333914.14612083195</v>
      </c>
      <c r="M727" s="36">
        <f>IF(Output[[#This Row],[Index]]=1,Output[[#This Row],[Droit Utilisation]],P726)</f>
        <v>111199.1970270685</v>
      </c>
      <c r="N727" s="15">
        <f>Output[[#This Row],[Capital Debut Period]]*Output[[#This Row],[Tx_interet_M]]</f>
        <v>277.99799256767125</v>
      </c>
      <c r="O727" s="15">
        <f>Output[[#This Row],[Mensualité initial]]-Output[[#This Row],[Interet]]</f>
        <v>5722.0020074323284</v>
      </c>
      <c r="P727" s="15">
        <f>Output[[#This Row],[Capital Debut Period]]-Output[[#This Row],[Paiement Principal]]</f>
        <v>105477.19501963617</v>
      </c>
      <c r="Q727" s="15">
        <f>Output[[#This Row],[Droit Utilisation]]/Output[[#This Row],[Duree_Mois]]</f>
        <v>5565.2357686805326</v>
      </c>
    </row>
    <row r="728" spans="1:17" x14ac:dyDescent="0.25">
      <c r="A728" s="11" t="s">
        <v>12</v>
      </c>
      <c r="B728" s="12">
        <v>43831</v>
      </c>
      <c r="C728">
        <v>6000</v>
      </c>
      <c r="D728">
        <v>5</v>
      </c>
      <c r="E728">
        <v>0.03</v>
      </c>
      <c r="F728">
        <v>60</v>
      </c>
      <c r="G728" s="13">
        <v>45138</v>
      </c>
      <c r="H728">
        <v>727</v>
      </c>
      <c r="I728">
        <v>43</v>
      </c>
      <c r="J728">
        <v>2.5000000000000001E-3</v>
      </c>
      <c r="K728" s="14">
        <v>5389.1820528581211</v>
      </c>
      <c r="L728" s="14">
        <v>333914.14612083195</v>
      </c>
      <c r="M728" s="36">
        <f>IF(Output[[#This Row],[Index]]=1,Output[[#This Row],[Droit Utilisation]],P727)</f>
        <v>105477.19501963617</v>
      </c>
      <c r="N728" s="15">
        <f>Output[[#This Row],[Capital Debut Period]]*Output[[#This Row],[Tx_interet_M]]</f>
        <v>263.69298754909045</v>
      </c>
      <c r="O728" s="15">
        <f>Output[[#This Row],[Mensualité initial]]-Output[[#This Row],[Interet]]</f>
        <v>5736.3070124509095</v>
      </c>
      <c r="P728" s="15">
        <f>Output[[#This Row],[Capital Debut Period]]-Output[[#This Row],[Paiement Principal]]</f>
        <v>99740.888007185262</v>
      </c>
      <c r="Q728" s="15">
        <f>Output[[#This Row],[Droit Utilisation]]/Output[[#This Row],[Duree_Mois]]</f>
        <v>5565.2357686805326</v>
      </c>
    </row>
    <row r="729" spans="1:17" x14ac:dyDescent="0.25">
      <c r="A729" s="11" t="s">
        <v>12</v>
      </c>
      <c r="B729" s="12">
        <v>43831</v>
      </c>
      <c r="C729">
        <v>6000</v>
      </c>
      <c r="D729">
        <v>5</v>
      </c>
      <c r="E729">
        <v>0.03</v>
      </c>
      <c r="F729">
        <v>60</v>
      </c>
      <c r="G729" s="13">
        <v>45169</v>
      </c>
      <c r="H729">
        <v>728</v>
      </c>
      <c r="I729">
        <v>44</v>
      </c>
      <c r="J729">
        <v>2.5000000000000001E-3</v>
      </c>
      <c r="K729" s="14">
        <v>5375.7426961178271</v>
      </c>
      <c r="L729" s="14">
        <v>333914.14612083195</v>
      </c>
      <c r="M729" s="36">
        <f>IF(Output[[#This Row],[Index]]=1,Output[[#This Row],[Droit Utilisation]],P728)</f>
        <v>99740.888007185262</v>
      </c>
      <c r="N729" s="15">
        <f>Output[[#This Row],[Capital Debut Period]]*Output[[#This Row],[Tx_interet_M]]</f>
        <v>249.35222001796316</v>
      </c>
      <c r="O729" s="15">
        <f>Output[[#This Row],[Mensualité initial]]-Output[[#This Row],[Interet]]</f>
        <v>5750.6477799820368</v>
      </c>
      <c r="P729" s="15">
        <f>Output[[#This Row],[Capital Debut Period]]-Output[[#This Row],[Paiement Principal]]</f>
        <v>93990.24022720322</v>
      </c>
      <c r="Q729" s="15">
        <f>Output[[#This Row],[Droit Utilisation]]/Output[[#This Row],[Duree_Mois]]</f>
        <v>5565.2357686805326</v>
      </c>
    </row>
    <row r="730" spans="1:17" x14ac:dyDescent="0.25">
      <c r="A730" s="11" t="s">
        <v>12</v>
      </c>
      <c r="B730" s="12">
        <v>43831</v>
      </c>
      <c r="C730">
        <v>6000</v>
      </c>
      <c r="D730">
        <v>5</v>
      </c>
      <c r="E730">
        <v>0.03</v>
      </c>
      <c r="F730">
        <v>60</v>
      </c>
      <c r="G730" s="13">
        <v>45199</v>
      </c>
      <c r="H730">
        <v>729</v>
      </c>
      <c r="I730">
        <v>45</v>
      </c>
      <c r="J730">
        <v>2.5000000000000001E-3</v>
      </c>
      <c r="K730" s="14">
        <v>5362.3368539828707</v>
      </c>
      <c r="L730" s="14">
        <v>333914.14612083195</v>
      </c>
      <c r="M730" s="36">
        <f>IF(Output[[#This Row],[Index]]=1,Output[[#This Row],[Droit Utilisation]],P729)</f>
        <v>93990.24022720322</v>
      </c>
      <c r="N730" s="15">
        <f>Output[[#This Row],[Capital Debut Period]]*Output[[#This Row],[Tx_interet_M]]</f>
        <v>234.97560056800805</v>
      </c>
      <c r="O730" s="15">
        <f>Output[[#This Row],[Mensualité initial]]-Output[[#This Row],[Interet]]</f>
        <v>5765.0243994319917</v>
      </c>
      <c r="P730" s="15">
        <f>Output[[#This Row],[Capital Debut Period]]-Output[[#This Row],[Paiement Principal]]</f>
        <v>88225.21582777123</v>
      </c>
      <c r="Q730" s="15">
        <f>Output[[#This Row],[Droit Utilisation]]/Output[[#This Row],[Duree_Mois]]</f>
        <v>5565.2357686805326</v>
      </c>
    </row>
    <row r="731" spans="1:17" x14ac:dyDescent="0.25">
      <c r="A731" s="11" t="s">
        <v>12</v>
      </c>
      <c r="B731" s="12">
        <v>43831</v>
      </c>
      <c r="C731">
        <v>6000</v>
      </c>
      <c r="D731">
        <v>5</v>
      </c>
      <c r="E731">
        <v>0.03</v>
      </c>
      <c r="F731">
        <v>60</v>
      </c>
      <c r="G731" s="13">
        <v>45230</v>
      </c>
      <c r="H731">
        <v>730</v>
      </c>
      <c r="I731">
        <v>46</v>
      </c>
      <c r="J731">
        <v>2.5000000000000001E-3</v>
      </c>
      <c r="K731" s="14">
        <v>5348.9644428756819</v>
      </c>
      <c r="L731" s="14">
        <v>333914.14612083195</v>
      </c>
      <c r="M731" s="36">
        <f>IF(Output[[#This Row],[Index]]=1,Output[[#This Row],[Droit Utilisation]],P730)</f>
        <v>88225.21582777123</v>
      </c>
      <c r="N731" s="15">
        <f>Output[[#This Row],[Capital Debut Period]]*Output[[#This Row],[Tx_interet_M]]</f>
        <v>220.56303956942807</v>
      </c>
      <c r="O731" s="15">
        <f>Output[[#This Row],[Mensualité initial]]-Output[[#This Row],[Interet]]</f>
        <v>5779.4369604305721</v>
      </c>
      <c r="P731" s="15">
        <f>Output[[#This Row],[Capital Debut Period]]-Output[[#This Row],[Paiement Principal]]</f>
        <v>82445.778867340661</v>
      </c>
      <c r="Q731" s="15">
        <f>Output[[#This Row],[Droit Utilisation]]/Output[[#This Row],[Duree_Mois]]</f>
        <v>5565.2357686805326</v>
      </c>
    </row>
    <row r="732" spans="1:17" x14ac:dyDescent="0.25">
      <c r="A732" s="11" t="s">
        <v>12</v>
      </c>
      <c r="B732" s="12">
        <v>43831</v>
      </c>
      <c r="C732">
        <v>6000</v>
      </c>
      <c r="D732">
        <v>5</v>
      </c>
      <c r="E732">
        <v>0.03</v>
      </c>
      <c r="F732">
        <v>60</v>
      </c>
      <c r="G732" s="13">
        <v>45260</v>
      </c>
      <c r="H732">
        <v>731</v>
      </c>
      <c r="I732">
        <v>47</v>
      </c>
      <c r="J732">
        <v>2.5000000000000001E-3</v>
      </c>
      <c r="K732" s="14">
        <v>5335.6253794271142</v>
      </c>
      <c r="L732" s="14">
        <v>333914.14612083195</v>
      </c>
      <c r="M732" s="36">
        <f>IF(Output[[#This Row],[Index]]=1,Output[[#This Row],[Droit Utilisation]],P731)</f>
        <v>82445.778867340661</v>
      </c>
      <c r="N732" s="15">
        <f>Output[[#This Row],[Capital Debut Period]]*Output[[#This Row],[Tx_interet_M]]</f>
        <v>206.11444716835166</v>
      </c>
      <c r="O732" s="15">
        <f>Output[[#This Row],[Mensualité initial]]-Output[[#This Row],[Interet]]</f>
        <v>5793.8855528316481</v>
      </c>
      <c r="P732" s="15">
        <f>Output[[#This Row],[Capital Debut Period]]-Output[[#This Row],[Paiement Principal]]</f>
        <v>76651.893314509012</v>
      </c>
      <c r="Q732" s="15">
        <f>Output[[#This Row],[Droit Utilisation]]/Output[[#This Row],[Duree_Mois]]</f>
        <v>5565.2357686805326</v>
      </c>
    </row>
    <row r="733" spans="1:17" x14ac:dyDescent="0.25">
      <c r="A733" s="11" t="s">
        <v>12</v>
      </c>
      <c r="B733" s="12">
        <v>43831</v>
      </c>
      <c r="C733">
        <v>6000</v>
      </c>
      <c r="D733">
        <v>5</v>
      </c>
      <c r="E733">
        <v>0.03</v>
      </c>
      <c r="F733">
        <v>60</v>
      </c>
      <c r="G733" s="13">
        <v>45291</v>
      </c>
      <c r="H733">
        <v>732</v>
      </c>
      <c r="I733">
        <v>48</v>
      </c>
      <c r="J733">
        <v>2.5000000000000001E-3</v>
      </c>
      <c r="K733" s="14">
        <v>5322.3195804759243</v>
      </c>
      <c r="L733" s="14">
        <v>333914.14612083195</v>
      </c>
      <c r="M733" s="36">
        <f>IF(Output[[#This Row],[Index]]=1,Output[[#This Row],[Droit Utilisation]],P732)</f>
        <v>76651.893314509012</v>
      </c>
      <c r="N733" s="15">
        <f>Output[[#This Row],[Capital Debut Period]]*Output[[#This Row],[Tx_interet_M]]</f>
        <v>191.62973328627254</v>
      </c>
      <c r="O733" s="15">
        <f>Output[[#This Row],[Mensualité initial]]-Output[[#This Row],[Interet]]</f>
        <v>5808.3702667137277</v>
      </c>
      <c r="P733" s="15">
        <f>Output[[#This Row],[Capital Debut Period]]-Output[[#This Row],[Paiement Principal]]</f>
        <v>70843.523047795286</v>
      </c>
      <c r="Q733" s="15">
        <f>Output[[#This Row],[Droit Utilisation]]/Output[[#This Row],[Duree_Mois]]</f>
        <v>5565.2357686805326</v>
      </c>
    </row>
    <row r="734" spans="1:17" x14ac:dyDescent="0.25">
      <c r="A734" s="11" t="s">
        <v>12</v>
      </c>
      <c r="B734" s="12">
        <v>43831</v>
      </c>
      <c r="C734">
        <v>6000</v>
      </c>
      <c r="D734">
        <v>5</v>
      </c>
      <c r="E734">
        <v>0.03</v>
      </c>
      <c r="F734">
        <v>60</v>
      </c>
      <c r="G734" s="13">
        <v>45322</v>
      </c>
      <c r="H734">
        <v>733</v>
      </c>
      <c r="I734">
        <v>49</v>
      </c>
      <c r="J734">
        <v>2.5000000000000001E-3</v>
      </c>
      <c r="K734" s="14">
        <v>5309.0469630682537</v>
      </c>
      <c r="L734" s="14">
        <v>333914.14612083195</v>
      </c>
      <c r="M734" s="36">
        <f>IF(Output[[#This Row],[Index]]=1,Output[[#This Row],[Droit Utilisation]],P733)</f>
        <v>70843.523047795286</v>
      </c>
      <c r="N734" s="15">
        <f>Output[[#This Row],[Capital Debut Period]]*Output[[#This Row],[Tx_interet_M]]</f>
        <v>177.10880761948823</v>
      </c>
      <c r="O734" s="15">
        <f>Output[[#This Row],[Mensualité initial]]-Output[[#This Row],[Interet]]</f>
        <v>5822.8911923805117</v>
      </c>
      <c r="P734" s="15">
        <f>Output[[#This Row],[Capital Debut Period]]-Output[[#This Row],[Paiement Principal]]</f>
        <v>65020.631855414773</v>
      </c>
      <c r="Q734" s="15">
        <f>Output[[#This Row],[Droit Utilisation]]/Output[[#This Row],[Duree_Mois]]</f>
        <v>5565.2357686805326</v>
      </c>
    </row>
    <row r="735" spans="1:17" x14ac:dyDescent="0.25">
      <c r="A735" s="11" t="s">
        <v>12</v>
      </c>
      <c r="B735" s="12">
        <v>43831</v>
      </c>
      <c r="C735">
        <v>6000</v>
      </c>
      <c r="D735">
        <v>5</v>
      </c>
      <c r="E735">
        <v>0.03</v>
      </c>
      <c r="F735">
        <v>60</v>
      </c>
      <c r="G735" s="13">
        <v>45351</v>
      </c>
      <c r="H735">
        <v>734</v>
      </c>
      <c r="I735">
        <v>50</v>
      </c>
      <c r="J735">
        <v>2.5000000000000001E-3</v>
      </c>
      <c r="K735" s="14">
        <v>5295.8074444571121</v>
      </c>
      <c r="L735" s="14">
        <v>333914.14612083195</v>
      </c>
      <c r="M735" s="36">
        <f>IF(Output[[#This Row],[Index]]=1,Output[[#This Row],[Droit Utilisation]],P734)</f>
        <v>65020.631855414773</v>
      </c>
      <c r="N735" s="15">
        <f>Output[[#This Row],[Capital Debut Period]]*Output[[#This Row],[Tx_interet_M]]</f>
        <v>162.55157963853694</v>
      </c>
      <c r="O735" s="15">
        <f>Output[[#This Row],[Mensualité initial]]-Output[[#This Row],[Interet]]</f>
        <v>5837.4484203614629</v>
      </c>
      <c r="P735" s="15">
        <f>Output[[#This Row],[Capital Debut Period]]-Output[[#This Row],[Paiement Principal]]</f>
        <v>59183.18343505331</v>
      </c>
      <c r="Q735" s="15">
        <f>Output[[#This Row],[Droit Utilisation]]/Output[[#This Row],[Duree_Mois]]</f>
        <v>5565.2357686805326</v>
      </c>
    </row>
    <row r="736" spans="1:17" x14ac:dyDescent="0.25">
      <c r="A736" s="11" t="s">
        <v>12</v>
      </c>
      <c r="B736" s="12">
        <v>43831</v>
      </c>
      <c r="C736">
        <v>6000</v>
      </c>
      <c r="D736">
        <v>5</v>
      </c>
      <c r="E736">
        <v>0.03</v>
      </c>
      <c r="F736">
        <v>60</v>
      </c>
      <c r="G736" s="13">
        <v>45382</v>
      </c>
      <c r="H736">
        <v>735</v>
      </c>
      <c r="I736">
        <v>51</v>
      </c>
      <c r="J736">
        <v>2.5000000000000001E-3</v>
      </c>
      <c r="K736" s="14">
        <v>5282.6009421018571</v>
      </c>
      <c r="L736" s="14">
        <v>333914.14612083195</v>
      </c>
      <c r="M736" s="36">
        <f>IF(Output[[#This Row],[Index]]=1,Output[[#This Row],[Droit Utilisation]],P735)</f>
        <v>59183.18343505331</v>
      </c>
      <c r="N736" s="15">
        <f>Output[[#This Row],[Capital Debut Period]]*Output[[#This Row],[Tx_interet_M]]</f>
        <v>147.95795858763327</v>
      </c>
      <c r="O736" s="15">
        <f>Output[[#This Row],[Mensualité initial]]-Output[[#This Row],[Interet]]</f>
        <v>5852.0420414123664</v>
      </c>
      <c r="P736" s="15">
        <f>Output[[#This Row],[Capital Debut Period]]-Output[[#This Row],[Paiement Principal]]</f>
        <v>53331.141393640944</v>
      </c>
      <c r="Q736" s="15">
        <f>Output[[#This Row],[Droit Utilisation]]/Output[[#This Row],[Duree_Mois]]</f>
        <v>5565.2357686805326</v>
      </c>
    </row>
    <row r="737" spans="1:17" x14ac:dyDescent="0.25">
      <c r="A737" s="11" t="s">
        <v>12</v>
      </c>
      <c r="B737" s="12">
        <v>43831</v>
      </c>
      <c r="C737">
        <v>6000</v>
      </c>
      <c r="D737">
        <v>5</v>
      </c>
      <c r="E737">
        <v>0.03</v>
      </c>
      <c r="F737">
        <v>60</v>
      </c>
      <c r="G737" s="13">
        <v>45412</v>
      </c>
      <c r="H737">
        <v>736</v>
      </c>
      <c r="I737">
        <v>52</v>
      </c>
      <c r="J737">
        <v>2.5000000000000001E-3</v>
      </c>
      <c r="K737" s="14">
        <v>5269.4273736676878</v>
      </c>
      <c r="L737" s="14">
        <v>333914.14612083195</v>
      </c>
      <c r="M737" s="36">
        <f>IF(Output[[#This Row],[Index]]=1,Output[[#This Row],[Droit Utilisation]],P736)</f>
        <v>53331.141393640944</v>
      </c>
      <c r="N737" s="15">
        <f>Output[[#This Row],[Capital Debut Period]]*Output[[#This Row],[Tx_interet_M]]</f>
        <v>133.32785348410238</v>
      </c>
      <c r="O737" s="15">
        <f>Output[[#This Row],[Mensualité initial]]-Output[[#This Row],[Interet]]</f>
        <v>5866.672146515898</v>
      </c>
      <c r="P737" s="15">
        <f>Output[[#This Row],[Capital Debut Period]]-Output[[#This Row],[Paiement Principal]]</f>
        <v>47464.469247125046</v>
      </c>
      <c r="Q737" s="15">
        <f>Output[[#This Row],[Droit Utilisation]]/Output[[#This Row],[Duree_Mois]]</f>
        <v>5565.2357686805326</v>
      </c>
    </row>
    <row r="738" spans="1:17" x14ac:dyDescent="0.25">
      <c r="A738" s="11" t="s">
        <v>12</v>
      </c>
      <c r="B738" s="12">
        <v>43831</v>
      </c>
      <c r="C738">
        <v>6000</v>
      </c>
      <c r="D738">
        <v>5</v>
      </c>
      <c r="E738">
        <v>0.03</v>
      </c>
      <c r="F738">
        <v>60</v>
      </c>
      <c r="G738" s="13">
        <v>45443</v>
      </c>
      <c r="H738">
        <v>737</v>
      </c>
      <c r="I738">
        <v>53</v>
      </c>
      <c r="J738">
        <v>2.5000000000000001E-3</v>
      </c>
      <c r="K738" s="14">
        <v>5256.2866570251254</v>
      </c>
      <c r="L738" s="14">
        <v>333914.14612083195</v>
      </c>
      <c r="M738" s="36">
        <f>IF(Output[[#This Row],[Index]]=1,Output[[#This Row],[Droit Utilisation]],P737)</f>
        <v>47464.469247125046</v>
      </c>
      <c r="N738" s="15">
        <f>Output[[#This Row],[Capital Debut Period]]*Output[[#This Row],[Tx_interet_M]]</f>
        <v>118.66117311781261</v>
      </c>
      <c r="O738" s="15">
        <f>Output[[#This Row],[Mensualité initial]]-Output[[#This Row],[Interet]]</f>
        <v>5881.3388268821873</v>
      </c>
      <c r="P738" s="15">
        <f>Output[[#This Row],[Capital Debut Period]]-Output[[#This Row],[Paiement Principal]]</f>
        <v>41583.130420242858</v>
      </c>
      <c r="Q738" s="15">
        <f>Output[[#This Row],[Droit Utilisation]]/Output[[#This Row],[Duree_Mois]]</f>
        <v>5565.2357686805326</v>
      </c>
    </row>
    <row r="739" spans="1:17" x14ac:dyDescent="0.25">
      <c r="A739" s="11" t="s">
        <v>12</v>
      </c>
      <c r="B739" s="12">
        <v>43831</v>
      </c>
      <c r="C739">
        <v>6000</v>
      </c>
      <c r="D739">
        <v>5</v>
      </c>
      <c r="E739">
        <v>0.03</v>
      </c>
      <c r="F739">
        <v>60</v>
      </c>
      <c r="G739" s="13">
        <v>45473</v>
      </c>
      <c r="H739">
        <v>738</v>
      </c>
      <c r="I739">
        <v>54</v>
      </c>
      <c r="J739">
        <v>2.5000000000000001E-3</v>
      </c>
      <c r="K739" s="14">
        <v>5243.1787102495018</v>
      </c>
      <c r="L739" s="14">
        <v>333914.14612083195</v>
      </c>
      <c r="M739" s="36">
        <f>IF(Output[[#This Row],[Index]]=1,Output[[#This Row],[Droit Utilisation]],P738)</f>
        <v>41583.130420242858</v>
      </c>
      <c r="N739" s="15">
        <f>Output[[#This Row],[Capital Debut Period]]*Output[[#This Row],[Tx_interet_M]]</f>
        <v>103.95782605060715</v>
      </c>
      <c r="O739" s="15">
        <f>Output[[#This Row],[Mensualité initial]]-Output[[#This Row],[Interet]]</f>
        <v>5896.0421739493931</v>
      </c>
      <c r="P739" s="15">
        <f>Output[[#This Row],[Capital Debut Period]]-Output[[#This Row],[Paiement Principal]]</f>
        <v>35687.088246293468</v>
      </c>
      <c r="Q739" s="15">
        <f>Output[[#This Row],[Droit Utilisation]]/Output[[#This Row],[Duree_Mois]]</f>
        <v>5565.2357686805326</v>
      </c>
    </row>
    <row r="740" spans="1:17" x14ac:dyDescent="0.25">
      <c r="A740" s="11" t="s">
        <v>12</v>
      </c>
      <c r="B740" s="12">
        <v>43831</v>
      </c>
      <c r="C740">
        <v>6000</v>
      </c>
      <c r="D740">
        <v>5</v>
      </c>
      <c r="E740">
        <v>0.03</v>
      </c>
      <c r="F740">
        <v>60</v>
      </c>
      <c r="G740" s="13">
        <v>45504</v>
      </c>
      <c r="H740">
        <v>739</v>
      </c>
      <c r="I740">
        <v>55</v>
      </c>
      <c r="J740">
        <v>2.5000000000000001E-3</v>
      </c>
      <c r="K740" s="14">
        <v>5230.1034516204509</v>
      </c>
      <c r="L740" s="14">
        <v>333914.14612083195</v>
      </c>
      <c r="M740" s="36">
        <f>IF(Output[[#This Row],[Index]]=1,Output[[#This Row],[Droit Utilisation]],P739)</f>
        <v>35687.088246293468</v>
      </c>
      <c r="N740" s="15">
        <f>Output[[#This Row],[Capital Debut Period]]*Output[[#This Row],[Tx_interet_M]]</f>
        <v>89.217720615733668</v>
      </c>
      <c r="O740" s="15">
        <f>Output[[#This Row],[Mensualité initial]]-Output[[#This Row],[Interet]]</f>
        <v>5910.7822793842661</v>
      </c>
      <c r="P740" s="15">
        <f>Output[[#This Row],[Capital Debut Period]]-Output[[#This Row],[Paiement Principal]]</f>
        <v>29776.305966909204</v>
      </c>
      <c r="Q740" s="15">
        <f>Output[[#This Row],[Droit Utilisation]]/Output[[#This Row],[Duree_Mois]]</f>
        <v>5565.2357686805326</v>
      </c>
    </row>
    <row r="741" spans="1:17" x14ac:dyDescent="0.25">
      <c r="A741" s="11" t="s">
        <v>12</v>
      </c>
      <c r="B741" s="12">
        <v>43831</v>
      </c>
      <c r="C741">
        <v>6000</v>
      </c>
      <c r="D741">
        <v>5</v>
      </c>
      <c r="E741">
        <v>0.03</v>
      </c>
      <c r="F741">
        <v>60</v>
      </c>
      <c r="G741" s="13">
        <v>45535</v>
      </c>
      <c r="H741">
        <v>740</v>
      </c>
      <c r="I741">
        <v>56</v>
      </c>
      <c r="J741">
        <v>2.5000000000000001E-3</v>
      </c>
      <c r="K741" s="14">
        <v>5217.0607996213976</v>
      </c>
      <c r="L741" s="14">
        <v>333914.14612083195</v>
      </c>
      <c r="M741" s="36">
        <f>IF(Output[[#This Row],[Index]]=1,Output[[#This Row],[Droit Utilisation]],P740)</f>
        <v>29776.305966909204</v>
      </c>
      <c r="N741" s="15">
        <f>Output[[#This Row],[Capital Debut Period]]*Output[[#This Row],[Tx_interet_M]]</f>
        <v>74.440764917273015</v>
      </c>
      <c r="O741" s="15">
        <f>Output[[#This Row],[Mensualité initial]]-Output[[#This Row],[Interet]]</f>
        <v>5925.5592350827274</v>
      </c>
      <c r="P741" s="15">
        <f>Output[[#This Row],[Capital Debut Period]]-Output[[#This Row],[Paiement Principal]]</f>
        <v>23850.746731826475</v>
      </c>
      <c r="Q741" s="15">
        <f>Output[[#This Row],[Droit Utilisation]]/Output[[#This Row],[Duree_Mois]]</f>
        <v>5565.2357686805326</v>
      </c>
    </row>
    <row r="742" spans="1:17" x14ac:dyDescent="0.25">
      <c r="A742" s="11" t="s">
        <v>12</v>
      </c>
      <c r="B742" s="12">
        <v>43831</v>
      </c>
      <c r="C742">
        <v>6000</v>
      </c>
      <c r="D742">
        <v>5</v>
      </c>
      <c r="E742">
        <v>0.03</v>
      </c>
      <c r="F742">
        <v>60</v>
      </c>
      <c r="G742" s="13">
        <v>45565</v>
      </c>
      <c r="H742">
        <v>741</v>
      </c>
      <c r="I742">
        <v>57</v>
      </c>
      <c r="J742">
        <v>2.5000000000000001E-3</v>
      </c>
      <c r="K742" s="14">
        <v>5204.0506729390509</v>
      </c>
      <c r="L742" s="14">
        <v>333914.14612083195</v>
      </c>
      <c r="M742" s="36">
        <f>IF(Output[[#This Row],[Index]]=1,Output[[#This Row],[Droit Utilisation]],P741)</f>
        <v>23850.746731826475</v>
      </c>
      <c r="N742" s="15">
        <f>Output[[#This Row],[Capital Debut Period]]*Output[[#This Row],[Tx_interet_M]]</f>
        <v>59.62686682956619</v>
      </c>
      <c r="O742" s="15">
        <f>Output[[#This Row],[Mensualité initial]]-Output[[#This Row],[Interet]]</f>
        <v>5940.3731331704339</v>
      </c>
      <c r="P742" s="15">
        <f>Output[[#This Row],[Capital Debut Period]]-Output[[#This Row],[Paiement Principal]]</f>
        <v>17910.373598656042</v>
      </c>
      <c r="Q742" s="15">
        <f>Output[[#This Row],[Droit Utilisation]]/Output[[#This Row],[Duree_Mois]]</f>
        <v>5565.2357686805326</v>
      </c>
    </row>
    <row r="743" spans="1:17" x14ac:dyDescent="0.25">
      <c r="A743" s="11" t="s">
        <v>12</v>
      </c>
      <c r="B743" s="12">
        <v>43831</v>
      </c>
      <c r="C743">
        <v>6000</v>
      </c>
      <c r="D743">
        <v>5</v>
      </c>
      <c r="E743">
        <v>0.03</v>
      </c>
      <c r="F743">
        <v>60</v>
      </c>
      <c r="G743" s="13">
        <v>45596</v>
      </c>
      <c r="H743">
        <v>742</v>
      </c>
      <c r="I743">
        <v>58</v>
      </c>
      <c r="J743">
        <v>2.5000000000000001E-3</v>
      </c>
      <c r="K743" s="14">
        <v>5191.0729904628934</v>
      </c>
      <c r="L743" s="14">
        <v>333914.14612083195</v>
      </c>
      <c r="M743" s="36">
        <f>IF(Output[[#This Row],[Index]]=1,Output[[#This Row],[Droit Utilisation]],P742)</f>
        <v>17910.373598656042</v>
      </c>
      <c r="N743" s="15">
        <f>Output[[#This Row],[Capital Debut Period]]*Output[[#This Row],[Tx_interet_M]]</f>
        <v>44.775933996640106</v>
      </c>
      <c r="O743" s="15">
        <f>Output[[#This Row],[Mensualité initial]]-Output[[#This Row],[Interet]]</f>
        <v>5955.2240660033603</v>
      </c>
      <c r="P743" s="15">
        <f>Output[[#This Row],[Capital Debut Period]]-Output[[#This Row],[Paiement Principal]]</f>
        <v>11955.149532652682</v>
      </c>
      <c r="Q743" s="15">
        <f>Output[[#This Row],[Droit Utilisation]]/Output[[#This Row],[Duree_Mois]]</f>
        <v>5565.2357686805326</v>
      </c>
    </row>
    <row r="744" spans="1:17" x14ac:dyDescent="0.25">
      <c r="A744" s="11" t="s">
        <v>12</v>
      </c>
      <c r="B744" s="12">
        <v>43831</v>
      </c>
      <c r="C744">
        <v>6000</v>
      </c>
      <c r="D744">
        <v>5</v>
      </c>
      <c r="E744">
        <v>0.03</v>
      </c>
      <c r="F744">
        <v>60</v>
      </c>
      <c r="G744" s="13">
        <v>45626</v>
      </c>
      <c r="H744">
        <v>743</v>
      </c>
      <c r="I744">
        <v>59</v>
      </c>
      <c r="J744">
        <v>2.5000000000000001E-3</v>
      </c>
      <c r="K744" s="14">
        <v>5178.127671284682</v>
      </c>
      <c r="L744" s="14">
        <v>333914.14612083195</v>
      </c>
      <c r="M744" s="36">
        <f>IF(Output[[#This Row],[Index]]=1,Output[[#This Row],[Droit Utilisation]],P743)</f>
        <v>11955.149532652682</v>
      </c>
      <c r="N744" s="15">
        <f>Output[[#This Row],[Capital Debut Period]]*Output[[#This Row],[Tx_interet_M]]</f>
        <v>29.887873831631705</v>
      </c>
      <c r="O744" s="15">
        <f>Output[[#This Row],[Mensualité initial]]-Output[[#This Row],[Interet]]</f>
        <v>5970.1121261683684</v>
      </c>
      <c r="P744" s="15">
        <f>Output[[#This Row],[Capital Debut Period]]-Output[[#This Row],[Paiement Principal]]</f>
        <v>5985.0374064843136</v>
      </c>
      <c r="Q744" s="15">
        <f>Output[[#This Row],[Droit Utilisation]]/Output[[#This Row],[Duree_Mois]]</f>
        <v>5565.2357686805326</v>
      </c>
    </row>
    <row r="745" spans="1:17" x14ac:dyDescent="0.25">
      <c r="A745" s="11" t="s">
        <v>12</v>
      </c>
      <c r="B745" s="12">
        <v>43831</v>
      </c>
      <c r="C745">
        <v>6000</v>
      </c>
      <c r="D745">
        <v>5</v>
      </c>
      <c r="E745">
        <v>0.03</v>
      </c>
      <c r="F745">
        <v>60</v>
      </c>
      <c r="G745" s="13">
        <v>45657</v>
      </c>
      <c r="H745">
        <v>744</v>
      </c>
      <c r="I745">
        <v>60</v>
      </c>
      <c r="J745">
        <v>2.5000000000000001E-3</v>
      </c>
      <c r="K745" s="14">
        <v>5165.2146346979371</v>
      </c>
      <c r="L745" s="14">
        <v>333914.14612083195</v>
      </c>
      <c r="M745" s="36">
        <f>IF(Output[[#This Row],[Index]]=1,Output[[#This Row],[Droit Utilisation]],P744)</f>
        <v>5985.0374064843136</v>
      </c>
      <c r="N745" s="15">
        <f>Output[[#This Row],[Capital Debut Period]]*Output[[#This Row],[Tx_interet_M]]</f>
        <v>14.962593516210784</v>
      </c>
      <c r="O745" s="15">
        <f>Output[[#This Row],[Mensualité initial]]-Output[[#This Row],[Interet]]</f>
        <v>5985.0374064837888</v>
      </c>
      <c r="P745" s="15">
        <f>Output[[#This Row],[Capital Debut Period]]-Output[[#This Row],[Paiement Principal]]</f>
        <v>5.2477844292297959E-10</v>
      </c>
      <c r="Q745" s="15">
        <f>Output[[#This Row],[Droit Utilisation]]/Output[[#This Row],[Duree_Mois]]</f>
        <v>5565.2357686805326</v>
      </c>
    </row>
    <row r="746" spans="1:17" x14ac:dyDescent="0.25">
      <c r="A746" s="11" t="s">
        <v>13</v>
      </c>
      <c r="B746" s="12">
        <v>43891</v>
      </c>
      <c r="C746">
        <v>6000</v>
      </c>
      <c r="D746">
        <v>5</v>
      </c>
      <c r="E746">
        <v>0.03</v>
      </c>
      <c r="F746">
        <v>60</v>
      </c>
      <c r="G746" s="13">
        <v>43921</v>
      </c>
      <c r="H746">
        <v>745</v>
      </c>
      <c r="I746">
        <v>1</v>
      </c>
      <c r="J746">
        <v>2.5000000000000001E-3</v>
      </c>
      <c r="K746" s="14">
        <v>5985.0374064837906</v>
      </c>
      <c r="L746" s="14">
        <v>333914.14612083195</v>
      </c>
      <c r="M746" s="36">
        <f>IF(Output[[#This Row],[Index]]=1,Output[[#This Row],[Droit Utilisation]],P745)</f>
        <v>333914.14612083195</v>
      </c>
      <c r="N746" s="15">
        <f>Output[[#This Row],[Capital Debut Period]]*Output[[#This Row],[Tx_interet_M]]</f>
        <v>834.78536530207987</v>
      </c>
      <c r="O746" s="15">
        <f>Output[[#This Row],[Mensualité initial]]-Output[[#This Row],[Interet]]</f>
        <v>5165.2146346979198</v>
      </c>
      <c r="P746" s="15">
        <f>Output[[#This Row],[Capital Debut Period]]-Output[[#This Row],[Paiement Principal]]</f>
        <v>328748.93148613401</v>
      </c>
      <c r="Q746" s="15">
        <f>Output[[#This Row],[Droit Utilisation]]/Output[[#This Row],[Duree_Mois]]</f>
        <v>5565.2357686805326</v>
      </c>
    </row>
    <row r="747" spans="1:17" x14ac:dyDescent="0.25">
      <c r="A747" s="11" t="s">
        <v>13</v>
      </c>
      <c r="B747" s="12">
        <v>43891</v>
      </c>
      <c r="C747">
        <v>6000</v>
      </c>
      <c r="D747">
        <v>5</v>
      </c>
      <c r="E747">
        <v>0.03</v>
      </c>
      <c r="F747">
        <v>60</v>
      </c>
      <c r="G747" s="13">
        <v>43951</v>
      </c>
      <c r="H747">
        <v>746</v>
      </c>
      <c r="I747">
        <v>2</v>
      </c>
      <c r="J747">
        <v>2.5000000000000001E-3</v>
      </c>
      <c r="K747" s="14">
        <v>5970.1121261683702</v>
      </c>
      <c r="L747" s="14">
        <v>333914.14612083195</v>
      </c>
      <c r="M747" s="36">
        <f>IF(Output[[#This Row],[Index]]=1,Output[[#This Row],[Droit Utilisation]],P746)</f>
        <v>328748.93148613401</v>
      </c>
      <c r="N747" s="15">
        <f>Output[[#This Row],[Capital Debut Period]]*Output[[#This Row],[Tx_interet_M]]</f>
        <v>821.87232871533502</v>
      </c>
      <c r="O747" s="15">
        <f>Output[[#This Row],[Mensualité initial]]-Output[[#This Row],[Interet]]</f>
        <v>5178.1276712846648</v>
      </c>
      <c r="P747" s="15">
        <f>Output[[#This Row],[Capital Debut Period]]-Output[[#This Row],[Paiement Principal]]</f>
        <v>323570.80381484935</v>
      </c>
      <c r="Q747" s="15">
        <f>Output[[#This Row],[Droit Utilisation]]/Output[[#This Row],[Duree_Mois]]</f>
        <v>5565.2357686805326</v>
      </c>
    </row>
    <row r="748" spans="1:17" x14ac:dyDescent="0.25">
      <c r="A748" s="11" t="s">
        <v>13</v>
      </c>
      <c r="B748" s="12">
        <v>43891</v>
      </c>
      <c r="C748">
        <v>6000</v>
      </c>
      <c r="D748">
        <v>5</v>
      </c>
      <c r="E748">
        <v>0.03</v>
      </c>
      <c r="F748">
        <v>60</v>
      </c>
      <c r="G748" s="13">
        <v>43982</v>
      </c>
      <c r="H748">
        <v>747</v>
      </c>
      <c r="I748">
        <v>3</v>
      </c>
      <c r="J748">
        <v>2.5000000000000001E-3</v>
      </c>
      <c r="K748" s="14">
        <v>5955.2240660033622</v>
      </c>
      <c r="L748" s="14">
        <v>333914.14612083195</v>
      </c>
      <c r="M748" s="36">
        <f>IF(Output[[#This Row],[Index]]=1,Output[[#This Row],[Droit Utilisation]],P747)</f>
        <v>323570.80381484935</v>
      </c>
      <c r="N748" s="15">
        <f>Output[[#This Row],[Capital Debut Period]]*Output[[#This Row],[Tx_interet_M]]</f>
        <v>808.92700953712335</v>
      </c>
      <c r="O748" s="15">
        <f>Output[[#This Row],[Mensualité initial]]-Output[[#This Row],[Interet]]</f>
        <v>5191.072990462877</v>
      </c>
      <c r="P748" s="15">
        <f>Output[[#This Row],[Capital Debut Period]]-Output[[#This Row],[Paiement Principal]]</f>
        <v>318379.73082438647</v>
      </c>
      <c r="Q748" s="15">
        <f>Output[[#This Row],[Droit Utilisation]]/Output[[#This Row],[Duree_Mois]]</f>
        <v>5565.2357686805326</v>
      </c>
    </row>
    <row r="749" spans="1:17" x14ac:dyDescent="0.25">
      <c r="A749" s="11" t="s">
        <v>13</v>
      </c>
      <c r="B749" s="12">
        <v>43891</v>
      </c>
      <c r="C749">
        <v>6000</v>
      </c>
      <c r="D749">
        <v>5</v>
      </c>
      <c r="E749">
        <v>0.03</v>
      </c>
      <c r="F749">
        <v>60</v>
      </c>
      <c r="G749" s="13">
        <v>44012</v>
      </c>
      <c r="H749">
        <v>748</v>
      </c>
      <c r="I749">
        <v>4</v>
      </c>
      <c r="J749">
        <v>2.5000000000000001E-3</v>
      </c>
      <c r="K749" s="14">
        <v>5940.3731331704357</v>
      </c>
      <c r="L749" s="14">
        <v>333914.14612083195</v>
      </c>
      <c r="M749" s="36">
        <f>IF(Output[[#This Row],[Index]]=1,Output[[#This Row],[Droit Utilisation]],P748)</f>
        <v>318379.73082438647</v>
      </c>
      <c r="N749" s="15">
        <f>Output[[#This Row],[Capital Debut Period]]*Output[[#This Row],[Tx_interet_M]]</f>
        <v>795.9493270609662</v>
      </c>
      <c r="O749" s="15">
        <f>Output[[#This Row],[Mensualité initial]]-Output[[#This Row],[Interet]]</f>
        <v>5204.0506729390336</v>
      </c>
      <c r="P749" s="15">
        <f>Output[[#This Row],[Capital Debut Period]]-Output[[#This Row],[Paiement Principal]]</f>
        <v>313175.68015144742</v>
      </c>
      <c r="Q749" s="15">
        <f>Output[[#This Row],[Droit Utilisation]]/Output[[#This Row],[Duree_Mois]]</f>
        <v>5565.2357686805326</v>
      </c>
    </row>
    <row r="750" spans="1:17" x14ac:dyDescent="0.25">
      <c r="A750" s="11" t="s">
        <v>13</v>
      </c>
      <c r="B750" s="12">
        <v>43891</v>
      </c>
      <c r="C750">
        <v>6000</v>
      </c>
      <c r="D750">
        <v>5</v>
      </c>
      <c r="E750">
        <v>0.03</v>
      </c>
      <c r="F750">
        <v>60</v>
      </c>
      <c r="G750" s="13">
        <v>44043</v>
      </c>
      <c r="H750">
        <v>749</v>
      </c>
      <c r="I750">
        <v>5</v>
      </c>
      <c r="J750">
        <v>2.5000000000000001E-3</v>
      </c>
      <c r="K750" s="14">
        <v>5925.5592350827301</v>
      </c>
      <c r="L750" s="14">
        <v>333914.14612083195</v>
      </c>
      <c r="M750" s="36">
        <f>IF(Output[[#This Row],[Index]]=1,Output[[#This Row],[Droit Utilisation]],P749)</f>
        <v>313175.68015144742</v>
      </c>
      <c r="N750" s="15">
        <f>Output[[#This Row],[Capital Debut Period]]*Output[[#This Row],[Tx_interet_M]]</f>
        <v>782.93920037861858</v>
      </c>
      <c r="O750" s="15">
        <f>Output[[#This Row],[Mensualité initial]]-Output[[#This Row],[Interet]]</f>
        <v>5217.0607996213812</v>
      </c>
      <c r="P750" s="15">
        <f>Output[[#This Row],[Capital Debut Period]]-Output[[#This Row],[Paiement Principal]]</f>
        <v>307958.61935182603</v>
      </c>
      <c r="Q750" s="15">
        <f>Output[[#This Row],[Droit Utilisation]]/Output[[#This Row],[Duree_Mois]]</f>
        <v>5565.2357686805326</v>
      </c>
    </row>
    <row r="751" spans="1:17" x14ac:dyDescent="0.25">
      <c r="A751" s="11" t="s">
        <v>13</v>
      </c>
      <c r="B751" s="12">
        <v>43891</v>
      </c>
      <c r="C751">
        <v>6000</v>
      </c>
      <c r="D751">
        <v>5</v>
      </c>
      <c r="E751">
        <v>0.03</v>
      </c>
      <c r="F751">
        <v>60</v>
      </c>
      <c r="G751" s="13">
        <v>44074</v>
      </c>
      <c r="H751">
        <v>750</v>
      </c>
      <c r="I751">
        <v>6</v>
      </c>
      <c r="J751">
        <v>2.5000000000000001E-3</v>
      </c>
      <c r="K751" s="14">
        <v>5910.7822793842697</v>
      </c>
      <c r="L751" s="14">
        <v>333914.14612083195</v>
      </c>
      <c r="M751" s="36">
        <f>IF(Output[[#This Row],[Index]]=1,Output[[#This Row],[Droit Utilisation]],P750)</f>
        <v>307958.61935182603</v>
      </c>
      <c r="N751" s="15">
        <f>Output[[#This Row],[Capital Debut Period]]*Output[[#This Row],[Tx_interet_M]]</f>
        <v>769.89654837956505</v>
      </c>
      <c r="O751" s="15">
        <f>Output[[#This Row],[Mensualité initial]]-Output[[#This Row],[Interet]]</f>
        <v>5230.1034516204345</v>
      </c>
      <c r="P751" s="15">
        <f>Output[[#This Row],[Capital Debut Period]]-Output[[#This Row],[Paiement Principal]]</f>
        <v>302728.51590020559</v>
      </c>
      <c r="Q751" s="15">
        <f>Output[[#This Row],[Droit Utilisation]]/Output[[#This Row],[Duree_Mois]]</f>
        <v>5565.2357686805326</v>
      </c>
    </row>
    <row r="752" spans="1:17" x14ac:dyDescent="0.25">
      <c r="A752" s="11" t="s">
        <v>13</v>
      </c>
      <c r="B752" s="12">
        <v>43891</v>
      </c>
      <c r="C752">
        <v>6000</v>
      </c>
      <c r="D752">
        <v>5</v>
      </c>
      <c r="E752">
        <v>0.03</v>
      </c>
      <c r="F752">
        <v>60</v>
      </c>
      <c r="G752" s="13">
        <v>44104</v>
      </c>
      <c r="H752">
        <v>751</v>
      </c>
      <c r="I752">
        <v>7</v>
      </c>
      <c r="J752">
        <v>2.5000000000000001E-3</v>
      </c>
      <c r="K752" s="14">
        <v>5896.0421739493959</v>
      </c>
      <c r="L752" s="14">
        <v>333914.14612083195</v>
      </c>
      <c r="M752" s="36">
        <f>IF(Output[[#This Row],[Index]]=1,Output[[#This Row],[Droit Utilisation]],P751)</f>
        <v>302728.51590020559</v>
      </c>
      <c r="N752" s="15">
        <f>Output[[#This Row],[Capital Debut Period]]*Output[[#This Row],[Tx_interet_M]]</f>
        <v>756.82128975051398</v>
      </c>
      <c r="O752" s="15">
        <f>Output[[#This Row],[Mensualité initial]]-Output[[#This Row],[Interet]]</f>
        <v>5243.1787102494864</v>
      </c>
      <c r="P752" s="15">
        <f>Output[[#This Row],[Capital Debut Period]]-Output[[#This Row],[Paiement Principal]]</f>
        <v>297485.3371899561</v>
      </c>
      <c r="Q752" s="15">
        <f>Output[[#This Row],[Droit Utilisation]]/Output[[#This Row],[Duree_Mois]]</f>
        <v>5565.2357686805326</v>
      </c>
    </row>
    <row r="753" spans="1:17" x14ac:dyDescent="0.25">
      <c r="A753" s="11" t="s">
        <v>13</v>
      </c>
      <c r="B753" s="12">
        <v>43891</v>
      </c>
      <c r="C753">
        <v>6000</v>
      </c>
      <c r="D753">
        <v>5</v>
      </c>
      <c r="E753">
        <v>0.03</v>
      </c>
      <c r="F753">
        <v>60</v>
      </c>
      <c r="G753" s="13">
        <v>44135</v>
      </c>
      <c r="H753">
        <v>752</v>
      </c>
      <c r="I753">
        <v>8</v>
      </c>
      <c r="J753">
        <v>2.5000000000000001E-3</v>
      </c>
      <c r="K753" s="14">
        <v>5881.3388268821909</v>
      </c>
      <c r="L753" s="14">
        <v>333914.14612083195</v>
      </c>
      <c r="M753" s="36">
        <f>IF(Output[[#This Row],[Index]]=1,Output[[#This Row],[Droit Utilisation]],P752)</f>
        <v>297485.3371899561</v>
      </c>
      <c r="N753" s="15">
        <f>Output[[#This Row],[Capital Debut Period]]*Output[[#This Row],[Tx_interet_M]]</f>
        <v>743.71334297489022</v>
      </c>
      <c r="O753" s="15">
        <f>Output[[#This Row],[Mensualité initial]]-Output[[#This Row],[Interet]]</f>
        <v>5256.2866570251099</v>
      </c>
      <c r="P753" s="15">
        <f>Output[[#This Row],[Capital Debut Period]]-Output[[#This Row],[Paiement Principal]]</f>
        <v>292229.050532931</v>
      </c>
      <c r="Q753" s="15">
        <f>Output[[#This Row],[Droit Utilisation]]/Output[[#This Row],[Duree_Mois]]</f>
        <v>5565.2357686805326</v>
      </c>
    </row>
    <row r="754" spans="1:17" x14ac:dyDescent="0.25">
      <c r="A754" s="11" t="s">
        <v>13</v>
      </c>
      <c r="B754" s="12">
        <v>43891</v>
      </c>
      <c r="C754">
        <v>6000</v>
      </c>
      <c r="D754">
        <v>5</v>
      </c>
      <c r="E754">
        <v>0.03</v>
      </c>
      <c r="F754">
        <v>60</v>
      </c>
      <c r="G754" s="13">
        <v>44165</v>
      </c>
      <c r="H754">
        <v>753</v>
      </c>
      <c r="I754">
        <v>9</v>
      </c>
      <c r="J754">
        <v>2.5000000000000001E-3</v>
      </c>
      <c r="K754" s="14">
        <v>5866.6721465159017</v>
      </c>
      <c r="L754" s="14">
        <v>333914.14612083195</v>
      </c>
      <c r="M754" s="36">
        <f>IF(Output[[#This Row],[Index]]=1,Output[[#This Row],[Droit Utilisation]],P753)</f>
        <v>292229.050532931</v>
      </c>
      <c r="N754" s="15">
        <f>Output[[#This Row],[Capital Debut Period]]*Output[[#This Row],[Tx_interet_M]]</f>
        <v>730.57262633232756</v>
      </c>
      <c r="O754" s="15">
        <f>Output[[#This Row],[Mensualité initial]]-Output[[#This Row],[Interet]]</f>
        <v>5269.4273736676723</v>
      </c>
      <c r="P754" s="15">
        <f>Output[[#This Row],[Capital Debut Period]]-Output[[#This Row],[Paiement Principal]]</f>
        <v>286959.62315926334</v>
      </c>
      <c r="Q754" s="15">
        <f>Output[[#This Row],[Droit Utilisation]]/Output[[#This Row],[Duree_Mois]]</f>
        <v>5565.2357686805326</v>
      </c>
    </row>
    <row r="755" spans="1:17" x14ac:dyDescent="0.25">
      <c r="A755" s="11" t="s">
        <v>13</v>
      </c>
      <c r="B755" s="12">
        <v>43891</v>
      </c>
      <c r="C755">
        <v>6000</v>
      </c>
      <c r="D755">
        <v>5</v>
      </c>
      <c r="E755">
        <v>0.03</v>
      </c>
      <c r="F755">
        <v>60</v>
      </c>
      <c r="G755" s="13">
        <v>44196</v>
      </c>
      <c r="H755">
        <v>754</v>
      </c>
      <c r="I755">
        <v>10</v>
      </c>
      <c r="J755">
        <v>2.5000000000000001E-3</v>
      </c>
      <c r="K755" s="14">
        <v>5852.042041412371</v>
      </c>
      <c r="L755" s="14">
        <v>333914.14612083195</v>
      </c>
      <c r="M755" s="36">
        <f>IF(Output[[#This Row],[Index]]=1,Output[[#This Row],[Droit Utilisation]],P754)</f>
        <v>286959.62315926334</v>
      </c>
      <c r="N755" s="15">
        <f>Output[[#This Row],[Capital Debut Period]]*Output[[#This Row],[Tx_interet_M]]</f>
        <v>717.39905789815839</v>
      </c>
      <c r="O755" s="15">
        <f>Output[[#This Row],[Mensualité initial]]-Output[[#This Row],[Interet]]</f>
        <v>5282.6009421018416</v>
      </c>
      <c r="P755" s="15">
        <f>Output[[#This Row],[Capital Debut Period]]-Output[[#This Row],[Paiement Principal]]</f>
        <v>281677.02221716149</v>
      </c>
      <c r="Q755" s="15">
        <f>Output[[#This Row],[Droit Utilisation]]/Output[[#This Row],[Duree_Mois]]</f>
        <v>5565.2357686805326</v>
      </c>
    </row>
    <row r="756" spans="1:17" x14ac:dyDescent="0.25">
      <c r="A756" s="11" t="s">
        <v>13</v>
      </c>
      <c r="B756" s="12">
        <v>43891</v>
      </c>
      <c r="C756">
        <v>6000</v>
      </c>
      <c r="D756">
        <v>5</v>
      </c>
      <c r="E756">
        <v>0.03</v>
      </c>
      <c r="F756">
        <v>60</v>
      </c>
      <c r="G756" s="13">
        <v>44227</v>
      </c>
      <c r="H756">
        <v>755</v>
      </c>
      <c r="I756">
        <v>11</v>
      </c>
      <c r="J756">
        <v>2.5000000000000001E-3</v>
      </c>
      <c r="K756" s="14">
        <v>5837.4484203614675</v>
      </c>
      <c r="L756" s="14">
        <v>333914.14612083195</v>
      </c>
      <c r="M756" s="36">
        <f>IF(Output[[#This Row],[Index]]=1,Output[[#This Row],[Droit Utilisation]],P755)</f>
        <v>281677.02221716149</v>
      </c>
      <c r="N756" s="15">
        <f>Output[[#This Row],[Capital Debut Period]]*Output[[#This Row],[Tx_interet_M]]</f>
        <v>704.19255554290373</v>
      </c>
      <c r="O756" s="15">
        <f>Output[[#This Row],[Mensualité initial]]-Output[[#This Row],[Interet]]</f>
        <v>5295.8074444570966</v>
      </c>
      <c r="P756" s="15">
        <f>Output[[#This Row],[Capital Debut Period]]-Output[[#This Row],[Paiement Principal]]</f>
        <v>276381.21477270441</v>
      </c>
      <c r="Q756" s="15">
        <f>Output[[#This Row],[Droit Utilisation]]/Output[[#This Row],[Duree_Mois]]</f>
        <v>5565.2357686805326</v>
      </c>
    </row>
    <row r="757" spans="1:17" x14ac:dyDescent="0.25">
      <c r="A757" s="11" t="s">
        <v>13</v>
      </c>
      <c r="B757" s="12">
        <v>43891</v>
      </c>
      <c r="C757">
        <v>6000</v>
      </c>
      <c r="D757">
        <v>5</v>
      </c>
      <c r="E757">
        <v>0.03</v>
      </c>
      <c r="F757">
        <v>60</v>
      </c>
      <c r="G757" s="13">
        <v>44255</v>
      </c>
      <c r="H757">
        <v>756</v>
      </c>
      <c r="I757">
        <v>12</v>
      </c>
      <c r="J757">
        <v>2.5000000000000001E-3</v>
      </c>
      <c r="K757" s="14">
        <v>5822.8911923805163</v>
      </c>
      <c r="L757" s="14">
        <v>333914.14612083195</v>
      </c>
      <c r="M757" s="36">
        <f>IF(Output[[#This Row],[Index]]=1,Output[[#This Row],[Droit Utilisation]],P756)</f>
        <v>276381.21477270441</v>
      </c>
      <c r="N757" s="15">
        <f>Output[[#This Row],[Capital Debut Period]]*Output[[#This Row],[Tx_interet_M]]</f>
        <v>690.95303693176106</v>
      </c>
      <c r="O757" s="15">
        <f>Output[[#This Row],[Mensualité initial]]-Output[[#This Row],[Interet]]</f>
        <v>5309.0469630682392</v>
      </c>
      <c r="P757" s="15">
        <f>Output[[#This Row],[Capital Debut Period]]-Output[[#This Row],[Paiement Principal]]</f>
        <v>271072.16780963616</v>
      </c>
      <c r="Q757" s="15">
        <f>Output[[#This Row],[Droit Utilisation]]/Output[[#This Row],[Duree_Mois]]</f>
        <v>5565.2357686805326</v>
      </c>
    </row>
    <row r="758" spans="1:17" x14ac:dyDescent="0.25">
      <c r="A758" s="11" t="s">
        <v>13</v>
      </c>
      <c r="B758" s="12">
        <v>43891</v>
      </c>
      <c r="C758">
        <v>6000</v>
      </c>
      <c r="D758">
        <v>5</v>
      </c>
      <c r="E758">
        <v>0.03</v>
      </c>
      <c r="F758">
        <v>60</v>
      </c>
      <c r="G758" s="13">
        <v>44286</v>
      </c>
      <c r="H758">
        <v>757</v>
      </c>
      <c r="I758">
        <v>13</v>
      </c>
      <c r="J758">
        <v>2.5000000000000001E-3</v>
      </c>
      <c r="K758" s="14">
        <v>5808.3702667137322</v>
      </c>
      <c r="L758" s="14">
        <v>333914.14612083195</v>
      </c>
      <c r="M758" s="36">
        <f>IF(Output[[#This Row],[Index]]=1,Output[[#This Row],[Droit Utilisation]],P757)</f>
        <v>271072.16780963616</v>
      </c>
      <c r="N758" s="15">
        <f>Output[[#This Row],[Capital Debut Period]]*Output[[#This Row],[Tx_interet_M]]</f>
        <v>677.68041952409044</v>
      </c>
      <c r="O758" s="15">
        <f>Output[[#This Row],[Mensualité initial]]-Output[[#This Row],[Interet]]</f>
        <v>5322.3195804759098</v>
      </c>
      <c r="P758" s="15">
        <f>Output[[#This Row],[Capital Debut Period]]-Output[[#This Row],[Paiement Principal]]</f>
        <v>265749.84822916024</v>
      </c>
      <c r="Q758" s="15">
        <f>Output[[#This Row],[Droit Utilisation]]/Output[[#This Row],[Duree_Mois]]</f>
        <v>5565.2357686805326</v>
      </c>
    </row>
    <row r="759" spans="1:17" x14ac:dyDescent="0.25">
      <c r="A759" s="11" t="s">
        <v>13</v>
      </c>
      <c r="B759" s="12">
        <v>43891</v>
      </c>
      <c r="C759">
        <v>6000</v>
      </c>
      <c r="D759">
        <v>5</v>
      </c>
      <c r="E759">
        <v>0.03</v>
      </c>
      <c r="F759">
        <v>60</v>
      </c>
      <c r="G759" s="13">
        <v>44316</v>
      </c>
      <c r="H759">
        <v>758</v>
      </c>
      <c r="I759">
        <v>14</v>
      </c>
      <c r="J759">
        <v>2.5000000000000001E-3</v>
      </c>
      <c r="K759" s="14">
        <v>5793.8855528316535</v>
      </c>
      <c r="L759" s="14">
        <v>333914.14612083195</v>
      </c>
      <c r="M759" s="36">
        <f>IF(Output[[#This Row],[Index]]=1,Output[[#This Row],[Droit Utilisation]],P758)</f>
        <v>265749.84822916024</v>
      </c>
      <c r="N759" s="15">
        <f>Output[[#This Row],[Capital Debut Period]]*Output[[#This Row],[Tx_interet_M]]</f>
        <v>664.37462057290065</v>
      </c>
      <c r="O759" s="15">
        <f>Output[[#This Row],[Mensualité initial]]-Output[[#This Row],[Interet]]</f>
        <v>5335.6253794270997</v>
      </c>
      <c r="P759" s="15">
        <f>Output[[#This Row],[Capital Debut Period]]-Output[[#This Row],[Paiement Principal]]</f>
        <v>260414.22284973314</v>
      </c>
      <c r="Q759" s="15">
        <f>Output[[#This Row],[Droit Utilisation]]/Output[[#This Row],[Duree_Mois]]</f>
        <v>5565.2357686805326</v>
      </c>
    </row>
    <row r="760" spans="1:17" x14ac:dyDescent="0.25">
      <c r="A760" s="11" t="s">
        <v>13</v>
      </c>
      <c r="B760" s="12">
        <v>43891</v>
      </c>
      <c r="C760">
        <v>6000</v>
      </c>
      <c r="D760">
        <v>5</v>
      </c>
      <c r="E760">
        <v>0.03</v>
      </c>
      <c r="F760">
        <v>60</v>
      </c>
      <c r="G760" s="13">
        <v>44347</v>
      </c>
      <c r="H760">
        <v>759</v>
      </c>
      <c r="I760">
        <v>15</v>
      </c>
      <c r="J760">
        <v>2.5000000000000001E-3</v>
      </c>
      <c r="K760" s="14">
        <v>5779.4369604305775</v>
      </c>
      <c r="L760" s="14">
        <v>333914.14612083195</v>
      </c>
      <c r="M760" s="36">
        <f>IF(Output[[#This Row],[Index]]=1,Output[[#This Row],[Droit Utilisation]],P759)</f>
        <v>260414.22284973314</v>
      </c>
      <c r="N760" s="15">
        <f>Output[[#This Row],[Capital Debut Period]]*Output[[#This Row],[Tx_interet_M]]</f>
        <v>651.03555712433285</v>
      </c>
      <c r="O760" s="15">
        <f>Output[[#This Row],[Mensualité initial]]-Output[[#This Row],[Interet]]</f>
        <v>5348.9644428756674</v>
      </c>
      <c r="P760" s="15">
        <f>Output[[#This Row],[Capital Debut Period]]-Output[[#This Row],[Paiement Principal]]</f>
        <v>255065.25840685747</v>
      </c>
      <c r="Q760" s="15">
        <f>Output[[#This Row],[Droit Utilisation]]/Output[[#This Row],[Duree_Mois]]</f>
        <v>5565.2357686805326</v>
      </c>
    </row>
    <row r="761" spans="1:17" x14ac:dyDescent="0.25">
      <c r="A761" s="11" t="s">
        <v>13</v>
      </c>
      <c r="B761" s="12">
        <v>43891</v>
      </c>
      <c r="C761">
        <v>6000</v>
      </c>
      <c r="D761">
        <v>5</v>
      </c>
      <c r="E761">
        <v>0.03</v>
      </c>
      <c r="F761">
        <v>60</v>
      </c>
      <c r="G761" s="13">
        <v>44377</v>
      </c>
      <c r="H761">
        <v>760</v>
      </c>
      <c r="I761">
        <v>16</v>
      </c>
      <c r="J761">
        <v>2.5000000000000001E-3</v>
      </c>
      <c r="K761" s="14">
        <v>5765.0243994319981</v>
      </c>
      <c r="L761" s="14">
        <v>333914.14612083195</v>
      </c>
      <c r="M761" s="36">
        <f>IF(Output[[#This Row],[Index]]=1,Output[[#This Row],[Droit Utilisation]],P760)</f>
        <v>255065.25840685747</v>
      </c>
      <c r="N761" s="15">
        <f>Output[[#This Row],[Capital Debut Period]]*Output[[#This Row],[Tx_interet_M]]</f>
        <v>637.66314601714373</v>
      </c>
      <c r="O761" s="15">
        <f>Output[[#This Row],[Mensualité initial]]-Output[[#This Row],[Interet]]</f>
        <v>5362.3368539828562</v>
      </c>
      <c r="P761" s="15">
        <f>Output[[#This Row],[Capital Debut Period]]-Output[[#This Row],[Paiement Principal]]</f>
        <v>249702.92155287461</v>
      </c>
      <c r="Q761" s="15">
        <f>Output[[#This Row],[Droit Utilisation]]/Output[[#This Row],[Duree_Mois]]</f>
        <v>5565.2357686805326</v>
      </c>
    </row>
    <row r="762" spans="1:17" x14ac:dyDescent="0.25">
      <c r="A762" s="11" t="s">
        <v>13</v>
      </c>
      <c r="B762" s="12">
        <v>43891</v>
      </c>
      <c r="C762">
        <v>6000</v>
      </c>
      <c r="D762">
        <v>5</v>
      </c>
      <c r="E762">
        <v>0.03</v>
      </c>
      <c r="F762">
        <v>60</v>
      </c>
      <c r="G762" s="13">
        <v>44408</v>
      </c>
      <c r="H762">
        <v>761</v>
      </c>
      <c r="I762">
        <v>17</v>
      </c>
      <c r="J762">
        <v>2.5000000000000001E-3</v>
      </c>
      <c r="K762" s="14">
        <v>5750.6477799820432</v>
      </c>
      <c r="L762" s="14">
        <v>333914.14612083195</v>
      </c>
      <c r="M762" s="36">
        <f>IF(Output[[#This Row],[Index]]=1,Output[[#This Row],[Droit Utilisation]],P761)</f>
        <v>249702.92155287461</v>
      </c>
      <c r="N762" s="15">
        <f>Output[[#This Row],[Capital Debut Period]]*Output[[#This Row],[Tx_interet_M]]</f>
        <v>624.25730388218653</v>
      </c>
      <c r="O762" s="15">
        <f>Output[[#This Row],[Mensualité initial]]-Output[[#This Row],[Interet]]</f>
        <v>5375.7426961178135</v>
      </c>
      <c r="P762" s="15">
        <f>Output[[#This Row],[Capital Debut Period]]-Output[[#This Row],[Paiement Principal]]</f>
        <v>244327.1788567568</v>
      </c>
      <c r="Q762" s="15">
        <f>Output[[#This Row],[Droit Utilisation]]/Output[[#This Row],[Duree_Mois]]</f>
        <v>5565.2357686805326</v>
      </c>
    </row>
    <row r="763" spans="1:17" x14ac:dyDescent="0.25">
      <c r="A763" s="11" t="s">
        <v>13</v>
      </c>
      <c r="B763" s="12">
        <v>43891</v>
      </c>
      <c r="C763">
        <v>6000</v>
      </c>
      <c r="D763">
        <v>5</v>
      </c>
      <c r="E763">
        <v>0.03</v>
      </c>
      <c r="F763">
        <v>60</v>
      </c>
      <c r="G763" s="13">
        <v>44439</v>
      </c>
      <c r="H763">
        <v>762</v>
      </c>
      <c r="I763">
        <v>18</v>
      </c>
      <c r="J763">
        <v>2.5000000000000001E-3</v>
      </c>
      <c r="K763" s="14">
        <v>5736.3070124509168</v>
      </c>
      <c r="L763" s="14">
        <v>333914.14612083195</v>
      </c>
      <c r="M763" s="36">
        <f>IF(Output[[#This Row],[Index]]=1,Output[[#This Row],[Droit Utilisation]],P762)</f>
        <v>244327.1788567568</v>
      </c>
      <c r="N763" s="15">
        <f>Output[[#This Row],[Capital Debut Period]]*Output[[#This Row],[Tx_interet_M]]</f>
        <v>610.81794714189198</v>
      </c>
      <c r="O763" s="15">
        <f>Output[[#This Row],[Mensualité initial]]-Output[[#This Row],[Interet]]</f>
        <v>5389.1820528581084</v>
      </c>
      <c r="P763" s="15">
        <f>Output[[#This Row],[Capital Debut Period]]-Output[[#This Row],[Paiement Principal]]</f>
        <v>238937.99680389868</v>
      </c>
      <c r="Q763" s="15">
        <f>Output[[#This Row],[Droit Utilisation]]/Output[[#This Row],[Duree_Mois]]</f>
        <v>5565.2357686805326</v>
      </c>
    </row>
    <row r="764" spans="1:17" x14ac:dyDescent="0.25">
      <c r="A764" s="11" t="s">
        <v>13</v>
      </c>
      <c r="B764" s="12">
        <v>43891</v>
      </c>
      <c r="C764">
        <v>6000</v>
      </c>
      <c r="D764">
        <v>5</v>
      </c>
      <c r="E764">
        <v>0.03</v>
      </c>
      <c r="F764">
        <v>60</v>
      </c>
      <c r="G764" s="13">
        <v>44469</v>
      </c>
      <c r="H764">
        <v>763</v>
      </c>
      <c r="I764">
        <v>19</v>
      </c>
      <c r="J764">
        <v>2.5000000000000001E-3</v>
      </c>
      <c r="K764" s="14">
        <v>5722.0020074323356</v>
      </c>
      <c r="L764" s="14">
        <v>333914.14612083195</v>
      </c>
      <c r="M764" s="36">
        <f>IF(Output[[#This Row],[Index]]=1,Output[[#This Row],[Droit Utilisation]],P763)</f>
        <v>238937.99680389868</v>
      </c>
      <c r="N764" s="15">
        <f>Output[[#This Row],[Capital Debut Period]]*Output[[#This Row],[Tx_interet_M]]</f>
        <v>597.34499200974676</v>
      </c>
      <c r="O764" s="15">
        <f>Output[[#This Row],[Mensualité initial]]-Output[[#This Row],[Interet]]</f>
        <v>5402.6550079902536</v>
      </c>
      <c r="P764" s="15">
        <f>Output[[#This Row],[Capital Debut Period]]-Output[[#This Row],[Paiement Principal]]</f>
        <v>233535.34179590843</v>
      </c>
      <c r="Q764" s="15">
        <f>Output[[#This Row],[Droit Utilisation]]/Output[[#This Row],[Duree_Mois]]</f>
        <v>5565.2357686805326</v>
      </c>
    </row>
    <row r="765" spans="1:17" x14ac:dyDescent="0.25">
      <c r="A765" s="11" t="s">
        <v>13</v>
      </c>
      <c r="B765" s="12">
        <v>43891</v>
      </c>
      <c r="C765">
        <v>6000</v>
      </c>
      <c r="D765">
        <v>5</v>
      </c>
      <c r="E765">
        <v>0.03</v>
      </c>
      <c r="F765">
        <v>60</v>
      </c>
      <c r="G765" s="13">
        <v>44500</v>
      </c>
      <c r="H765">
        <v>764</v>
      </c>
      <c r="I765">
        <v>20</v>
      </c>
      <c r="J765">
        <v>2.5000000000000001E-3</v>
      </c>
      <c r="K765" s="14">
        <v>5707.7326757429792</v>
      </c>
      <c r="L765" s="14">
        <v>333914.14612083195</v>
      </c>
      <c r="M765" s="36">
        <f>IF(Output[[#This Row],[Index]]=1,Output[[#This Row],[Droit Utilisation]],P764)</f>
        <v>233535.34179590843</v>
      </c>
      <c r="N765" s="15">
        <f>Output[[#This Row],[Capital Debut Period]]*Output[[#This Row],[Tx_interet_M]]</f>
        <v>583.83835448977106</v>
      </c>
      <c r="O765" s="15">
        <f>Output[[#This Row],[Mensualité initial]]-Output[[#This Row],[Interet]]</f>
        <v>5416.1616455102285</v>
      </c>
      <c r="P765" s="15">
        <f>Output[[#This Row],[Capital Debut Period]]-Output[[#This Row],[Paiement Principal]]</f>
        <v>228119.1801503982</v>
      </c>
      <c r="Q765" s="15">
        <f>Output[[#This Row],[Droit Utilisation]]/Output[[#This Row],[Duree_Mois]]</f>
        <v>5565.2357686805326</v>
      </c>
    </row>
    <row r="766" spans="1:17" x14ac:dyDescent="0.25">
      <c r="A766" s="11" t="s">
        <v>13</v>
      </c>
      <c r="B766" s="12">
        <v>43891</v>
      </c>
      <c r="C766">
        <v>6000</v>
      </c>
      <c r="D766">
        <v>5</v>
      </c>
      <c r="E766">
        <v>0.03</v>
      </c>
      <c r="F766">
        <v>60</v>
      </c>
      <c r="G766" s="13">
        <v>44530</v>
      </c>
      <c r="H766">
        <v>765</v>
      </c>
      <c r="I766">
        <v>21</v>
      </c>
      <c r="J766">
        <v>2.5000000000000001E-3</v>
      </c>
      <c r="K766" s="14">
        <v>5693.4989284219246</v>
      </c>
      <c r="L766" s="14">
        <v>333914.14612083195</v>
      </c>
      <c r="M766" s="36">
        <f>IF(Output[[#This Row],[Index]]=1,Output[[#This Row],[Droit Utilisation]],P765)</f>
        <v>228119.1801503982</v>
      </c>
      <c r="N766" s="15">
        <f>Output[[#This Row],[Capital Debut Period]]*Output[[#This Row],[Tx_interet_M]]</f>
        <v>570.29795037599547</v>
      </c>
      <c r="O766" s="15">
        <f>Output[[#This Row],[Mensualité initial]]-Output[[#This Row],[Interet]]</f>
        <v>5429.7020496240048</v>
      </c>
      <c r="P766" s="15">
        <f>Output[[#This Row],[Capital Debut Period]]-Output[[#This Row],[Paiement Principal]]</f>
        <v>222689.4781007742</v>
      </c>
      <c r="Q766" s="15">
        <f>Output[[#This Row],[Droit Utilisation]]/Output[[#This Row],[Duree_Mois]]</f>
        <v>5565.2357686805326</v>
      </c>
    </row>
    <row r="767" spans="1:17" x14ac:dyDescent="0.25">
      <c r="A767" s="11" t="s">
        <v>13</v>
      </c>
      <c r="B767" s="12">
        <v>43891</v>
      </c>
      <c r="C767">
        <v>6000</v>
      </c>
      <c r="D767">
        <v>5</v>
      </c>
      <c r="E767">
        <v>0.03</v>
      </c>
      <c r="F767">
        <v>60</v>
      </c>
      <c r="G767" s="13">
        <v>44561</v>
      </c>
      <c r="H767">
        <v>766</v>
      </c>
      <c r="I767">
        <v>22</v>
      </c>
      <c r="J767">
        <v>2.5000000000000001E-3</v>
      </c>
      <c r="K767" s="14">
        <v>5679.3006767300994</v>
      </c>
      <c r="L767" s="14">
        <v>333914.14612083195</v>
      </c>
      <c r="M767" s="36">
        <f>IF(Output[[#This Row],[Index]]=1,Output[[#This Row],[Droit Utilisation]],P766)</f>
        <v>222689.4781007742</v>
      </c>
      <c r="N767" s="15">
        <f>Output[[#This Row],[Capital Debut Period]]*Output[[#This Row],[Tx_interet_M]]</f>
        <v>556.72369525193551</v>
      </c>
      <c r="O767" s="15">
        <f>Output[[#This Row],[Mensualité initial]]-Output[[#This Row],[Interet]]</f>
        <v>5443.2763047480648</v>
      </c>
      <c r="P767" s="15">
        <f>Output[[#This Row],[Capital Debut Period]]-Output[[#This Row],[Paiement Principal]]</f>
        <v>217246.20179602614</v>
      </c>
      <c r="Q767" s="15">
        <f>Output[[#This Row],[Droit Utilisation]]/Output[[#This Row],[Duree_Mois]]</f>
        <v>5565.2357686805326</v>
      </c>
    </row>
    <row r="768" spans="1:17" x14ac:dyDescent="0.25">
      <c r="A768" s="11" t="s">
        <v>13</v>
      </c>
      <c r="B768" s="12">
        <v>43891</v>
      </c>
      <c r="C768">
        <v>6000</v>
      </c>
      <c r="D768">
        <v>5</v>
      </c>
      <c r="E768">
        <v>0.03</v>
      </c>
      <c r="F768">
        <v>60</v>
      </c>
      <c r="G768" s="13">
        <v>44592</v>
      </c>
      <c r="H768">
        <v>767</v>
      </c>
      <c r="I768">
        <v>23</v>
      </c>
      <c r="J768">
        <v>2.5000000000000001E-3</v>
      </c>
      <c r="K768" s="14">
        <v>5665.137832149725</v>
      </c>
      <c r="L768" s="14">
        <v>333914.14612083195</v>
      </c>
      <c r="M768" s="36">
        <f>IF(Output[[#This Row],[Index]]=1,Output[[#This Row],[Droit Utilisation]],P767)</f>
        <v>217246.20179602614</v>
      </c>
      <c r="N768" s="15">
        <f>Output[[#This Row],[Capital Debut Period]]*Output[[#This Row],[Tx_interet_M]]</f>
        <v>543.1155044900654</v>
      </c>
      <c r="O768" s="15">
        <f>Output[[#This Row],[Mensualité initial]]-Output[[#This Row],[Interet]]</f>
        <v>5456.8844955099348</v>
      </c>
      <c r="P768" s="15">
        <f>Output[[#This Row],[Capital Debut Period]]-Output[[#This Row],[Paiement Principal]]</f>
        <v>211789.31730051621</v>
      </c>
      <c r="Q768" s="15">
        <f>Output[[#This Row],[Droit Utilisation]]/Output[[#This Row],[Duree_Mois]]</f>
        <v>5565.2357686805326</v>
      </c>
    </row>
    <row r="769" spans="1:17" x14ac:dyDescent="0.25">
      <c r="A769" s="11" t="s">
        <v>13</v>
      </c>
      <c r="B769" s="12">
        <v>43891</v>
      </c>
      <c r="C769">
        <v>6000</v>
      </c>
      <c r="D769">
        <v>5</v>
      </c>
      <c r="E769">
        <v>0.03</v>
      </c>
      <c r="F769">
        <v>60</v>
      </c>
      <c r="G769" s="13">
        <v>44620</v>
      </c>
      <c r="H769">
        <v>768</v>
      </c>
      <c r="I769">
        <v>24</v>
      </c>
      <c r="J769">
        <v>2.5000000000000001E-3</v>
      </c>
      <c r="K769" s="14">
        <v>5651.010306383766</v>
      </c>
      <c r="L769" s="14">
        <v>333914.14612083195</v>
      </c>
      <c r="M769" s="36">
        <f>IF(Output[[#This Row],[Index]]=1,Output[[#This Row],[Droit Utilisation]],P768)</f>
        <v>211789.31730051621</v>
      </c>
      <c r="N769" s="15">
        <f>Output[[#This Row],[Capital Debut Period]]*Output[[#This Row],[Tx_interet_M]]</f>
        <v>529.47329325129056</v>
      </c>
      <c r="O769" s="15">
        <f>Output[[#This Row],[Mensualité initial]]-Output[[#This Row],[Interet]]</f>
        <v>5470.5267067487093</v>
      </c>
      <c r="P769" s="15">
        <f>Output[[#This Row],[Capital Debut Period]]-Output[[#This Row],[Paiement Principal]]</f>
        <v>206318.79059376751</v>
      </c>
      <c r="Q769" s="15">
        <f>Output[[#This Row],[Droit Utilisation]]/Output[[#This Row],[Duree_Mois]]</f>
        <v>5565.2357686805326</v>
      </c>
    </row>
    <row r="770" spans="1:17" x14ac:dyDescent="0.25">
      <c r="A770" s="11" t="s">
        <v>13</v>
      </c>
      <c r="B770" s="12">
        <v>43891</v>
      </c>
      <c r="C770">
        <v>6000</v>
      </c>
      <c r="D770">
        <v>5</v>
      </c>
      <c r="E770">
        <v>0.03</v>
      </c>
      <c r="F770">
        <v>60</v>
      </c>
      <c r="G770" s="13">
        <v>44651</v>
      </c>
      <c r="H770">
        <v>769</v>
      </c>
      <c r="I770">
        <v>25</v>
      </c>
      <c r="J770">
        <v>2.5000000000000001E-3</v>
      </c>
      <c r="K770" s="14">
        <v>5636.9180113553775</v>
      </c>
      <c r="L770" s="14">
        <v>333914.14612083195</v>
      </c>
      <c r="M770" s="36">
        <f>IF(Output[[#This Row],[Index]]=1,Output[[#This Row],[Droit Utilisation]],P769)</f>
        <v>206318.79059376751</v>
      </c>
      <c r="N770" s="15">
        <f>Output[[#This Row],[Capital Debut Period]]*Output[[#This Row],[Tx_interet_M]]</f>
        <v>515.79697648441879</v>
      </c>
      <c r="O770" s="15">
        <f>Output[[#This Row],[Mensualité initial]]-Output[[#This Row],[Interet]]</f>
        <v>5484.2030235155817</v>
      </c>
      <c r="P770" s="15">
        <f>Output[[#This Row],[Capital Debut Period]]-Output[[#This Row],[Paiement Principal]]</f>
        <v>200834.58757025193</v>
      </c>
      <c r="Q770" s="15">
        <f>Output[[#This Row],[Droit Utilisation]]/Output[[#This Row],[Duree_Mois]]</f>
        <v>5565.2357686805326</v>
      </c>
    </row>
    <row r="771" spans="1:17" x14ac:dyDescent="0.25">
      <c r="A771" s="11" t="s">
        <v>13</v>
      </c>
      <c r="B771" s="12">
        <v>43891</v>
      </c>
      <c r="C771">
        <v>6000</v>
      </c>
      <c r="D771">
        <v>5</v>
      </c>
      <c r="E771">
        <v>0.03</v>
      </c>
      <c r="F771">
        <v>60</v>
      </c>
      <c r="G771" s="13">
        <v>44681</v>
      </c>
      <c r="H771">
        <v>770</v>
      </c>
      <c r="I771">
        <v>26</v>
      </c>
      <c r="J771">
        <v>2.5000000000000001E-3</v>
      </c>
      <c r="K771" s="14">
        <v>5622.8608592073597</v>
      </c>
      <c r="L771" s="14">
        <v>333914.14612083195</v>
      </c>
      <c r="M771" s="36">
        <f>IF(Output[[#This Row],[Index]]=1,Output[[#This Row],[Droit Utilisation]],P770)</f>
        <v>200834.58757025193</v>
      </c>
      <c r="N771" s="15">
        <f>Output[[#This Row],[Capital Debut Period]]*Output[[#This Row],[Tx_interet_M]]</f>
        <v>502.08646892562984</v>
      </c>
      <c r="O771" s="15">
        <f>Output[[#This Row],[Mensualité initial]]-Output[[#This Row],[Interet]]</f>
        <v>5497.9135310743704</v>
      </c>
      <c r="P771" s="15">
        <f>Output[[#This Row],[Capital Debut Period]]-Output[[#This Row],[Paiement Principal]]</f>
        <v>195336.67403917757</v>
      </c>
      <c r="Q771" s="15">
        <f>Output[[#This Row],[Droit Utilisation]]/Output[[#This Row],[Duree_Mois]]</f>
        <v>5565.2357686805326</v>
      </c>
    </row>
    <row r="772" spans="1:17" x14ac:dyDescent="0.25">
      <c r="A772" s="11" t="s">
        <v>13</v>
      </c>
      <c r="B772" s="12">
        <v>43891</v>
      </c>
      <c r="C772">
        <v>6000</v>
      </c>
      <c r="D772">
        <v>5</v>
      </c>
      <c r="E772">
        <v>0.03</v>
      </c>
      <c r="F772">
        <v>60</v>
      </c>
      <c r="G772" s="13">
        <v>44712</v>
      </c>
      <c r="H772">
        <v>771</v>
      </c>
      <c r="I772">
        <v>27</v>
      </c>
      <c r="J772">
        <v>2.5000000000000001E-3</v>
      </c>
      <c r="K772" s="14">
        <v>5608.838762301606</v>
      </c>
      <c r="L772" s="14">
        <v>333914.14612083195</v>
      </c>
      <c r="M772" s="36">
        <f>IF(Output[[#This Row],[Index]]=1,Output[[#This Row],[Droit Utilisation]],P771)</f>
        <v>195336.67403917757</v>
      </c>
      <c r="N772" s="15">
        <f>Output[[#This Row],[Capital Debut Period]]*Output[[#This Row],[Tx_interet_M]]</f>
        <v>488.34168509794392</v>
      </c>
      <c r="O772" s="15">
        <f>Output[[#This Row],[Mensualité initial]]-Output[[#This Row],[Interet]]</f>
        <v>5511.6583149020562</v>
      </c>
      <c r="P772" s="15">
        <f>Output[[#This Row],[Capital Debut Period]]-Output[[#This Row],[Paiement Principal]]</f>
        <v>189825.01572427552</v>
      </c>
      <c r="Q772" s="15">
        <f>Output[[#This Row],[Droit Utilisation]]/Output[[#This Row],[Duree_Mois]]</f>
        <v>5565.2357686805326</v>
      </c>
    </row>
    <row r="773" spans="1:17" x14ac:dyDescent="0.25">
      <c r="A773" s="11" t="s">
        <v>13</v>
      </c>
      <c r="B773" s="12">
        <v>43891</v>
      </c>
      <c r="C773">
        <v>6000</v>
      </c>
      <c r="D773">
        <v>5</v>
      </c>
      <c r="E773">
        <v>0.03</v>
      </c>
      <c r="F773">
        <v>60</v>
      </c>
      <c r="G773" s="13">
        <v>44742</v>
      </c>
      <c r="H773">
        <v>772</v>
      </c>
      <c r="I773">
        <v>28</v>
      </c>
      <c r="J773">
        <v>2.5000000000000001E-3</v>
      </c>
      <c r="K773" s="14">
        <v>5594.85163321856</v>
      </c>
      <c r="L773" s="14">
        <v>333914.14612083195</v>
      </c>
      <c r="M773" s="36">
        <f>IF(Output[[#This Row],[Index]]=1,Output[[#This Row],[Droit Utilisation]],P772)</f>
        <v>189825.01572427552</v>
      </c>
      <c r="N773" s="15">
        <f>Output[[#This Row],[Capital Debut Period]]*Output[[#This Row],[Tx_interet_M]]</f>
        <v>474.56253931068881</v>
      </c>
      <c r="O773" s="15">
        <f>Output[[#This Row],[Mensualité initial]]-Output[[#This Row],[Interet]]</f>
        <v>5525.4374606893116</v>
      </c>
      <c r="P773" s="15">
        <f>Output[[#This Row],[Capital Debut Period]]-Output[[#This Row],[Paiement Principal]]</f>
        <v>184299.57826358621</v>
      </c>
      <c r="Q773" s="15">
        <f>Output[[#This Row],[Droit Utilisation]]/Output[[#This Row],[Duree_Mois]]</f>
        <v>5565.2357686805326</v>
      </c>
    </row>
    <row r="774" spans="1:17" x14ac:dyDescent="0.25">
      <c r="A774" s="11" t="s">
        <v>13</v>
      </c>
      <c r="B774" s="12">
        <v>43891</v>
      </c>
      <c r="C774">
        <v>6000</v>
      </c>
      <c r="D774">
        <v>5</v>
      </c>
      <c r="E774">
        <v>0.03</v>
      </c>
      <c r="F774">
        <v>60</v>
      </c>
      <c r="G774" s="13">
        <v>44773</v>
      </c>
      <c r="H774">
        <v>773</v>
      </c>
      <c r="I774">
        <v>29</v>
      </c>
      <c r="J774">
        <v>2.5000000000000001E-3</v>
      </c>
      <c r="K774" s="14">
        <v>5580.899384756669</v>
      </c>
      <c r="L774" s="14">
        <v>333914.14612083195</v>
      </c>
      <c r="M774" s="36">
        <f>IF(Output[[#This Row],[Index]]=1,Output[[#This Row],[Droit Utilisation]],P773)</f>
        <v>184299.57826358621</v>
      </c>
      <c r="N774" s="15">
        <f>Output[[#This Row],[Capital Debut Period]]*Output[[#This Row],[Tx_interet_M]]</f>
        <v>460.74894565896557</v>
      </c>
      <c r="O774" s="15">
        <f>Output[[#This Row],[Mensualité initial]]-Output[[#This Row],[Interet]]</f>
        <v>5539.2510543410344</v>
      </c>
      <c r="P774" s="15">
        <f>Output[[#This Row],[Capital Debut Period]]-Output[[#This Row],[Paiement Principal]]</f>
        <v>178760.32720924518</v>
      </c>
      <c r="Q774" s="15">
        <f>Output[[#This Row],[Droit Utilisation]]/Output[[#This Row],[Duree_Mois]]</f>
        <v>5565.2357686805326</v>
      </c>
    </row>
    <row r="775" spans="1:17" x14ac:dyDescent="0.25">
      <c r="A775" s="11" t="s">
        <v>13</v>
      </c>
      <c r="B775" s="12">
        <v>43891</v>
      </c>
      <c r="C775">
        <v>6000</v>
      </c>
      <c r="D775">
        <v>5</v>
      </c>
      <c r="E775">
        <v>0.03</v>
      </c>
      <c r="F775">
        <v>60</v>
      </c>
      <c r="G775" s="13">
        <v>44804</v>
      </c>
      <c r="H775">
        <v>774</v>
      </c>
      <c r="I775">
        <v>30</v>
      </c>
      <c r="J775">
        <v>2.5000000000000001E-3</v>
      </c>
      <c r="K775" s="14">
        <v>5566.9819299318397</v>
      </c>
      <c r="L775" s="14">
        <v>333914.14612083195</v>
      </c>
      <c r="M775" s="36">
        <f>IF(Output[[#This Row],[Index]]=1,Output[[#This Row],[Droit Utilisation]],P774)</f>
        <v>178760.32720924518</v>
      </c>
      <c r="N775" s="15">
        <f>Output[[#This Row],[Capital Debut Period]]*Output[[#This Row],[Tx_interet_M]]</f>
        <v>446.90081802311295</v>
      </c>
      <c r="O775" s="15">
        <f>Output[[#This Row],[Mensualité initial]]-Output[[#This Row],[Interet]]</f>
        <v>5553.0991819768869</v>
      </c>
      <c r="P775" s="15">
        <f>Output[[#This Row],[Capital Debut Period]]-Output[[#This Row],[Paiement Principal]]</f>
        <v>173207.22802726828</v>
      </c>
      <c r="Q775" s="15">
        <f>Output[[#This Row],[Droit Utilisation]]/Output[[#This Row],[Duree_Mois]]</f>
        <v>5565.2357686805326</v>
      </c>
    </row>
    <row r="776" spans="1:17" x14ac:dyDescent="0.25">
      <c r="A776" s="11" t="s">
        <v>13</v>
      </c>
      <c r="B776" s="12">
        <v>43891</v>
      </c>
      <c r="C776">
        <v>6000</v>
      </c>
      <c r="D776">
        <v>5</v>
      </c>
      <c r="E776">
        <v>0.03</v>
      </c>
      <c r="F776">
        <v>60</v>
      </c>
      <c r="G776" s="13">
        <v>44834</v>
      </c>
      <c r="H776">
        <v>775</v>
      </c>
      <c r="I776">
        <v>31</v>
      </c>
      <c r="J776">
        <v>2.5000000000000001E-3</v>
      </c>
      <c r="K776" s="14">
        <v>5553.0991819768969</v>
      </c>
      <c r="L776" s="14">
        <v>333914.14612083195</v>
      </c>
      <c r="M776" s="36">
        <f>IF(Output[[#This Row],[Index]]=1,Output[[#This Row],[Droit Utilisation]],P775)</f>
        <v>173207.22802726828</v>
      </c>
      <c r="N776" s="15">
        <f>Output[[#This Row],[Capital Debut Period]]*Output[[#This Row],[Tx_interet_M]]</f>
        <v>433.01807006817074</v>
      </c>
      <c r="O776" s="15">
        <f>Output[[#This Row],[Mensualité initial]]-Output[[#This Row],[Interet]]</f>
        <v>5566.9819299318297</v>
      </c>
      <c r="P776" s="15">
        <f>Output[[#This Row],[Capital Debut Period]]-Output[[#This Row],[Paiement Principal]]</f>
        <v>167640.24609733647</v>
      </c>
      <c r="Q776" s="15">
        <f>Output[[#This Row],[Droit Utilisation]]/Output[[#This Row],[Duree_Mois]]</f>
        <v>5565.2357686805326</v>
      </c>
    </row>
    <row r="777" spans="1:17" x14ac:dyDescent="0.25">
      <c r="A777" s="11" t="s">
        <v>13</v>
      </c>
      <c r="B777" s="12">
        <v>43891</v>
      </c>
      <c r="C777">
        <v>6000</v>
      </c>
      <c r="D777">
        <v>5</v>
      </c>
      <c r="E777">
        <v>0.03</v>
      </c>
      <c r="F777">
        <v>60</v>
      </c>
      <c r="G777" s="13">
        <v>44865</v>
      </c>
      <c r="H777">
        <v>776</v>
      </c>
      <c r="I777">
        <v>32</v>
      </c>
      <c r="J777">
        <v>2.5000000000000001E-3</v>
      </c>
      <c r="K777" s="14">
        <v>5539.2510543410453</v>
      </c>
      <c r="L777" s="14">
        <v>333914.14612083195</v>
      </c>
      <c r="M777" s="36">
        <f>IF(Output[[#This Row],[Index]]=1,Output[[#This Row],[Droit Utilisation]],P776)</f>
        <v>167640.24609733647</v>
      </c>
      <c r="N777" s="15">
        <f>Output[[#This Row],[Capital Debut Period]]*Output[[#This Row],[Tx_interet_M]]</f>
        <v>419.10061524334117</v>
      </c>
      <c r="O777" s="15">
        <f>Output[[#This Row],[Mensualité initial]]-Output[[#This Row],[Interet]]</f>
        <v>5580.8993847566589</v>
      </c>
      <c r="P777" s="15">
        <f>Output[[#This Row],[Capital Debut Period]]-Output[[#This Row],[Paiement Principal]]</f>
        <v>162059.34671257981</v>
      </c>
      <c r="Q777" s="15">
        <f>Output[[#This Row],[Droit Utilisation]]/Output[[#This Row],[Duree_Mois]]</f>
        <v>5565.2357686805326</v>
      </c>
    </row>
    <row r="778" spans="1:17" x14ac:dyDescent="0.25">
      <c r="A778" s="11" t="s">
        <v>13</v>
      </c>
      <c r="B778" s="12">
        <v>43891</v>
      </c>
      <c r="C778">
        <v>6000</v>
      </c>
      <c r="D778">
        <v>5</v>
      </c>
      <c r="E778">
        <v>0.03</v>
      </c>
      <c r="F778">
        <v>60</v>
      </c>
      <c r="G778" s="13">
        <v>44895</v>
      </c>
      <c r="H778">
        <v>777</v>
      </c>
      <c r="I778">
        <v>33</v>
      </c>
      <c r="J778">
        <v>2.5000000000000001E-3</v>
      </c>
      <c r="K778" s="14">
        <v>5525.4374606893225</v>
      </c>
      <c r="L778" s="14">
        <v>333914.14612083195</v>
      </c>
      <c r="M778" s="36">
        <f>IF(Output[[#This Row],[Index]]=1,Output[[#This Row],[Droit Utilisation]],P777)</f>
        <v>162059.34671257981</v>
      </c>
      <c r="N778" s="15">
        <f>Output[[#This Row],[Capital Debut Period]]*Output[[#This Row],[Tx_interet_M]]</f>
        <v>405.14836678144951</v>
      </c>
      <c r="O778" s="15">
        <f>Output[[#This Row],[Mensualité initial]]-Output[[#This Row],[Interet]]</f>
        <v>5594.8516332185509</v>
      </c>
      <c r="P778" s="15">
        <f>Output[[#This Row],[Capital Debut Period]]-Output[[#This Row],[Paiement Principal]]</f>
        <v>156464.49507936125</v>
      </c>
      <c r="Q778" s="15">
        <f>Output[[#This Row],[Droit Utilisation]]/Output[[#This Row],[Duree_Mois]]</f>
        <v>5565.2357686805326</v>
      </c>
    </row>
    <row r="779" spans="1:17" x14ac:dyDescent="0.25">
      <c r="A779" s="11" t="s">
        <v>13</v>
      </c>
      <c r="B779" s="12">
        <v>43891</v>
      </c>
      <c r="C779">
        <v>6000</v>
      </c>
      <c r="D779">
        <v>5</v>
      </c>
      <c r="E779">
        <v>0.03</v>
      </c>
      <c r="F779">
        <v>60</v>
      </c>
      <c r="G779" s="13">
        <v>44926</v>
      </c>
      <c r="H779">
        <v>778</v>
      </c>
      <c r="I779">
        <v>34</v>
      </c>
      <c r="J779">
        <v>2.5000000000000001E-3</v>
      </c>
      <c r="K779" s="14">
        <v>5511.6583149020671</v>
      </c>
      <c r="L779" s="14">
        <v>333914.14612083195</v>
      </c>
      <c r="M779" s="36">
        <f>IF(Output[[#This Row],[Index]]=1,Output[[#This Row],[Droit Utilisation]],P778)</f>
        <v>156464.49507936125</v>
      </c>
      <c r="N779" s="15">
        <f>Output[[#This Row],[Capital Debut Period]]*Output[[#This Row],[Tx_interet_M]]</f>
        <v>391.16123769840311</v>
      </c>
      <c r="O779" s="15">
        <f>Output[[#This Row],[Mensualité initial]]-Output[[#This Row],[Interet]]</f>
        <v>5608.8387623015969</v>
      </c>
      <c r="P779" s="15">
        <f>Output[[#This Row],[Capital Debut Period]]-Output[[#This Row],[Paiement Principal]]</f>
        <v>150855.65631705965</v>
      </c>
      <c r="Q779" s="15">
        <f>Output[[#This Row],[Droit Utilisation]]/Output[[#This Row],[Duree_Mois]]</f>
        <v>5565.2357686805326</v>
      </c>
    </row>
    <row r="780" spans="1:17" x14ac:dyDescent="0.25">
      <c r="A780" s="11" t="s">
        <v>13</v>
      </c>
      <c r="B780" s="12">
        <v>43891</v>
      </c>
      <c r="C780">
        <v>6000</v>
      </c>
      <c r="D780">
        <v>5</v>
      </c>
      <c r="E780">
        <v>0.03</v>
      </c>
      <c r="F780">
        <v>60</v>
      </c>
      <c r="G780" s="13">
        <v>44957</v>
      </c>
      <c r="H780">
        <v>779</v>
      </c>
      <c r="I780">
        <v>35</v>
      </c>
      <c r="J780">
        <v>2.5000000000000001E-3</v>
      </c>
      <c r="K780" s="14">
        <v>5497.9135310743814</v>
      </c>
      <c r="L780" s="14">
        <v>333914.14612083195</v>
      </c>
      <c r="M780" s="36">
        <f>IF(Output[[#This Row],[Index]]=1,Output[[#This Row],[Droit Utilisation]],P779)</f>
        <v>150855.65631705965</v>
      </c>
      <c r="N780" s="15">
        <f>Output[[#This Row],[Capital Debut Period]]*Output[[#This Row],[Tx_interet_M]]</f>
        <v>377.13914079264913</v>
      </c>
      <c r="O780" s="15">
        <f>Output[[#This Row],[Mensualité initial]]-Output[[#This Row],[Interet]]</f>
        <v>5622.8608592073506</v>
      </c>
      <c r="P780" s="15">
        <f>Output[[#This Row],[Capital Debut Period]]-Output[[#This Row],[Paiement Principal]]</f>
        <v>145232.79545785231</v>
      </c>
      <c r="Q780" s="15">
        <f>Output[[#This Row],[Droit Utilisation]]/Output[[#This Row],[Duree_Mois]]</f>
        <v>5565.2357686805326</v>
      </c>
    </row>
    <row r="781" spans="1:17" x14ac:dyDescent="0.25">
      <c r="A781" s="11" t="s">
        <v>13</v>
      </c>
      <c r="B781" s="12">
        <v>43891</v>
      </c>
      <c r="C781">
        <v>6000</v>
      </c>
      <c r="D781">
        <v>5</v>
      </c>
      <c r="E781">
        <v>0.03</v>
      </c>
      <c r="F781">
        <v>60</v>
      </c>
      <c r="G781" s="13">
        <v>44985</v>
      </c>
      <c r="H781">
        <v>780</v>
      </c>
      <c r="I781">
        <v>36</v>
      </c>
      <c r="J781">
        <v>2.5000000000000001E-3</v>
      </c>
      <c r="K781" s="14">
        <v>5484.2030235155926</v>
      </c>
      <c r="L781" s="14">
        <v>333914.14612083195</v>
      </c>
      <c r="M781" s="36">
        <f>IF(Output[[#This Row],[Index]]=1,Output[[#This Row],[Droit Utilisation]],P780)</f>
        <v>145232.79545785231</v>
      </c>
      <c r="N781" s="15">
        <f>Output[[#This Row],[Capital Debut Period]]*Output[[#This Row],[Tx_interet_M]]</f>
        <v>363.08198864463077</v>
      </c>
      <c r="O781" s="15">
        <f>Output[[#This Row],[Mensualité initial]]-Output[[#This Row],[Interet]]</f>
        <v>5636.9180113553693</v>
      </c>
      <c r="P781" s="15">
        <f>Output[[#This Row],[Capital Debut Period]]-Output[[#This Row],[Paiement Principal]]</f>
        <v>139595.87744649695</v>
      </c>
      <c r="Q781" s="15">
        <f>Output[[#This Row],[Droit Utilisation]]/Output[[#This Row],[Duree_Mois]]</f>
        <v>5565.2357686805326</v>
      </c>
    </row>
    <row r="782" spans="1:17" x14ac:dyDescent="0.25">
      <c r="A782" s="11" t="s">
        <v>13</v>
      </c>
      <c r="B782" s="12">
        <v>43891</v>
      </c>
      <c r="C782">
        <v>6000</v>
      </c>
      <c r="D782">
        <v>5</v>
      </c>
      <c r="E782">
        <v>0.03</v>
      </c>
      <c r="F782">
        <v>60</v>
      </c>
      <c r="G782" s="13">
        <v>45016</v>
      </c>
      <c r="H782">
        <v>781</v>
      </c>
      <c r="I782">
        <v>37</v>
      </c>
      <c r="J782">
        <v>2.5000000000000001E-3</v>
      </c>
      <c r="K782" s="14">
        <v>5470.5267067487212</v>
      </c>
      <c r="L782" s="14">
        <v>333914.14612083195</v>
      </c>
      <c r="M782" s="36">
        <f>IF(Output[[#This Row],[Index]]=1,Output[[#This Row],[Droit Utilisation]],P781)</f>
        <v>139595.87744649695</v>
      </c>
      <c r="N782" s="15">
        <f>Output[[#This Row],[Capital Debut Period]]*Output[[#This Row],[Tx_interet_M]]</f>
        <v>348.98969361624239</v>
      </c>
      <c r="O782" s="15">
        <f>Output[[#This Row],[Mensualité initial]]-Output[[#This Row],[Interet]]</f>
        <v>5651.0103063837578</v>
      </c>
      <c r="P782" s="15">
        <f>Output[[#This Row],[Capital Debut Period]]-Output[[#This Row],[Paiement Principal]]</f>
        <v>133944.8671401132</v>
      </c>
      <c r="Q782" s="15">
        <f>Output[[#This Row],[Droit Utilisation]]/Output[[#This Row],[Duree_Mois]]</f>
        <v>5565.2357686805326</v>
      </c>
    </row>
    <row r="783" spans="1:17" x14ac:dyDescent="0.25">
      <c r="A783" s="11" t="s">
        <v>13</v>
      </c>
      <c r="B783" s="12">
        <v>43891</v>
      </c>
      <c r="C783">
        <v>6000</v>
      </c>
      <c r="D783">
        <v>5</v>
      </c>
      <c r="E783">
        <v>0.03</v>
      </c>
      <c r="F783">
        <v>60</v>
      </c>
      <c r="G783" s="13">
        <v>45046</v>
      </c>
      <c r="H783">
        <v>782</v>
      </c>
      <c r="I783">
        <v>38</v>
      </c>
      <c r="J783">
        <v>2.5000000000000001E-3</v>
      </c>
      <c r="K783" s="14">
        <v>5456.8844955099466</v>
      </c>
      <c r="L783" s="14">
        <v>333914.14612083195</v>
      </c>
      <c r="M783" s="36">
        <f>IF(Output[[#This Row],[Index]]=1,Output[[#This Row],[Droit Utilisation]],P782)</f>
        <v>133944.8671401132</v>
      </c>
      <c r="N783" s="15">
        <f>Output[[#This Row],[Capital Debut Period]]*Output[[#This Row],[Tx_interet_M]]</f>
        <v>334.86216785028302</v>
      </c>
      <c r="O783" s="15">
        <f>Output[[#This Row],[Mensualité initial]]-Output[[#This Row],[Interet]]</f>
        <v>5665.1378321497168</v>
      </c>
      <c r="P783" s="15">
        <f>Output[[#This Row],[Capital Debut Period]]-Output[[#This Row],[Paiement Principal]]</f>
        <v>128279.72930796348</v>
      </c>
      <c r="Q783" s="15">
        <f>Output[[#This Row],[Droit Utilisation]]/Output[[#This Row],[Duree_Mois]]</f>
        <v>5565.2357686805326</v>
      </c>
    </row>
    <row r="784" spans="1:17" x14ac:dyDescent="0.25">
      <c r="A784" s="11" t="s">
        <v>13</v>
      </c>
      <c r="B784" s="12">
        <v>43891</v>
      </c>
      <c r="C784">
        <v>6000</v>
      </c>
      <c r="D784">
        <v>5</v>
      </c>
      <c r="E784">
        <v>0.03</v>
      </c>
      <c r="F784">
        <v>60</v>
      </c>
      <c r="G784" s="13">
        <v>45077</v>
      </c>
      <c r="H784">
        <v>783</v>
      </c>
      <c r="I784">
        <v>39</v>
      </c>
      <c r="J784">
        <v>2.5000000000000001E-3</v>
      </c>
      <c r="K784" s="14">
        <v>5443.2763047480767</v>
      </c>
      <c r="L784" s="14">
        <v>333914.14612083195</v>
      </c>
      <c r="M784" s="36">
        <f>IF(Output[[#This Row],[Index]]=1,Output[[#This Row],[Droit Utilisation]],P783)</f>
        <v>128279.72930796348</v>
      </c>
      <c r="N784" s="15">
        <f>Output[[#This Row],[Capital Debut Period]]*Output[[#This Row],[Tx_interet_M]]</f>
        <v>320.69932326990869</v>
      </c>
      <c r="O784" s="15">
        <f>Output[[#This Row],[Mensualité initial]]-Output[[#This Row],[Interet]]</f>
        <v>5679.3006767300913</v>
      </c>
      <c r="P784" s="15">
        <f>Output[[#This Row],[Capital Debut Period]]-Output[[#This Row],[Paiement Principal]]</f>
        <v>122600.42863123339</v>
      </c>
      <c r="Q784" s="15">
        <f>Output[[#This Row],[Droit Utilisation]]/Output[[#This Row],[Duree_Mois]]</f>
        <v>5565.2357686805326</v>
      </c>
    </row>
    <row r="785" spans="1:17" x14ac:dyDescent="0.25">
      <c r="A785" s="11" t="s">
        <v>13</v>
      </c>
      <c r="B785" s="12">
        <v>43891</v>
      </c>
      <c r="C785">
        <v>6000</v>
      </c>
      <c r="D785">
        <v>5</v>
      </c>
      <c r="E785">
        <v>0.03</v>
      </c>
      <c r="F785">
        <v>60</v>
      </c>
      <c r="G785" s="13">
        <v>45107</v>
      </c>
      <c r="H785">
        <v>784</v>
      </c>
      <c r="I785">
        <v>40</v>
      </c>
      <c r="J785">
        <v>2.5000000000000001E-3</v>
      </c>
      <c r="K785" s="14">
        <v>5429.7020496240175</v>
      </c>
      <c r="L785" s="14">
        <v>333914.14612083195</v>
      </c>
      <c r="M785" s="36">
        <f>IF(Output[[#This Row],[Index]]=1,Output[[#This Row],[Droit Utilisation]],P784)</f>
        <v>122600.42863123339</v>
      </c>
      <c r="N785" s="15">
        <f>Output[[#This Row],[Capital Debut Period]]*Output[[#This Row],[Tx_interet_M]]</f>
        <v>306.5010715780835</v>
      </c>
      <c r="O785" s="15">
        <f>Output[[#This Row],[Mensualité initial]]-Output[[#This Row],[Interet]]</f>
        <v>5693.4989284219164</v>
      </c>
      <c r="P785" s="15">
        <f>Output[[#This Row],[Capital Debut Period]]-Output[[#This Row],[Paiement Principal]]</f>
        <v>116906.92970281147</v>
      </c>
      <c r="Q785" s="15">
        <f>Output[[#This Row],[Droit Utilisation]]/Output[[#This Row],[Duree_Mois]]</f>
        <v>5565.2357686805326</v>
      </c>
    </row>
    <row r="786" spans="1:17" x14ac:dyDescent="0.25">
      <c r="A786" s="11" t="s">
        <v>13</v>
      </c>
      <c r="B786" s="12">
        <v>43891</v>
      </c>
      <c r="C786">
        <v>6000</v>
      </c>
      <c r="D786">
        <v>5</v>
      </c>
      <c r="E786">
        <v>0.03</v>
      </c>
      <c r="F786">
        <v>60</v>
      </c>
      <c r="G786" s="13">
        <v>45138</v>
      </c>
      <c r="H786">
        <v>785</v>
      </c>
      <c r="I786">
        <v>41</v>
      </c>
      <c r="J786">
        <v>2.5000000000000001E-3</v>
      </c>
      <c r="K786" s="14">
        <v>5416.1616455102412</v>
      </c>
      <c r="L786" s="14">
        <v>333914.14612083195</v>
      </c>
      <c r="M786" s="36">
        <f>IF(Output[[#This Row],[Index]]=1,Output[[#This Row],[Droit Utilisation]],P785)</f>
        <v>116906.92970281147</v>
      </c>
      <c r="N786" s="15">
        <f>Output[[#This Row],[Capital Debut Period]]*Output[[#This Row],[Tx_interet_M]]</f>
        <v>292.26732425702869</v>
      </c>
      <c r="O786" s="15">
        <f>Output[[#This Row],[Mensualité initial]]-Output[[#This Row],[Interet]]</f>
        <v>5707.732675742971</v>
      </c>
      <c r="P786" s="15">
        <f>Output[[#This Row],[Capital Debut Period]]-Output[[#This Row],[Paiement Principal]]</f>
        <v>111199.1970270685</v>
      </c>
      <c r="Q786" s="15">
        <f>Output[[#This Row],[Droit Utilisation]]/Output[[#This Row],[Duree_Mois]]</f>
        <v>5565.2357686805326</v>
      </c>
    </row>
    <row r="787" spans="1:17" x14ac:dyDescent="0.25">
      <c r="A787" s="11" t="s">
        <v>13</v>
      </c>
      <c r="B787" s="12">
        <v>43891</v>
      </c>
      <c r="C787">
        <v>6000</v>
      </c>
      <c r="D787">
        <v>5</v>
      </c>
      <c r="E787">
        <v>0.03</v>
      </c>
      <c r="F787">
        <v>60</v>
      </c>
      <c r="G787" s="13">
        <v>45169</v>
      </c>
      <c r="H787">
        <v>786</v>
      </c>
      <c r="I787">
        <v>42</v>
      </c>
      <c r="J787">
        <v>2.5000000000000001E-3</v>
      </c>
      <c r="K787" s="14">
        <v>5402.6550079902663</v>
      </c>
      <c r="L787" s="14">
        <v>333914.14612083195</v>
      </c>
      <c r="M787" s="36">
        <f>IF(Output[[#This Row],[Index]]=1,Output[[#This Row],[Droit Utilisation]],P786)</f>
        <v>111199.1970270685</v>
      </c>
      <c r="N787" s="15">
        <f>Output[[#This Row],[Capital Debut Period]]*Output[[#This Row],[Tx_interet_M]]</f>
        <v>277.99799256767125</v>
      </c>
      <c r="O787" s="15">
        <f>Output[[#This Row],[Mensualité initial]]-Output[[#This Row],[Interet]]</f>
        <v>5722.0020074323284</v>
      </c>
      <c r="P787" s="15">
        <f>Output[[#This Row],[Capital Debut Period]]-Output[[#This Row],[Paiement Principal]]</f>
        <v>105477.19501963617</v>
      </c>
      <c r="Q787" s="15">
        <f>Output[[#This Row],[Droit Utilisation]]/Output[[#This Row],[Duree_Mois]]</f>
        <v>5565.2357686805326</v>
      </c>
    </row>
    <row r="788" spans="1:17" x14ac:dyDescent="0.25">
      <c r="A788" s="11" t="s">
        <v>13</v>
      </c>
      <c r="B788" s="12">
        <v>43891</v>
      </c>
      <c r="C788">
        <v>6000</v>
      </c>
      <c r="D788">
        <v>5</v>
      </c>
      <c r="E788">
        <v>0.03</v>
      </c>
      <c r="F788">
        <v>60</v>
      </c>
      <c r="G788" s="13">
        <v>45199</v>
      </c>
      <c r="H788">
        <v>787</v>
      </c>
      <c r="I788">
        <v>43</v>
      </c>
      <c r="J788">
        <v>2.5000000000000001E-3</v>
      </c>
      <c r="K788" s="14">
        <v>5389.1820528581211</v>
      </c>
      <c r="L788" s="14">
        <v>333914.14612083195</v>
      </c>
      <c r="M788" s="36">
        <f>IF(Output[[#This Row],[Index]]=1,Output[[#This Row],[Droit Utilisation]],P787)</f>
        <v>105477.19501963617</v>
      </c>
      <c r="N788" s="15">
        <f>Output[[#This Row],[Capital Debut Period]]*Output[[#This Row],[Tx_interet_M]]</f>
        <v>263.69298754909045</v>
      </c>
      <c r="O788" s="15">
        <f>Output[[#This Row],[Mensualité initial]]-Output[[#This Row],[Interet]]</f>
        <v>5736.3070124509095</v>
      </c>
      <c r="P788" s="15">
        <f>Output[[#This Row],[Capital Debut Period]]-Output[[#This Row],[Paiement Principal]]</f>
        <v>99740.888007185262</v>
      </c>
      <c r="Q788" s="15">
        <f>Output[[#This Row],[Droit Utilisation]]/Output[[#This Row],[Duree_Mois]]</f>
        <v>5565.2357686805326</v>
      </c>
    </row>
    <row r="789" spans="1:17" x14ac:dyDescent="0.25">
      <c r="A789" s="11" t="s">
        <v>13</v>
      </c>
      <c r="B789" s="12">
        <v>43891</v>
      </c>
      <c r="C789">
        <v>6000</v>
      </c>
      <c r="D789">
        <v>5</v>
      </c>
      <c r="E789">
        <v>0.03</v>
      </c>
      <c r="F789">
        <v>60</v>
      </c>
      <c r="G789" s="13">
        <v>45230</v>
      </c>
      <c r="H789">
        <v>788</v>
      </c>
      <c r="I789">
        <v>44</v>
      </c>
      <c r="J789">
        <v>2.5000000000000001E-3</v>
      </c>
      <c r="K789" s="14">
        <v>5375.7426961178271</v>
      </c>
      <c r="L789" s="14">
        <v>333914.14612083195</v>
      </c>
      <c r="M789" s="36">
        <f>IF(Output[[#This Row],[Index]]=1,Output[[#This Row],[Droit Utilisation]],P788)</f>
        <v>99740.888007185262</v>
      </c>
      <c r="N789" s="15">
        <f>Output[[#This Row],[Capital Debut Period]]*Output[[#This Row],[Tx_interet_M]]</f>
        <v>249.35222001796316</v>
      </c>
      <c r="O789" s="15">
        <f>Output[[#This Row],[Mensualité initial]]-Output[[#This Row],[Interet]]</f>
        <v>5750.6477799820368</v>
      </c>
      <c r="P789" s="15">
        <f>Output[[#This Row],[Capital Debut Period]]-Output[[#This Row],[Paiement Principal]]</f>
        <v>93990.24022720322</v>
      </c>
      <c r="Q789" s="15">
        <f>Output[[#This Row],[Droit Utilisation]]/Output[[#This Row],[Duree_Mois]]</f>
        <v>5565.2357686805326</v>
      </c>
    </row>
    <row r="790" spans="1:17" x14ac:dyDescent="0.25">
      <c r="A790" s="11" t="s">
        <v>13</v>
      </c>
      <c r="B790" s="12">
        <v>43891</v>
      </c>
      <c r="C790">
        <v>6000</v>
      </c>
      <c r="D790">
        <v>5</v>
      </c>
      <c r="E790">
        <v>0.03</v>
      </c>
      <c r="F790">
        <v>60</v>
      </c>
      <c r="G790" s="13">
        <v>45260</v>
      </c>
      <c r="H790">
        <v>789</v>
      </c>
      <c r="I790">
        <v>45</v>
      </c>
      <c r="J790">
        <v>2.5000000000000001E-3</v>
      </c>
      <c r="K790" s="14">
        <v>5362.3368539828707</v>
      </c>
      <c r="L790" s="14">
        <v>333914.14612083195</v>
      </c>
      <c r="M790" s="36">
        <f>IF(Output[[#This Row],[Index]]=1,Output[[#This Row],[Droit Utilisation]],P789)</f>
        <v>93990.24022720322</v>
      </c>
      <c r="N790" s="15">
        <f>Output[[#This Row],[Capital Debut Period]]*Output[[#This Row],[Tx_interet_M]]</f>
        <v>234.97560056800805</v>
      </c>
      <c r="O790" s="15">
        <f>Output[[#This Row],[Mensualité initial]]-Output[[#This Row],[Interet]]</f>
        <v>5765.0243994319917</v>
      </c>
      <c r="P790" s="15">
        <f>Output[[#This Row],[Capital Debut Period]]-Output[[#This Row],[Paiement Principal]]</f>
        <v>88225.21582777123</v>
      </c>
      <c r="Q790" s="15">
        <f>Output[[#This Row],[Droit Utilisation]]/Output[[#This Row],[Duree_Mois]]</f>
        <v>5565.2357686805326</v>
      </c>
    </row>
    <row r="791" spans="1:17" x14ac:dyDescent="0.25">
      <c r="A791" s="11" t="s">
        <v>13</v>
      </c>
      <c r="B791" s="12">
        <v>43891</v>
      </c>
      <c r="C791">
        <v>6000</v>
      </c>
      <c r="D791">
        <v>5</v>
      </c>
      <c r="E791">
        <v>0.03</v>
      </c>
      <c r="F791">
        <v>60</v>
      </c>
      <c r="G791" s="13">
        <v>45291</v>
      </c>
      <c r="H791">
        <v>790</v>
      </c>
      <c r="I791">
        <v>46</v>
      </c>
      <c r="J791">
        <v>2.5000000000000001E-3</v>
      </c>
      <c r="K791" s="14">
        <v>5348.9644428756819</v>
      </c>
      <c r="L791" s="14">
        <v>333914.14612083195</v>
      </c>
      <c r="M791" s="36">
        <f>IF(Output[[#This Row],[Index]]=1,Output[[#This Row],[Droit Utilisation]],P790)</f>
        <v>88225.21582777123</v>
      </c>
      <c r="N791" s="15">
        <f>Output[[#This Row],[Capital Debut Period]]*Output[[#This Row],[Tx_interet_M]]</f>
        <v>220.56303956942807</v>
      </c>
      <c r="O791" s="15">
        <f>Output[[#This Row],[Mensualité initial]]-Output[[#This Row],[Interet]]</f>
        <v>5779.4369604305721</v>
      </c>
      <c r="P791" s="15">
        <f>Output[[#This Row],[Capital Debut Period]]-Output[[#This Row],[Paiement Principal]]</f>
        <v>82445.778867340661</v>
      </c>
      <c r="Q791" s="15">
        <f>Output[[#This Row],[Droit Utilisation]]/Output[[#This Row],[Duree_Mois]]</f>
        <v>5565.2357686805326</v>
      </c>
    </row>
    <row r="792" spans="1:17" x14ac:dyDescent="0.25">
      <c r="A792" s="11" t="s">
        <v>13</v>
      </c>
      <c r="B792" s="12">
        <v>43891</v>
      </c>
      <c r="C792">
        <v>6000</v>
      </c>
      <c r="D792">
        <v>5</v>
      </c>
      <c r="E792">
        <v>0.03</v>
      </c>
      <c r="F792">
        <v>60</v>
      </c>
      <c r="G792" s="13">
        <v>45322</v>
      </c>
      <c r="H792">
        <v>791</v>
      </c>
      <c r="I792">
        <v>47</v>
      </c>
      <c r="J792">
        <v>2.5000000000000001E-3</v>
      </c>
      <c r="K792" s="14">
        <v>5335.6253794271142</v>
      </c>
      <c r="L792" s="14">
        <v>333914.14612083195</v>
      </c>
      <c r="M792" s="36">
        <f>IF(Output[[#This Row],[Index]]=1,Output[[#This Row],[Droit Utilisation]],P791)</f>
        <v>82445.778867340661</v>
      </c>
      <c r="N792" s="15">
        <f>Output[[#This Row],[Capital Debut Period]]*Output[[#This Row],[Tx_interet_M]]</f>
        <v>206.11444716835166</v>
      </c>
      <c r="O792" s="15">
        <f>Output[[#This Row],[Mensualité initial]]-Output[[#This Row],[Interet]]</f>
        <v>5793.8855528316481</v>
      </c>
      <c r="P792" s="15">
        <f>Output[[#This Row],[Capital Debut Period]]-Output[[#This Row],[Paiement Principal]]</f>
        <v>76651.893314509012</v>
      </c>
      <c r="Q792" s="15">
        <f>Output[[#This Row],[Droit Utilisation]]/Output[[#This Row],[Duree_Mois]]</f>
        <v>5565.2357686805326</v>
      </c>
    </row>
    <row r="793" spans="1:17" x14ac:dyDescent="0.25">
      <c r="A793" s="11" t="s">
        <v>13</v>
      </c>
      <c r="B793" s="12">
        <v>43891</v>
      </c>
      <c r="C793">
        <v>6000</v>
      </c>
      <c r="D793">
        <v>5</v>
      </c>
      <c r="E793">
        <v>0.03</v>
      </c>
      <c r="F793">
        <v>60</v>
      </c>
      <c r="G793" s="13">
        <v>45351</v>
      </c>
      <c r="H793">
        <v>792</v>
      </c>
      <c r="I793">
        <v>48</v>
      </c>
      <c r="J793">
        <v>2.5000000000000001E-3</v>
      </c>
      <c r="K793" s="14">
        <v>5322.3195804759243</v>
      </c>
      <c r="L793" s="14">
        <v>333914.14612083195</v>
      </c>
      <c r="M793" s="36">
        <f>IF(Output[[#This Row],[Index]]=1,Output[[#This Row],[Droit Utilisation]],P792)</f>
        <v>76651.893314509012</v>
      </c>
      <c r="N793" s="15">
        <f>Output[[#This Row],[Capital Debut Period]]*Output[[#This Row],[Tx_interet_M]]</f>
        <v>191.62973328627254</v>
      </c>
      <c r="O793" s="15">
        <f>Output[[#This Row],[Mensualité initial]]-Output[[#This Row],[Interet]]</f>
        <v>5808.3702667137277</v>
      </c>
      <c r="P793" s="15">
        <f>Output[[#This Row],[Capital Debut Period]]-Output[[#This Row],[Paiement Principal]]</f>
        <v>70843.523047795286</v>
      </c>
      <c r="Q793" s="15">
        <f>Output[[#This Row],[Droit Utilisation]]/Output[[#This Row],[Duree_Mois]]</f>
        <v>5565.2357686805326</v>
      </c>
    </row>
    <row r="794" spans="1:17" x14ac:dyDescent="0.25">
      <c r="A794" s="11" t="s">
        <v>13</v>
      </c>
      <c r="B794" s="12">
        <v>43891</v>
      </c>
      <c r="C794">
        <v>6000</v>
      </c>
      <c r="D794">
        <v>5</v>
      </c>
      <c r="E794">
        <v>0.03</v>
      </c>
      <c r="F794">
        <v>60</v>
      </c>
      <c r="G794" s="13">
        <v>45382</v>
      </c>
      <c r="H794">
        <v>793</v>
      </c>
      <c r="I794">
        <v>49</v>
      </c>
      <c r="J794">
        <v>2.5000000000000001E-3</v>
      </c>
      <c r="K794" s="14">
        <v>5309.0469630682537</v>
      </c>
      <c r="L794" s="14">
        <v>333914.14612083195</v>
      </c>
      <c r="M794" s="36">
        <f>IF(Output[[#This Row],[Index]]=1,Output[[#This Row],[Droit Utilisation]],P793)</f>
        <v>70843.523047795286</v>
      </c>
      <c r="N794" s="15">
        <f>Output[[#This Row],[Capital Debut Period]]*Output[[#This Row],[Tx_interet_M]]</f>
        <v>177.10880761948823</v>
      </c>
      <c r="O794" s="15">
        <f>Output[[#This Row],[Mensualité initial]]-Output[[#This Row],[Interet]]</f>
        <v>5822.8911923805117</v>
      </c>
      <c r="P794" s="15">
        <f>Output[[#This Row],[Capital Debut Period]]-Output[[#This Row],[Paiement Principal]]</f>
        <v>65020.631855414773</v>
      </c>
      <c r="Q794" s="15">
        <f>Output[[#This Row],[Droit Utilisation]]/Output[[#This Row],[Duree_Mois]]</f>
        <v>5565.2357686805326</v>
      </c>
    </row>
    <row r="795" spans="1:17" x14ac:dyDescent="0.25">
      <c r="A795" s="11" t="s">
        <v>13</v>
      </c>
      <c r="B795" s="12">
        <v>43891</v>
      </c>
      <c r="C795">
        <v>6000</v>
      </c>
      <c r="D795">
        <v>5</v>
      </c>
      <c r="E795">
        <v>0.03</v>
      </c>
      <c r="F795">
        <v>60</v>
      </c>
      <c r="G795" s="13">
        <v>45412</v>
      </c>
      <c r="H795">
        <v>794</v>
      </c>
      <c r="I795">
        <v>50</v>
      </c>
      <c r="J795">
        <v>2.5000000000000001E-3</v>
      </c>
      <c r="K795" s="14">
        <v>5295.8074444571121</v>
      </c>
      <c r="L795" s="14">
        <v>333914.14612083195</v>
      </c>
      <c r="M795" s="36">
        <f>IF(Output[[#This Row],[Index]]=1,Output[[#This Row],[Droit Utilisation]],P794)</f>
        <v>65020.631855414773</v>
      </c>
      <c r="N795" s="15">
        <f>Output[[#This Row],[Capital Debut Period]]*Output[[#This Row],[Tx_interet_M]]</f>
        <v>162.55157963853694</v>
      </c>
      <c r="O795" s="15">
        <f>Output[[#This Row],[Mensualité initial]]-Output[[#This Row],[Interet]]</f>
        <v>5837.4484203614629</v>
      </c>
      <c r="P795" s="15">
        <f>Output[[#This Row],[Capital Debut Period]]-Output[[#This Row],[Paiement Principal]]</f>
        <v>59183.18343505331</v>
      </c>
      <c r="Q795" s="15">
        <f>Output[[#This Row],[Droit Utilisation]]/Output[[#This Row],[Duree_Mois]]</f>
        <v>5565.2357686805326</v>
      </c>
    </row>
    <row r="796" spans="1:17" x14ac:dyDescent="0.25">
      <c r="A796" s="11" t="s">
        <v>13</v>
      </c>
      <c r="B796" s="12">
        <v>43891</v>
      </c>
      <c r="C796">
        <v>6000</v>
      </c>
      <c r="D796">
        <v>5</v>
      </c>
      <c r="E796">
        <v>0.03</v>
      </c>
      <c r="F796">
        <v>60</v>
      </c>
      <c r="G796" s="13">
        <v>45443</v>
      </c>
      <c r="H796">
        <v>795</v>
      </c>
      <c r="I796">
        <v>51</v>
      </c>
      <c r="J796">
        <v>2.5000000000000001E-3</v>
      </c>
      <c r="K796" s="14">
        <v>5282.6009421018571</v>
      </c>
      <c r="L796" s="14">
        <v>333914.14612083195</v>
      </c>
      <c r="M796" s="36">
        <f>IF(Output[[#This Row],[Index]]=1,Output[[#This Row],[Droit Utilisation]],P795)</f>
        <v>59183.18343505331</v>
      </c>
      <c r="N796" s="15">
        <f>Output[[#This Row],[Capital Debut Period]]*Output[[#This Row],[Tx_interet_M]]</f>
        <v>147.95795858763327</v>
      </c>
      <c r="O796" s="15">
        <f>Output[[#This Row],[Mensualité initial]]-Output[[#This Row],[Interet]]</f>
        <v>5852.0420414123664</v>
      </c>
      <c r="P796" s="15">
        <f>Output[[#This Row],[Capital Debut Period]]-Output[[#This Row],[Paiement Principal]]</f>
        <v>53331.141393640944</v>
      </c>
      <c r="Q796" s="15">
        <f>Output[[#This Row],[Droit Utilisation]]/Output[[#This Row],[Duree_Mois]]</f>
        <v>5565.2357686805326</v>
      </c>
    </row>
    <row r="797" spans="1:17" x14ac:dyDescent="0.25">
      <c r="A797" s="11" t="s">
        <v>13</v>
      </c>
      <c r="B797" s="12">
        <v>43891</v>
      </c>
      <c r="C797">
        <v>6000</v>
      </c>
      <c r="D797">
        <v>5</v>
      </c>
      <c r="E797">
        <v>0.03</v>
      </c>
      <c r="F797">
        <v>60</v>
      </c>
      <c r="G797" s="13">
        <v>45473</v>
      </c>
      <c r="H797">
        <v>796</v>
      </c>
      <c r="I797">
        <v>52</v>
      </c>
      <c r="J797">
        <v>2.5000000000000001E-3</v>
      </c>
      <c r="K797" s="14">
        <v>5269.4273736676878</v>
      </c>
      <c r="L797" s="14">
        <v>333914.14612083195</v>
      </c>
      <c r="M797" s="36">
        <f>IF(Output[[#This Row],[Index]]=1,Output[[#This Row],[Droit Utilisation]],P796)</f>
        <v>53331.141393640944</v>
      </c>
      <c r="N797" s="15">
        <f>Output[[#This Row],[Capital Debut Period]]*Output[[#This Row],[Tx_interet_M]]</f>
        <v>133.32785348410238</v>
      </c>
      <c r="O797" s="15">
        <f>Output[[#This Row],[Mensualité initial]]-Output[[#This Row],[Interet]]</f>
        <v>5866.672146515898</v>
      </c>
      <c r="P797" s="15">
        <f>Output[[#This Row],[Capital Debut Period]]-Output[[#This Row],[Paiement Principal]]</f>
        <v>47464.469247125046</v>
      </c>
      <c r="Q797" s="15">
        <f>Output[[#This Row],[Droit Utilisation]]/Output[[#This Row],[Duree_Mois]]</f>
        <v>5565.2357686805326</v>
      </c>
    </row>
    <row r="798" spans="1:17" x14ac:dyDescent="0.25">
      <c r="A798" s="11" t="s">
        <v>13</v>
      </c>
      <c r="B798" s="12">
        <v>43891</v>
      </c>
      <c r="C798">
        <v>6000</v>
      </c>
      <c r="D798">
        <v>5</v>
      </c>
      <c r="E798">
        <v>0.03</v>
      </c>
      <c r="F798">
        <v>60</v>
      </c>
      <c r="G798" s="13">
        <v>45504</v>
      </c>
      <c r="H798">
        <v>797</v>
      </c>
      <c r="I798">
        <v>53</v>
      </c>
      <c r="J798">
        <v>2.5000000000000001E-3</v>
      </c>
      <c r="K798" s="14">
        <v>5256.2866570251254</v>
      </c>
      <c r="L798" s="14">
        <v>333914.14612083195</v>
      </c>
      <c r="M798" s="36">
        <f>IF(Output[[#This Row],[Index]]=1,Output[[#This Row],[Droit Utilisation]],P797)</f>
        <v>47464.469247125046</v>
      </c>
      <c r="N798" s="15">
        <f>Output[[#This Row],[Capital Debut Period]]*Output[[#This Row],[Tx_interet_M]]</f>
        <v>118.66117311781261</v>
      </c>
      <c r="O798" s="15">
        <f>Output[[#This Row],[Mensualité initial]]-Output[[#This Row],[Interet]]</f>
        <v>5881.3388268821873</v>
      </c>
      <c r="P798" s="15">
        <f>Output[[#This Row],[Capital Debut Period]]-Output[[#This Row],[Paiement Principal]]</f>
        <v>41583.130420242858</v>
      </c>
      <c r="Q798" s="15">
        <f>Output[[#This Row],[Droit Utilisation]]/Output[[#This Row],[Duree_Mois]]</f>
        <v>5565.2357686805326</v>
      </c>
    </row>
    <row r="799" spans="1:17" x14ac:dyDescent="0.25">
      <c r="A799" s="11" t="s">
        <v>13</v>
      </c>
      <c r="B799" s="12">
        <v>43891</v>
      </c>
      <c r="C799">
        <v>6000</v>
      </c>
      <c r="D799">
        <v>5</v>
      </c>
      <c r="E799">
        <v>0.03</v>
      </c>
      <c r="F799">
        <v>60</v>
      </c>
      <c r="G799" s="13">
        <v>45535</v>
      </c>
      <c r="H799">
        <v>798</v>
      </c>
      <c r="I799">
        <v>54</v>
      </c>
      <c r="J799">
        <v>2.5000000000000001E-3</v>
      </c>
      <c r="K799" s="14">
        <v>5243.1787102495018</v>
      </c>
      <c r="L799" s="14">
        <v>333914.14612083195</v>
      </c>
      <c r="M799" s="36">
        <f>IF(Output[[#This Row],[Index]]=1,Output[[#This Row],[Droit Utilisation]],P798)</f>
        <v>41583.130420242858</v>
      </c>
      <c r="N799" s="15">
        <f>Output[[#This Row],[Capital Debut Period]]*Output[[#This Row],[Tx_interet_M]]</f>
        <v>103.95782605060715</v>
      </c>
      <c r="O799" s="15">
        <f>Output[[#This Row],[Mensualité initial]]-Output[[#This Row],[Interet]]</f>
        <v>5896.0421739493931</v>
      </c>
      <c r="P799" s="15">
        <f>Output[[#This Row],[Capital Debut Period]]-Output[[#This Row],[Paiement Principal]]</f>
        <v>35687.088246293468</v>
      </c>
      <c r="Q799" s="15">
        <f>Output[[#This Row],[Droit Utilisation]]/Output[[#This Row],[Duree_Mois]]</f>
        <v>5565.2357686805326</v>
      </c>
    </row>
    <row r="800" spans="1:17" x14ac:dyDescent="0.25">
      <c r="A800" s="11" t="s">
        <v>13</v>
      </c>
      <c r="B800" s="12">
        <v>43891</v>
      </c>
      <c r="C800">
        <v>6000</v>
      </c>
      <c r="D800">
        <v>5</v>
      </c>
      <c r="E800">
        <v>0.03</v>
      </c>
      <c r="F800">
        <v>60</v>
      </c>
      <c r="G800" s="13">
        <v>45565</v>
      </c>
      <c r="H800">
        <v>799</v>
      </c>
      <c r="I800">
        <v>55</v>
      </c>
      <c r="J800">
        <v>2.5000000000000001E-3</v>
      </c>
      <c r="K800" s="14">
        <v>5230.1034516204509</v>
      </c>
      <c r="L800" s="14">
        <v>333914.14612083195</v>
      </c>
      <c r="M800" s="36">
        <f>IF(Output[[#This Row],[Index]]=1,Output[[#This Row],[Droit Utilisation]],P799)</f>
        <v>35687.088246293468</v>
      </c>
      <c r="N800" s="15">
        <f>Output[[#This Row],[Capital Debut Period]]*Output[[#This Row],[Tx_interet_M]]</f>
        <v>89.217720615733668</v>
      </c>
      <c r="O800" s="15">
        <f>Output[[#This Row],[Mensualité initial]]-Output[[#This Row],[Interet]]</f>
        <v>5910.7822793842661</v>
      </c>
      <c r="P800" s="15">
        <f>Output[[#This Row],[Capital Debut Period]]-Output[[#This Row],[Paiement Principal]]</f>
        <v>29776.305966909204</v>
      </c>
      <c r="Q800" s="15">
        <f>Output[[#This Row],[Droit Utilisation]]/Output[[#This Row],[Duree_Mois]]</f>
        <v>5565.2357686805326</v>
      </c>
    </row>
    <row r="801" spans="1:17" x14ac:dyDescent="0.25">
      <c r="A801" s="11" t="s">
        <v>13</v>
      </c>
      <c r="B801" s="12">
        <v>43891</v>
      </c>
      <c r="C801">
        <v>6000</v>
      </c>
      <c r="D801">
        <v>5</v>
      </c>
      <c r="E801">
        <v>0.03</v>
      </c>
      <c r="F801">
        <v>60</v>
      </c>
      <c r="G801" s="13">
        <v>45596</v>
      </c>
      <c r="H801">
        <v>800</v>
      </c>
      <c r="I801">
        <v>56</v>
      </c>
      <c r="J801">
        <v>2.5000000000000001E-3</v>
      </c>
      <c r="K801" s="14">
        <v>5217.0607996213976</v>
      </c>
      <c r="L801" s="14">
        <v>333914.14612083195</v>
      </c>
      <c r="M801" s="36">
        <f>IF(Output[[#This Row],[Index]]=1,Output[[#This Row],[Droit Utilisation]],P800)</f>
        <v>29776.305966909204</v>
      </c>
      <c r="N801" s="15">
        <f>Output[[#This Row],[Capital Debut Period]]*Output[[#This Row],[Tx_interet_M]]</f>
        <v>74.440764917273015</v>
      </c>
      <c r="O801" s="15">
        <f>Output[[#This Row],[Mensualité initial]]-Output[[#This Row],[Interet]]</f>
        <v>5925.5592350827274</v>
      </c>
      <c r="P801" s="15">
        <f>Output[[#This Row],[Capital Debut Period]]-Output[[#This Row],[Paiement Principal]]</f>
        <v>23850.746731826475</v>
      </c>
      <c r="Q801" s="15">
        <f>Output[[#This Row],[Droit Utilisation]]/Output[[#This Row],[Duree_Mois]]</f>
        <v>5565.2357686805326</v>
      </c>
    </row>
    <row r="802" spans="1:17" x14ac:dyDescent="0.25">
      <c r="A802" s="11" t="s">
        <v>13</v>
      </c>
      <c r="B802" s="12">
        <v>43891</v>
      </c>
      <c r="C802">
        <v>6000</v>
      </c>
      <c r="D802">
        <v>5</v>
      </c>
      <c r="E802">
        <v>0.03</v>
      </c>
      <c r="F802">
        <v>60</v>
      </c>
      <c r="G802" s="13">
        <v>45626</v>
      </c>
      <c r="H802">
        <v>801</v>
      </c>
      <c r="I802">
        <v>57</v>
      </c>
      <c r="J802">
        <v>2.5000000000000001E-3</v>
      </c>
      <c r="K802" s="14">
        <v>5204.0506729390509</v>
      </c>
      <c r="L802" s="14">
        <v>333914.14612083195</v>
      </c>
      <c r="M802" s="36">
        <f>IF(Output[[#This Row],[Index]]=1,Output[[#This Row],[Droit Utilisation]],P801)</f>
        <v>23850.746731826475</v>
      </c>
      <c r="N802" s="15">
        <f>Output[[#This Row],[Capital Debut Period]]*Output[[#This Row],[Tx_interet_M]]</f>
        <v>59.62686682956619</v>
      </c>
      <c r="O802" s="15">
        <f>Output[[#This Row],[Mensualité initial]]-Output[[#This Row],[Interet]]</f>
        <v>5940.3731331704339</v>
      </c>
      <c r="P802" s="15">
        <f>Output[[#This Row],[Capital Debut Period]]-Output[[#This Row],[Paiement Principal]]</f>
        <v>17910.373598656042</v>
      </c>
      <c r="Q802" s="15">
        <f>Output[[#This Row],[Droit Utilisation]]/Output[[#This Row],[Duree_Mois]]</f>
        <v>5565.2357686805326</v>
      </c>
    </row>
    <row r="803" spans="1:17" x14ac:dyDescent="0.25">
      <c r="A803" s="11" t="s">
        <v>13</v>
      </c>
      <c r="B803" s="12">
        <v>43891</v>
      </c>
      <c r="C803">
        <v>6000</v>
      </c>
      <c r="D803">
        <v>5</v>
      </c>
      <c r="E803">
        <v>0.03</v>
      </c>
      <c r="F803">
        <v>60</v>
      </c>
      <c r="G803" s="13">
        <v>45657</v>
      </c>
      <c r="H803">
        <v>802</v>
      </c>
      <c r="I803">
        <v>58</v>
      </c>
      <c r="J803">
        <v>2.5000000000000001E-3</v>
      </c>
      <c r="K803" s="14">
        <v>5191.0729904628934</v>
      </c>
      <c r="L803" s="14">
        <v>333914.14612083195</v>
      </c>
      <c r="M803" s="36">
        <f>IF(Output[[#This Row],[Index]]=1,Output[[#This Row],[Droit Utilisation]],P802)</f>
        <v>17910.373598656042</v>
      </c>
      <c r="N803" s="15">
        <f>Output[[#This Row],[Capital Debut Period]]*Output[[#This Row],[Tx_interet_M]]</f>
        <v>44.775933996640106</v>
      </c>
      <c r="O803" s="15">
        <f>Output[[#This Row],[Mensualité initial]]-Output[[#This Row],[Interet]]</f>
        <v>5955.2240660033603</v>
      </c>
      <c r="P803" s="15">
        <f>Output[[#This Row],[Capital Debut Period]]-Output[[#This Row],[Paiement Principal]]</f>
        <v>11955.149532652682</v>
      </c>
      <c r="Q803" s="15">
        <f>Output[[#This Row],[Droit Utilisation]]/Output[[#This Row],[Duree_Mois]]</f>
        <v>5565.2357686805326</v>
      </c>
    </row>
    <row r="804" spans="1:17" x14ac:dyDescent="0.25">
      <c r="A804" s="11" t="s">
        <v>13</v>
      </c>
      <c r="B804" s="12">
        <v>43891</v>
      </c>
      <c r="C804">
        <v>6000</v>
      </c>
      <c r="D804">
        <v>5</v>
      </c>
      <c r="E804">
        <v>0.03</v>
      </c>
      <c r="F804">
        <v>60</v>
      </c>
      <c r="G804" s="13">
        <v>45688</v>
      </c>
      <c r="H804">
        <v>803</v>
      </c>
      <c r="I804">
        <v>59</v>
      </c>
      <c r="J804">
        <v>2.5000000000000001E-3</v>
      </c>
      <c r="K804" s="14">
        <v>5178.127671284682</v>
      </c>
      <c r="L804" s="14">
        <v>333914.14612083195</v>
      </c>
      <c r="M804" s="36">
        <f>IF(Output[[#This Row],[Index]]=1,Output[[#This Row],[Droit Utilisation]],P803)</f>
        <v>11955.149532652682</v>
      </c>
      <c r="N804" s="15">
        <f>Output[[#This Row],[Capital Debut Period]]*Output[[#This Row],[Tx_interet_M]]</f>
        <v>29.887873831631705</v>
      </c>
      <c r="O804" s="15">
        <f>Output[[#This Row],[Mensualité initial]]-Output[[#This Row],[Interet]]</f>
        <v>5970.1121261683684</v>
      </c>
      <c r="P804" s="15">
        <f>Output[[#This Row],[Capital Debut Period]]-Output[[#This Row],[Paiement Principal]]</f>
        <v>5985.0374064843136</v>
      </c>
      <c r="Q804" s="15">
        <f>Output[[#This Row],[Droit Utilisation]]/Output[[#This Row],[Duree_Mois]]</f>
        <v>5565.2357686805326</v>
      </c>
    </row>
    <row r="805" spans="1:17" x14ac:dyDescent="0.25">
      <c r="A805" s="11" t="s">
        <v>13</v>
      </c>
      <c r="B805" s="12">
        <v>43891</v>
      </c>
      <c r="C805">
        <v>6000</v>
      </c>
      <c r="D805">
        <v>5</v>
      </c>
      <c r="E805">
        <v>0.03</v>
      </c>
      <c r="F805">
        <v>60</v>
      </c>
      <c r="G805" s="13">
        <v>45716</v>
      </c>
      <c r="H805">
        <v>804</v>
      </c>
      <c r="I805">
        <v>60</v>
      </c>
      <c r="J805">
        <v>2.5000000000000001E-3</v>
      </c>
      <c r="K805" s="14">
        <v>5165.2146346979371</v>
      </c>
      <c r="L805" s="14">
        <v>333914.14612083195</v>
      </c>
      <c r="M805" s="36">
        <f>IF(Output[[#This Row],[Index]]=1,Output[[#This Row],[Droit Utilisation]],P804)</f>
        <v>5985.0374064843136</v>
      </c>
      <c r="N805" s="15">
        <f>Output[[#This Row],[Capital Debut Period]]*Output[[#This Row],[Tx_interet_M]]</f>
        <v>14.962593516210784</v>
      </c>
      <c r="O805" s="15">
        <f>Output[[#This Row],[Mensualité initial]]-Output[[#This Row],[Interet]]</f>
        <v>5985.0374064837888</v>
      </c>
      <c r="P805" s="15">
        <f>Output[[#This Row],[Capital Debut Period]]-Output[[#This Row],[Paiement Principal]]</f>
        <v>5.2477844292297959E-10</v>
      </c>
      <c r="Q805" s="15">
        <f>Output[[#This Row],[Droit Utilisation]]/Output[[#This Row],[Duree_Mois]]</f>
        <v>5565.2357686805326</v>
      </c>
    </row>
    <row r="806" spans="1:17" x14ac:dyDescent="0.25">
      <c r="A806" s="11" t="s">
        <v>14</v>
      </c>
      <c r="B806" s="12">
        <v>43922</v>
      </c>
      <c r="C806">
        <v>6000</v>
      </c>
      <c r="D806">
        <v>5</v>
      </c>
      <c r="E806">
        <v>0.03</v>
      </c>
      <c r="F806">
        <v>60</v>
      </c>
      <c r="G806" s="13">
        <v>43951</v>
      </c>
      <c r="H806">
        <v>805</v>
      </c>
      <c r="I806">
        <v>1</v>
      </c>
      <c r="J806">
        <v>2.5000000000000001E-3</v>
      </c>
      <c r="K806" s="14">
        <v>5985.0374064837906</v>
      </c>
      <c r="L806" s="14">
        <v>333914.14612083195</v>
      </c>
      <c r="M806" s="36">
        <f>IF(Output[[#This Row],[Index]]=1,Output[[#This Row],[Droit Utilisation]],P805)</f>
        <v>333914.14612083195</v>
      </c>
      <c r="N806" s="15">
        <f>Output[[#This Row],[Capital Debut Period]]*Output[[#This Row],[Tx_interet_M]]</f>
        <v>834.78536530207987</v>
      </c>
      <c r="O806" s="15">
        <f>Output[[#This Row],[Mensualité initial]]-Output[[#This Row],[Interet]]</f>
        <v>5165.2146346979198</v>
      </c>
      <c r="P806" s="15">
        <f>Output[[#This Row],[Capital Debut Period]]-Output[[#This Row],[Paiement Principal]]</f>
        <v>328748.93148613401</v>
      </c>
      <c r="Q806" s="15">
        <f>Output[[#This Row],[Droit Utilisation]]/Output[[#This Row],[Duree_Mois]]</f>
        <v>5565.2357686805326</v>
      </c>
    </row>
    <row r="807" spans="1:17" x14ac:dyDescent="0.25">
      <c r="A807" s="11" t="s">
        <v>14</v>
      </c>
      <c r="B807" s="12">
        <v>43922</v>
      </c>
      <c r="C807">
        <v>6000</v>
      </c>
      <c r="D807">
        <v>5</v>
      </c>
      <c r="E807">
        <v>0.03</v>
      </c>
      <c r="F807">
        <v>60</v>
      </c>
      <c r="G807" s="13">
        <v>43982</v>
      </c>
      <c r="H807">
        <v>806</v>
      </c>
      <c r="I807">
        <v>2</v>
      </c>
      <c r="J807">
        <v>2.5000000000000001E-3</v>
      </c>
      <c r="K807" s="14">
        <v>5970.1121261683702</v>
      </c>
      <c r="L807" s="14">
        <v>333914.14612083195</v>
      </c>
      <c r="M807" s="36">
        <f>IF(Output[[#This Row],[Index]]=1,Output[[#This Row],[Droit Utilisation]],P806)</f>
        <v>328748.93148613401</v>
      </c>
      <c r="N807" s="15">
        <f>Output[[#This Row],[Capital Debut Period]]*Output[[#This Row],[Tx_interet_M]]</f>
        <v>821.87232871533502</v>
      </c>
      <c r="O807" s="15">
        <f>Output[[#This Row],[Mensualité initial]]-Output[[#This Row],[Interet]]</f>
        <v>5178.1276712846648</v>
      </c>
      <c r="P807" s="15">
        <f>Output[[#This Row],[Capital Debut Period]]-Output[[#This Row],[Paiement Principal]]</f>
        <v>323570.80381484935</v>
      </c>
      <c r="Q807" s="15">
        <f>Output[[#This Row],[Droit Utilisation]]/Output[[#This Row],[Duree_Mois]]</f>
        <v>5565.2357686805326</v>
      </c>
    </row>
    <row r="808" spans="1:17" x14ac:dyDescent="0.25">
      <c r="A808" s="11" t="s">
        <v>14</v>
      </c>
      <c r="B808" s="12">
        <v>43922</v>
      </c>
      <c r="C808">
        <v>6000</v>
      </c>
      <c r="D808">
        <v>5</v>
      </c>
      <c r="E808">
        <v>0.03</v>
      </c>
      <c r="F808">
        <v>60</v>
      </c>
      <c r="G808" s="13">
        <v>44012</v>
      </c>
      <c r="H808">
        <v>807</v>
      </c>
      <c r="I808">
        <v>3</v>
      </c>
      <c r="J808">
        <v>2.5000000000000001E-3</v>
      </c>
      <c r="K808" s="14">
        <v>5955.2240660033622</v>
      </c>
      <c r="L808" s="14">
        <v>333914.14612083195</v>
      </c>
      <c r="M808" s="36">
        <f>IF(Output[[#This Row],[Index]]=1,Output[[#This Row],[Droit Utilisation]],P807)</f>
        <v>323570.80381484935</v>
      </c>
      <c r="N808" s="15">
        <f>Output[[#This Row],[Capital Debut Period]]*Output[[#This Row],[Tx_interet_M]]</f>
        <v>808.92700953712335</v>
      </c>
      <c r="O808" s="15">
        <f>Output[[#This Row],[Mensualité initial]]-Output[[#This Row],[Interet]]</f>
        <v>5191.072990462877</v>
      </c>
      <c r="P808" s="15">
        <f>Output[[#This Row],[Capital Debut Period]]-Output[[#This Row],[Paiement Principal]]</f>
        <v>318379.73082438647</v>
      </c>
      <c r="Q808" s="15">
        <f>Output[[#This Row],[Droit Utilisation]]/Output[[#This Row],[Duree_Mois]]</f>
        <v>5565.2357686805326</v>
      </c>
    </row>
    <row r="809" spans="1:17" x14ac:dyDescent="0.25">
      <c r="A809" s="11" t="s">
        <v>14</v>
      </c>
      <c r="B809" s="12">
        <v>43922</v>
      </c>
      <c r="C809">
        <v>6000</v>
      </c>
      <c r="D809">
        <v>5</v>
      </c>
      <c r="E809">
        <v>0.03</v>
      </c>
      <c r="F809">
        <v>60</v>
      </c>
      <c r="G809" s="13">
        <v>44043</v>
      </c>
      <c r="H809">
        <v>808</v>
      </c>
      <c r="I809">
        <v>4</v>
      </c>
      <c r="J809">
        <v>2.5000000000000001E-3</v>
      </c>
      <c r="K809" s="14">
        <v>5940.3731331704357</v>
      </c>
      <c r="L809" s="14">
        <v>333914.14612083195</v>
      </c>
      <c r="M809" s="36">
        <f>IF(Output[[#This Row],[Index]]=1,Output[[#This Row],[Droit Utilisation]],P808)</f>
        <v>318379.73082438647</v>
      </c>
      <c r="N809" s="15">
        <f>Output[[#This Row],[Capital Debut Period]]*Output[[#This Row],[Tx_interet_M]]</f>
        <v>795.9493270609662</v>
      </c>
      <c r="O809" s="15">
        <f>Output[[#This Row],[Mensualité initial]]-Output[[#This Row],[Interet]]</f>
        <v>5204.0506729390336</v>
      </c>
      <c r="P809" s="15">
        <f>Output[[#This Row],[Capital Debut Period]]-Output[[#This Row],[Paiement Principal]]</f>
        <v>313175.68015144742</v>
      </c>
      <c r="Q809" s="15">
        <f>Output[[#This Row],[Droit Utilisation]]/Output[[#This Row],[Duree_Mois]]</f>
        <v>5565.2357686805326</v>
      </c>
    </row>
    <row r="810" spans="1:17" x14ac:dyDescent="0.25">
      <c r="A810" s="11" t="s">
        <v>14</v>
      </c>
      <c r="B810" s="12">
        <v>43922</v>
      </c>
      <c r="C810">
        <v>6000</v>
      </c>
      <c r="D810">
        <v>5</v>
      </c>
      <c r="E810">
        <v>0.03</v>
      </c>
      <c r="F810">
        <v>60</v>
      </c>
      <c r="G810" s="13">
        <v>44074</v>
      </c>
      <c r="H810">
        <v>809</v>
      </c>
      <c r="I810">
        <v>5</v>
      </c>
      <c r="J810">
        <v>2.5000000000000001E-3</v>
      </c>
      <c r="K810" s="14">
        <v>5925.5592350827301</v>
      </c>
      <c r="L810" s="14">
        <v>333914.14612083195</v>
      </c>
      <c r="M810" s="36">
        <f>IF(Output[[#This Row],[Index]]=1,Output[[#This Row],[Droit Utilisation]],P809)</f>
        <v>313175.68015144742</v>
      </c>
      <c r="N810" s="15">
        <f>Output[[#This Row],[Capital Debut Period]]*Output[[#This Row],[Tx_interet_M]]</f>
        <v>782.93920037861858</v>
      </c>
      <c r="O810" s="15">
        <f>Output[[#This Row],[Mensualité initial]]-Output[[#This Row],[Interet]]</f>
        <v>5217.0607996213812</v>
      </c>
      <c r="P810" s="15">
        <f>Output[[#This Row],[Capital Debut Period]]-Output[[#This Row],[Paiement Principal]]</f>
        <v>307958.61935182603</v>
      </c>
      <c r="Q810" s="15">
        <f>Output[[#This Row],[Droit Utilisation]]/Output[[#This Row],[Duree_Mois]]</f>
        <v>5565.2357686805326</v>
      </c>
    </row>
    <row r="811" spans="1:17" x14ac:dyDescent="0.25">
      <c r="A811" s="11" t="s">
        <v>14</v>
      </c>
      <c r="B811" s="12">
        <v>43922</v>
      </c>
      <c r="C811">
        <v>6000</v>
      </c>
      <c r="D811">
        <v>5</v>
      </c>
      <c r="E811">
        <v>0.03</v>
      </c>
      <c r="F811">
        <v>60</v>
      </c>
      <c r="G811" s="13">
        <v>44104</v>
      </c>
      <c r="H811">
        <v>810</v>
      </c>
      <c r="I811">
        <v>6</v>
      </c>
      <c r="J811">
        <v>2.5000000000000001E-3</v>
      </c>
      <c r="K811" s="14">
        <v>5910.7822793842697</v>
      </c>
      <c r="L811" s="14">
        <v>333914.14612083195</v>
      </c>
      <c r="M811" s="36">
        <f>IF(Output[[#This Row],[Index]]=1,Output[[#This Row],[Droit Utilisation]],P810)</f>
        <v>307958.61935182603</v>
      </c>
      <c r="N811" s="15">
        <f>Output[[#This Row],[Capital Debut Period]]*Output[[#This Row],[Tx_interet_M]]</f>
        <v>769.89654837956505</v>
      </c>
      <c r="O811" s="15">
        <f>Output[[#This Row],[Mensualité initial]]-Output[[#This Row],[Interet]]</f>
        <v>5230.1034516204345</v>
      </c>
      <c r="P811" s="15">
        <f>Output[[#This Row],[Capital Debut Period]]-Output[[#This Row],[Paiement Principal]]</f>
        <v>302728.51590020559</v>
      </c>
      <c r="Q811" s="15">
        <f>Output[[#This Row],[Droit Utilisation]]/Output[[#This Row],[Duree_Mois]]</f>
        <v>5565.2357686805326</v>
      </c>
    </row>
    <row r="812" spans="1:17" x14ac:dyDescent="0.25">
      <c r="A812" s="11" t="s">
        <v>14</v>
      </c>
      <c r="B812" s="12">
        <v>43922</v>
      </c>
      <c r="C812">
        <v>6000</v>
      </c>
      <c r="D812">
        <v>5</v>
      </c>
      <c r="E812">
        <v>0.03</v>
      </c>
      <c r="F812">
        <v>60</v>
      </c>
      <c r="G812" s="13">
        <v>44135</v>
      </c>
      <c r="H812">
        <v>811</v>
      </c>
      <c r="I812">
        <v>7</v>
      </c>
      <c r="J812">
        <v>2.5000000000000001E-3</v>
      </c>
      <c r="K812" s="14">
        <v>5896.0421739493959</v>
      </c>
      <c r="L812" s="14">
        <v>333914.14612083195</v>
      </c>
      <c r="M812" s="36">
        <f>IF(Output[[#This Row],[Index]]=1,Output[[#This Row],[Droit Utilisation]],P811)</f>
        <v>302728.51590020559</v>
      </c>
      <c r="N812" s="15">
        <f>Output[[#This Row],[Capital Debut Period]]*Output[[#This Row],[Tx_interet_M]]</f>
        <v>756.82128975051398</v>
      </c>
      <c r="O812" s="15">
        <f>Output[[#This Row],[Mensualité initial]]-Output[[#This Row],[Interet]]</f>
        <v>5243.1787102494864</v>
      </c>
      <c r="P812" s="15">
        <f>Output[[#This Row],[Capital Debut Period]]-Output[[#This Row],[Paiement Principal]]</f>
        <v>297485.3371899561</v>
      </c>
      <c r="Q812" s="15">
        <f>Output[[#This Row],[Droit Utilisation]]/Output[[#This Row],[Duree_Mois]]</f>
        <v>5565.2357686805326</v>
      </c>
    </row>
    <row r="813" spans="1:17" x14ac:dyDescent="0.25">
      <c r="A813" s="11" t="s">
        <v>14</v>
      </c>
      <c r="B813" s="12">
        <v>43922</v>
      </c>
      <c r="C813">
        <v>6000</v>
      </c>
      <c r="D813">
        <v>5</v>
      </c>
      <c r="E813">
        <v>0.03</v>
      </c>
      <c r="F813">
        <v>60</v>
      </c>
      <c r="G813" s="13">
        <v>44165</v>
      </c>
      <c r="H813">
        <v>812</v>
      </c>
      <c r="I813">
        <v>8</v>
      </c>
      <c r="J813">
        <v>2.5000000000000001E-3</v>
      </c>
      <c r="K813" s="14">
        <v>5881.3388268821909</v>
      </c>
      <c r="L813" s="14">
        <v>333914.14612083195</v>
      </c>
      <c r="M813" s="36">
        <f>IF(Output[[#This Row],[Index]]=1,Output[[#This Row],[Droit Utilisation]],P812)</f>
        <v>297485.3371899561</v>
      </c>
      <c r="N813" s="15">
        <f>Output[[#This Row],[Capital Debut Period]]*Output[[#This Row],[Tx_interet_M]]</f>
        <v>743.71334297489022</v>
      </c>
      <c r="O813" s="15">
        <f>Output[[#This Row],[Mensualité initial]]-Output[[#This Row],[Interet]]</f>
        <v>5256.2866570251099</v>
      </c>
      <c r="P813" s="15">
        <f>Output[[#This Row],[Capital Debut Period]]-Output[[#This Row],[Paiement Principal]]</f>
        <v>292229.050532931</v>
      </c>
      <c r="Q813" s="15">
        <f>Output[[#This Row],[Droit Utilisation]]/Output[[#This Row],[Duree_Mois]]</f>
        <v>5565.2357686805326</v>
      </c>
    </row>
    <row r="814" spans="1:17" x14ac:dyDescent="0.25">
      <c r="A814" s="11" t="s">
        <v>14</v>
      </c>
      <c r="B814" s="12">
        <v>43922</v>
      </c>
      <c r="C814">
        <v>6000</v>
      </c>
      <c r="D814">
        <v>5</v>
      </c>
      <c r="E814">
        <v>0.03</v>
      </c>
      <c r="F814">
        <v>60</v>
      </c>
      <c r="G814" s="13">
        <v>44196</v>
      </c>
      <c r="H814">
        <v>813</v>
      </c>
      <c r="I814">
        <v>9</v>
      </c>
      <c r="J814">
        <v>2.5000000000000001E-3</v>
      </c>
      <c r="K814" s="14">
        <v>5866.6721465159017</v>
      </c>
      <c r="L814" s="14">
        <v>333914.14612083195</v>
      </c>
      <c r="M814" s="36">
        <f>IF(Output[[#This Row],[Index]]=1,Output[[#This Row],[Droit Utilisation]],P813)</f>
        <v>292229.050532931</v>
      </c>
      <c r="N814" s="15">
        <f>Output[[#This Row],[Capital Debut Period]]*Output[[#This Row],[Tx_interet_M]]</f>
        <v>730.57262633232756</v>
      </c>
      <c r="O814" s="15">
        <f>Output[[#This Row],[Mensualité initial]]-Output[[#This Row],[Interet]]</f>
        <v>5269.4273736676723</v>
      </c>
      <c r="P814" s="15">
        <f>Output[[#This Row],[Capital Debut Period]]-Output[[#This Row],[Paiement Principal]]</f>
        <v>286959.62315926334</v>
      </c>
      <c r="Q814" s="15">
        <f>Output[[#This Row],[Droit Utilisation]]/Output[[#This Row],[Duree_Mois]]</f>
        <v>5565.2357686805326</v>
      </c>
    </row>
    <row r="815" spans="1:17" x14ac:dyDescent="0.25">
      <c r="A815" s="11" t="s">
        <v>14</v>
      </c>
      <c r="B815" s="12">
        <v>43922</v>
      </c>
      <c r="C815">
        <v>6000</v>
      </c>
      <c r="D815">
        <v>5</v>
      </c>
      <c r="E815">
        <v>0.03</v>
      </c>
      <c r="F815">
        <v>60</v>
      </c>
      <c r="G815" s="13">
        <v>44227</v>
      </c>
      <c r="H815">
        <v>814</v>
      </c>
      <c r="I815">
        <v>10</v>
      </c>
      <c r="J815">
        <v>2.5000000000000001E-3</v>
      </c>
      <c r="K815" s="14">
        <v>5852.042041412371</v>
      </c>
      <c r="L815" s="14">
        <v>333914.14612083195</v>
      </c>
      <c r="M815" s="36">
        <f>IF(Output[[#This Row],[Index]]=1,Output[[#This Row],[Droit Utilisation]],P814)</f>
        <v>286959.62315926334</v>
      </c>
      <c r="N815" s="15">
        <f>Output[[#This Row],[Capital Debut Period]]*Output[[#This Row],[Tx_interet_M]]</f>
        <v>717.39905789815839</v>
      </c>
      <c r="O815" s="15">
        <f>Output[[#This Row],[Mensualité initial]]-Output[[#This Row],[Interet]]</f>
        <v>5282.6009421018416</v>
      </c>
      <c r="P815" s="15">
        <f>Output[[#This Row],[Capital Debut Period]]-Output[[#This Row],[Paiement Principal]]</f>
        <v>281677.02221716149</v>
      </c>
      <c r="Q815" s="15">
        <f>Output[[#This Row],[Droit Utilisation]]/Output[[#This Row],[Duree_Mois]]</f>
        <v>5565.2357686805326</v>
      </c>
    </row>
    <row r="816" spans="1:17" x14ac:dyDescent="0.25">
      <c r="A816" s="11" t="s">
        <v>14</v>
      </c>
      <c r="B816" s="12">
        <v>43922</v>
      </c>
      <c r="C816">
        <v>6000</v>
      </c>
      <c r="D816">
        <v>5</v>
      </c>
      <c r="E816">
        <v>0.03</v>
      </c>
      <c r="F816">
        <v>60</v>
      </c>
      <c r="G816" s="13">
        <v>44255</v>
      </c>
      <c r="H816">
        <v>815</v>
      </c>
      <c r="I816">
        <v>11</v>
      </c>
      <c r="J816">
        <v>2.5000000000000001E-3</v>
      </c>
      <c r="K816" s="14">
        <v>5837.4484203614675</v>
      </c>
      <c r="L816" s="14">
        <v>333914.14612083195</v>
      </c>
      <c r="M816" s="36">
        <f>IF(Output[[#This Row],[Index]]=1,Output[[#This Row],[Droit Utilisation]],P815)</f>
        <v>281677.02221716149</v>
      </c>
      <c r="N816" s="15">
        <f>Output[[#This Row],[Capital Debut Period]]*Output[[#This Row],[Tx_interet_M]]</f>
        <v>704.19255554290373</v>
      </c>
      <c r="O816" s="15">
        <f>Output[[#This Row],[Mensualité initial]]-Output[[#This Row],[Interet]]</f>
        <v>5295.8074444570966</v>
      </c>
      <c r="P816" s="15">
        <f>Output[[#This Row],[Capital Debut Period]]-Output[[#This Row],[Paiement Principal]]</f>
        <v>276381.21477270441</v>
      </c>
      <c r="Q816" s="15">
        <f>Output[[#This Row],[Droit Utilisation]]/Output[[#This Row],[Duree_Mois]]</f>
        <v>5565.2357686805326</v>
      </c>
    </row>
    <row r="817" spans="1:17" x14ac:dyDescent="0.25">
      <c r="A817" s="11" t="s">
        <v>14</v>
      </c>
      <c r="B817" s="12">
        <v>43922</v>
      </c>
      <c r="C817">
        <v>6000</v>
      </c>
      <c r="D817">
        <v>5</v>
      </c>
      <c r="E817">
        <v>0.03</v>
      </c>
      <c r="F817">
        <v>60</v>
      </c>
      <c r="G817" s="13">
        <v>44286</v>
      </c>
      <c r="H817">
        <v>816</v>
      </c>
      <c r="I817">
        <v>12</v>
      </c>
      <c r="J817">
        <v>2.5000000000000001E-3</v>
      </c>
      <c r="K817" s="14">
        <v>5822.8911923805163</v>
      </c>
      <c r="L817" s="14">
        <v>333914.14612083195</v>
      </c>
      <c r="M817" s="36">
        <f>IF(Output[[#This Row],[Index]]=1,Output[[#This Row],[Droit Utilisation]],P816)</f>
        <v>276381.21477270441</v>
      </c>
      <c r="N817" s="15">
        <f>Output[[#This Row],[Capital Debut Period]]*Output[[#This Row],[Tx_interet_M]]</f>
        <v>690.95303693176106</v>
      </c>
      <c r="O817" s="15">
        <f>Output[[#This Row],[Mensualité initial]]-Output[[#This Row],[Interet]]</f>
        <v>5309.0469630682392</v>
      </c>
      <c r="P817" s="15">
        <f>Output[[#This Row],[Capital Debut Period]]-Output[[#This Row],[Paiement Principal]]</f>
        <v>271072.16780963616</v>
      </c>
      <c r="Q817" s="15">
        <f>Output[[#This Row],[Droit Utilisation]]/Output[[#This Row],[Duree_Mois]]</f>
        <v>5565.2357686805326</v>
      </c>
    </row>
    <row r="818" spans="1:17" x14ac:dyDescent="0.25">
      <c r="A818" s="11" t="s">
        <v>14</v>
      </c>
      <c r="B818" s="12">
        <v>43922</v>
      </c>
      <c r="C818">
        <v>6000</v>
      </c>
      <c r="D818">
        <v>5</v>
      </c>
      <c r="E818">
        <v>0.03</v>
      </c>
      <c r="F818">
        <v>60</v>
      </c>
      <c r="G818" s="13">
        <v>44316</v>
      </c>
      <c r="H818">
        <v>817</v>
      </c>
      <c r="I818">
        <v>13</v>
      </c>
      <c r="J818">
        <v>2.5000000000000001E-3</v>
      </c>
      <c r="K818" s="14">
        <v>5808.3702667137322</v>
      </c>
      <c r="L818" s="14">
        <v>333914.14612083195</v>
      </c>
      <c r="M818" s="36">
        <f>IF(Output[[#This Row],[Index]]=1,Output[[#This Row],[Droit Utilisation]],P817)</f>
        <v>271072.16780963616</v>
      </c>
      <c r="N818" s="15">
        <f>Output[[#This Row],[Capital Debut Period]]*Output[[#This Row],[Tx_interet_M]]</f>
        <v>677.68041952409044</v>
      </c>
      <c r="O818" s="15">
        <f>Output[[#This Row],[Mensualité initial]]-Output[[#This Row],[Interet]]</f>
        <v>5322.3195804759098</v>
      </c>
      <c r="P818" s="15">
        <f>Output[[#This Row],[Capital Debut Period]]-Output[[#This Row],[Paiement Principal]]</f>
        <v>265749.84822916024</v>
      </c>
      <c r="Q818" s="15">
        <f>Output[[#This Row],[Droit Utilisation]]/Output[[#This Row],[Duree_Mois]]</f>
        <v>5565.2357686805326</v>
      </c>
    </row>
    <row r="819" spans="1:17" x14ac:dyDescent="0.25">
      <c r="A819" s="11" t="s">
        <v>14</v>
      </c>
      <c r="B819" s="12">
        <v>43922</v>
      </c>
      <c r="C819">
        <v>6000</v>
      </c>
      <c r="D819">
        <v>5</v>
      </c>
      <c r="E819">
        <v>0.03</v>
      </c>
      <c r="F819">
        <v>60</v>
      </c>
      <c r="G819" s="13">
        <v>44347</v>
      </c>
      <c r="H819">
        <v>818</v>
      </c>
      <c r="I819">
        <v>14</v>
      </c>
      <c r="J819">
        <v>2.5000000000000001E-3</v>
      </c>
      <c r="K819" s="14">
        <v>5793.8855528316535</v>
      </c>
      <c r="L819" s="14">
        <v>333914.14612083195</v>
      </c>
      <c r="M819" s="36">
        <f>IF(Output[[#This Row],[Index]]=1,Output[[#This Row],[Droit Utilisation]],P818)</f>
        <v>265749.84822916024</v>
      </c>
      <c r="N819" s="15">
        <f>Output[[#This Row],[Capital Debut Period]]*Output[[#This Row],[Tx_interet_M]]</f>
        <v>664.37462057290065</v>
      </c>
      <c r="O819" s="15">
        <f>Output[[#This Row],[Mensualité initial]]-Output[[#This Row],[Interet]]</f>
        <v>5335.6253794270997</v>
      </c>
      <c r="P819" s="15">
        <f>Output[[#This Row],[Capital Debut Period]]-Output[[#This Row],[Paiement Principal]]</f>
        <v>260414.22284973314</v>
      </c>
      <c r="Q819" s="15">
        <f>Output[[#This Row],[Droit Utilisation]]/Output[[#This Row],[Duree_Mois]]</f>
        <v>5565.2357686805326</v>
      </c>
    </row>
    <row r="820" spans="1:17" x14ac:dyDescent="0.25">
      <c r="A820" s="11" t="s">
        <v>14</v>
      </c>
      <c r="B820" s="12">
        <v>43922</v>
      </c>
      <c r="C820">
        <v>6000</v>
      </c>
      <c r="D820">
        <v>5</v>
      </c>
      <c r="E820">
        <v>0.03</v>
      </c>
      <c r="F820">
        <v>60</v>
      </c>
      <c r="G820" s="13">
        <v>44377</v>
      </c>
      <c r="H820">
        <v>819</v>
      </c>
      <c r="I820">
        <v>15</v>
      </c>
      <c r="J820">
        <v>2.5000000000000001E-3</v>
      </c>
      <c r="K820" s="14">
        <v>5779.4369604305775</v>
      </c>
      <c r="L820" s="14">
        <v>333914.14612083195</v>
      </c>
      <c r="M820" s="36">
        <f>IF(Output[[#This Row],[Index]]=1,Output[[#This Row],[Droit Utilisation]],P819)</f>
        <v>260414.22284973314</v>
      </c>
      <c r="N820" s="15">
        <f>Output[[#This Row],[Capital Debut Period]]*Output[[#This Row],[Tx_interet_M]]</f>
        <v>651.03555712433285</v>
      </c>
      <c r="O820" s="15">
        <f>Output[[#This Row],[Mensualité initial]]-Output[[#This Row],[Interet]]</f>
        <v>5348.9644428756674</v>
      </c>
      <c r="P820" s="15">
        <f>Output[[#This Row],[Capital Debut Period]]-Output[[#This Row],[Paiement Principal]]</f>
        <v>255065.25840685747</v>
      </c>
      <c r="Q820" s="15">
        <f>Output[[#This Row],[Droit Utilisation]]/Output[[#This Row],[Duree_Mois]]</f>
        <v>5565.2357686805326</v>
      </c>
    </row>
    <row r="821" spans="1:17" x14ac:dyDescent="0.25">
      <c r="A821" s="11" t="s">
        <v>14</v>
      </c>
      <c r="B821" s="12">
        <v>43922</v>
      </c>
      <c r="C821">
        <v>6000</v>
      </c>
      <c r="D821">
        <v>5</v>
      </c>
      <c r="E821">
        <v>0.03</v>
      </c>
      <c r="F821">
        <v>60</v>
      </c>
      <c r="G821" s="13">
        <v>44408</v>
      </c>
      <c r="H821">
        <v>820</v>
      </c>
      <c r="I821">
        <v>16</v>
      </c>
      <c r="J821">
        <v>2.5000000000000001E-3</v>
      </c>
      <c r="K821" s="14">
        <v>5765.0243994319981</v>
      </c>
      <c r="L821" s="14">
        <v>333914.14612083195</v>
      </c>
      <c r="M821" s="36">
        <f>IF(Output[[#This Row],[Index]]=1,Output[[#This Row],[Droit Utilisation]],P820)</f>
        <v>255065.25840685747</v>
      </c>
      <c r="N821" s="15">
        <f>Output[[#This Row],[Capital Debut Period]]*Output[[#This Row],[Tx_interet_M]]</f>
        <v>637.66314601714373</v>
      </c>
      <c r="O821" s="15">
        <f>Output[[#This Row],[Mensualité initial]]-Output[[#This Row],[Interet]]</f>
        <v>5362.3368539828562</v>
      </c>
      <c r="P821" s="15">
        <f>Output[[#This Row],[Capital Debut Period]]-Output[[#This Row],[Paiement Principal]]</f>
        <v>249702.92155287461</v>
      </c>
      <c r="Q821" s="15">
        <f>Output[[#This Row],[Droit Utilisation]]/Output[[#This Row],[Duree_Mois]]</f>
        <v>5565.2357686805326</v>
      </c>
    </row>
    <row r="822" spans="1:17" x14ac:dyDescent="0.25">
      <c r="A822" s="11" t="s">
        <v>14</v>
      </c>
      <c r="B822" s="12">
        <v>43922</v>
      </c>
      <c r="C822">
        <v>6000</v>
      </c>
      <c r="D822">
        <v>5</v>
      </c>
      <c r="E822">
        <v>0.03</v>
      </c>
      <c r="F822">
        <v>60</v>
      </c>
      <c r="G822" s="13">
        <v>44439</v>
      </c>
      <c r="H822">
        <v>821</v>
      </c>
      <c r="I822">
        <v>17</v>
      </c>
      <c r="J822">
        <v>2.5000000000000001E-3</v>
      </c>
      <c r="K822" s="14">
        <v>5750.6477799820432</v>
      </c>
      <c r="L822" s="14">
        <v>333914.14612083195</v>
      </c>
      <c r="M822" s="36">
        <f>IF(Output[[#This Row],[Index]]=1,Output[[#This Row],[Droit Utilisation]],P821)</f>
        <v>249702.92155287461</v>
      </c>
      <c r="N822" s="15">
        <f>Output[[#This Row],[Capital Debut Period]]*Output[[#This Row],[Tx_interet_M]]</f>
        <v>624.25730388218653</v>
      </c>
      <c r="O822" s="15">
        <f>Output[[#This Row],[Mensualité initial]]-Output[[#This Row],[Interet]]</f>
        <v>5375.7426961178135</v>
      </c>
      <c r="P822" s="15">
        <f>Output[[#This Row],[Capital Debut Period]]-Output[[#This Row],[Paiement Principal]]</f>
        <v>244327.1788567568</v>
      </c>
      <c r="Q822" s="15">
        <f>Output[[#This Row],[Droit Utilisation]]/Output[[#This Row],[Duree_Mois]]</f>
        <v>5565.2357686805326</v>
      </c>
    </row>
    <row r="823" spans="1:17" x14ac:dyDescent="0.25">
      <c r="A823" s="11" t="s">
        <v>14</v>
      </c>
      <c r="B823" s="12">
        <v>43922</v>
      </c>
      <c r="C823">
        <v>6000</v>
      </c>
      <c r="D823">
        <v>5</v>
      </c>
      <c r="E823">
        <v>0.03</v>
      </c>
      <c r="F823">
        <v>60</v>
      </c>
      <c r="G823" s="13">
        <v>44469</v>
      </c>
      <c r="H823">
        <v>822</v>
      </c>
      <c r="I823">
        <v>18</v>
      </c>
      <c r="J823">
        <v>2.5000000000000001E-3</v>
      </c>
      <c r="K823" s="14">
        <v>5736.3070124509168</v>
      </c>
      <c r="L823" s="14">
        <v>333914.14612083195</v>
      </c>
      <c r="M823" s="36">
        <f>IF(Output[[#This Row],[Index]]=1,Output[[#This Row],[Droit Utilisation]],P822)</f>
        <v>244327.1788567568</v>
      </c>
      <c r="N823" s="15">
        <f>Output[[#This Row],[Capital Debut Period]]*Output[[#This Row],[Tx_interet_M]]</f>
        <v>610.81794714189198</v>
      </c>
      <c r="O823" s="15">
        <f>Output[[#This Row],[Mensualité initial]]-Output[[#This Row],[Interet]]</f>
        <v>5389.1820528581084</v>
      </c>
      <c r="P823" s="15">
        <f>Output[[#This Row],[Capital Debut Period]]-Output[[#This Row],[Paiement Principal]]</f>
        <v>238937.99680389868</v>
      </c>
      <c r="Q823" s="15">
        <f>Output[[#This Row],[Droit Utilisation]]/Output[[#This Row],[Duree_Mois]]</f>
        <v>5565.2357686805326</v>
      </c>
    </row>
    <row r="824" spans="1:17" x14ac:dyDescent="0.25">
      <c r="A824" s="11" t="s">
        <v>14</v>
      </c>
      <c r="B824" s="12">
        <v>43922</v>
      </c>
      <c r="C824">
        <v>6000</v>
      </c>
      <c r="D824">
        <v>5</v>
      </c>
      <c r="E824">
        <v>0.03</v>
      </c>
      <c r="F824">
        <v>60</v>
      </c>
      <c r="G824" s="13">
        <v>44500</v>
      </c>
      <c r="H824">
        <v>823</v>
      </c>
      <c r="I824">
        <v>19</v>
      </c>
      <c r="J824">
        <v>2.5000000000000001E-3</v>
      </c>
      <c r="K824" s="14">
        <v>5722.0020074323356</v>
      </c>
      <c r="L824" s="14">
        <v>333914.14612083195</v>
      </c>
      <c r="M824" s="36">
        <f>IF(Output[[#This Row],[Index]]=1,Output[[#This Row],[Droit Utilisation]],P823)</f>
        <v>238937.99680389868</v>
      </c>
      <c r="N824" s="15">
        <f>Output[[#This Row],[Capital Debut Period]]*Output[[#This Row],[Tx_interet_M]]</f>
        <v>597.34499200974676</v>
      </c>
      <c r="O824" s="15">
        <f>Output[[#This Row],[Mensualité initial]]-Output[[#This Row],[Interet]]</f>
        <v>5402.6550079902536</v>
      </c>
      <c r="P824" s="15">
        <f>Output[[#This Row],[Capital Debut Period]]-Output[[#This Row],[Paiement Principal]]</f>
        <v>233535.34179590843</v>
      </c>
      <c r="Q824" s="15">
        <f>Output[[#This Row],[Droit Utilisation]]/Output[[#This Row],[Duree_Mois]]</f>
        <v>5565.2357686805326</v>
      </c>
    </row>
    <row r="825" spans="1:17" x14ac:dyDescent="0.25">
      <c r="A825" s="11" t="s">
        <v>14</v>
      </c>
      <c r="B825" s="12">
        <v>43922</v>
      </c>
      <c r="C825">
        <v>6000</v>
      </c>
      <c r="D825">
        <v>5</v>
      </c>
      <c r="E825">
        <v>0.03</v>
      </c>
      <c r="F825">
        <v>60</v>
      </c>
      <c r="G825" s="13">
        <v>44530</v>
      </c>
      <c r="H825">
        <v>824</v>
      </c>
      <c r="I825">
        <v>20</v>
      </c>
      <c r="J825">
        <v>2.5000000000000001E-3</v>
      </c>
      <c r="K825" s="14">
        <v>5707.7326757429792</v>
      </c>
      <c r="L825" s="14">
        <v>333914.14612083195</v>
      </c>
      <c r="M825" s="36">
        <f>IF(Output[[#This Row],[Index]]=1,Output[[#This Row],[Droit Utilisation]],P824)</f>
        <v>233535.34179590843</v>
      </c>
      <c r="N825" s="15">
        <f>Output[[#This Row],[Capital Debut Period]]*Output[[#This Row],[Tx_interet_M]]</f>
        <v>583.83835448977106</v>
      </c>
      <c r="O825" s="15">
        <f>Output[[#This Row],[Mensualité initial]]-Output[[#This Row],[Interet]]</f>
        <v>5416.1616455102285</v>
      </c>
      <c r="P825" s="15">
        <f>Output[[#This Row],[Capital Debut Period]]-Output[[#This Row],[Paiement Principal]]</f>
        <v>228119.1801503982</v>
      </c>
      <c r="Q825" s="15">
        <f>Output[[#This Row],[Droit Utilisation]]/Output[[#This Row],[Duree_Mois]]</f>
        <v>5565.2357686805326</v>
      </c>
    </row>
    <row r="826" spans="1:17" x14ac:dyDescent="0.25">
      <c r="A826" s="11" t="s">
        <v>14</v>
      </c>
      <c r="B826" s="12">
        <v>43922</v>
      </c>
      <c r="C826">
        <v>6000</v>
      </c>
      <c r="D826">
        <v>5</v>
      </c>
      <c r="E826">
        <v>0.03</v>
      </c>
      <c r="F826">
        <v>60</v>
      </c>
      <c r="G826" s="13">
        <v>44561</v>
      </c>
      <c r="H826">
        <v>825</v>
      </c>
      <c r="I826">
        <v>21</v>
      </c>
      <c r="J826">
        <v>2.5000000000000001E-3</v>
      </c>
      <c r="K826" s="14">
        <v>5693.4989284219246</v>
      </c>
      <c r="L826" s="14">
        <v>333914.14612083195</v>
      </c>
      <c r="M826" s="36">
        <f>IF(Output[[#This Row],[Index]]=1,Output[[#This Row],[Droit Utilisation]],P825)</f>
        <v>228119.1801503982</v>
      </c>
      <c r="N826" s="15">
        <f>Output[[#This Row],[Capital Debut Period]]*Output[[#This Row],[Tx_interet_M]]</f>
        <v>570.29795037599547</v>
      </c>
      <c r="O826" s="15">
        <f>Output[[#This Row],[Mensualité initial]]-Output[[#This Row],[Interet]]</f>
        <v>5429.7020496240048</v>
      </c>
      <c r="P826" s="15">
        <f>Output[[#This Row],[Capital Debut Period]]-Output[[#This Row],[Paiement Principal]]</f>
        <v>222689.4781007742</v>
      </c>
      <c r="Q826" s="15">
        <f>Output[[#This Row],[Droit Utilisation]]/Output[[#This Row],[Duree_Mois]]</f>
        <v>5565.2357686805326</v>
      </c>
    </row>
    <row r="827" spans="1:17" x14ac:dyDescent="0.25">
      <c r="A827" s="11" t="s">
        <v>14</v>
      </c>
      <c r="B827" s="12">
        <v>43922</v>
      </c>
      <c r="C827">
        <v>6000</v>
      </c>
      <c r="D827">
        <v>5</v>
      </c>
      <c r="E827">
        <v>0.03</v>
      </c>
      <c r="F827">
        <v>60</v>
      </c>
      <c r="G827" s="13">
        <v>44592</v>
      </c>
      <c r="H827">
        <v>826</v>
      </c>
      <c r="I827">
        <v>22</v>
      </c>
      <c r="J827">
        <v>2.5000000000000001E-3</v>
      </c>
      <c r="K827" s="14">
        <v>5679.3006767300994</v>
      </c>
      <c r="L827" s="14">
        <v>333914.14612083195</v>
      </c>
      <c r="M827" s="36">
        <f>IF(Output[[#This Row],[Index]]=1,Output[[#This Row],[Droit Utilisation]],P826)</f>
        <v>222689.4781007742</v>
      </c>
      <c r="N827" s="15">
        <f>Output[[#This Row],[Capital Debut Period]]*Output[[#This Row],[Tx_interet_M]]</f>
        <v>556.72369525193551</v>
      </c>
      <c r="O827" s="15">
        <f>Output[[#This Row],[Mensualité initial]]-Output[[#This Row],[Interet]]</f>
        <v>5443.2763047480648</v>
      </c>
      <c r="P827" s="15">
        <f>Output[[#This Row],[Capital Debut Period]]-Output[[#This Row],[Paiement Principal]]</f>
        <v>217246.20179602614</v>
      </c>
      <c r="Q827" s="15">
        <f>Output[[#This Row],[Droit Utilisation]]/Output[[#This Row],[Duree_Mois]]</f>
        <v>5565.2357686805326</v>
      </c>
    </row>
    <row r="828" spans="1:17" x14ac:dyDescent="0.25">
      <c r="A828" s="11" t="s">
        <v>14</v>
      </c>
      <c r="B828" s="12">
        <v>43922</v>
      </c>
      <c r="C828">
        <v>6000</v>
      </c>
      <c r="D828">
        <v>5</v>
      </c>
      <c r="E828">
        <v>0.03</v>
      </c>
      <c r="F828">
        <v>60</v>
      </c>
      <c r="G828" s="13">
        <v>44620</v>
      </c>
      <c r="H828">
        <v>827</v>
      </c>
      <c r="I828">
        <v>23</v>
      </c>
      <c r="J828">
        <v>2.5000000000000001E-3</v>
      </c>
      <c r="K828" s="14">
        <v>5665.137832149725</v>
      </c>
      <c r="L828" s="14">
        <v>333914.14612083195</v>
      </c>
      <c r="M828" s="36">
        <f>IF(Output[[#This Row],[Index]]=1,Output[[#This Row],[Droit Utilisation]],P827)</f>
        <v>217246.20179602614</v>
      </c>
      <c r="N828" s="15">
        <f>Output[[#This Row],[Capital Debut Period]]*Output[[#This Row],[Tx_interet_M]]</f>
        <v>543.1155044900654</v>
      </c>
      <c r="O828" s="15">
        <f>Output[[#This Row],[Mensualité initial]]-Output[[#This Row],[Interet]]</f>
        <v>5456.8844955099348</v>
      </c>
      <c r="P828" s="15">
        <f>Output[[#This Row],[Capital Debut Period]]-Output[[#This Row],[Paiement Principal]]</f>
        <v>211789.31730051621</v>
      </c>
      <c r="Q828" s="15">
        <f>Output[[#This Row],[Droit Utilisation]]/Output[[#This Row],[Duree_Mois]]</f>
        <v>5565.2357686805326</v>
      </c>
    </row>
    <row r="829" spans="1:17" x14ac:dyDescent="0.25">
      <c r="A829" s="11" t="s">
        <v>14</v>
      </c>
      <c r="B829" s="12">
        <v>43922</v>
      </c>
      <c r="C829">
        <v>6000</v>
      </c>
      <c r="D829">
        <v>5</v>
      </c>
      <c r="E829">
        <v>0.03</v>
      </c>
      <c r="F829">
        <v>60</v>
      </c>
      <c r="G829" s="13">
        <v>44651</v>
      </c>
      <c r="H829">
        <v>828</v>
      </c>
      <c r="I829">
        <v>24</v>
      </c>
      <c r="J829">
        <v>2.5000000000000001E-3</v>
      </c>
      <c r="K829" s="14">
        <v>5651.010306383766</v>
      </c>
      <c r="L829" s="14">
        <v>333914.14612083195</v>
      </c>
      <c r="M829" s="36">
        <f>IF(Output[[#This Row],[Index]]=1,Output[[#This Row],[Droit Utilisation]],P828)</f>
        <v>211789.31730051621</v>
      </c>
      <c r="N829" s="15">
        <f>Output[[#This Row],[Capital Debut Period]]*Output[[#This Row],[Tx_interet_M]]</f>
        <v>529.47329325129056</v>
      </c>
      <c r="O829" s="15">
        <f>Output[[#This Row],[Mensualité initial]]-Output[[#This Row],[Interet]]</f>
        <v>5470.5267067487093</v>
      </c>
      <c r="P829" s="15">
        <f>Output[[#This Row],[Capital Debut Period]]-Output[[#This Row],[Paiement Principal]]</f>
        <v>206318.79059376751</v>
      </c>
      <c r="Q829" s="15">
        <f>Output[[#This Row],[Droit Utilisation]]/Output[[#This Row],[Duree_Mois]]</f>
        <v>5565.2357686805326</v>
      </c>
    </row>
    <row r="830" spans="1:17" x14ac:dyDescent="0.25">
      <c r="A830" s="11" t="s">
        <v>14</v>
      </c>
      <c r="B830" s="12">
        <v>43922</v>
      </c>
      <c r="C830">
        <v>6000</v>
      </c>
      <c r="D830">
        <v>5</v>
      </c>
      <c r="E830">
        <v>0.03</v>
      </c>
      <c r="F830">
        <v>60</v>
      </c>
      <c r="G830" s="13">
        <v>44681</v>
      </c>
      <c r="H830">
        <v>829</v>
      </c>
      <c r="I830">
        <v>25</v>
      </c>
      <c r="J830">
        <v>2.5000000000000001E-3</v>
      </c>
      <c r="K830" s="14">
        <v>5636.9180113553775</v>
      </c>
      <c r="L830" s="14">
        <v>333914.14612083195</v>
      </c>
      <c r="M830" s="36">
        <f>IF(Output[[#This Row],[Index]]=1,Output[[#This Row],[Droit Utilisation]],P829)</f>
        <v>206318.79059376751</v>
      </c>
      <c r="N830" s="15">
        <f>Output[[#This Row],[Capital Debut Period]]*Output[[#This Row],[Tx_interet_M]]</f>
        <v>515.79697648441879</v>
      </c>
      <c r="O830" s="15">
        <f>Output[[#This Row],[Mensualité initial]]-Output[[#This Row],[Interet]]</f>
        <v>5484.2030235155817</v>
      </c>
      <c r="P830" s="15">
        <f>Output[[#This Row],[Capital Debut Period]]-Output[[#This Row],[Paiement Principal]]</f>
        <v>200834.58757025193</v>
      </c>
      <c r="Q830" s="15">
        <f>Output[[#This Row],[Droit Utilisation]]/Output[[#This Row],[Duree_Mois]]</f>
        <v>5565.2357686805326</v>
      </c>
    </row>
    <row r="831" spans="1:17" x14ac:dyDescent="0.25">
      <c r="A831" s="11" t="s">
        <v>14</v>
      </c>
      <c r="B831" s="12">
        <v>43922</v>
      </c>
      <c r="C831">
        <v>6000</v>
      </c>
      <c r="D831">
        <v>5</v>
      </c>
      <c r="E831">
        <v>0.03</v>
      </c>
      <c r="F831">
        <v>60</v>
      </c>
      <c r="G831" s="13">
        <v>44712</v>
      </c>
      <c r="H831">
        <v>830</v>
      </c>
      <c r="I831">
        <v>26</v>
      </c>
      <c r="J831">
        <v>2.5000000000000001E-3</v>
      </c>
      <c r="K831" s="14">
        <v>5622.8608592073597</v>
      </c>
      <c r="L831" s="14">
        <v>333914.14612083195</v>
      </c>
      <c r="M831" s="36">
        <f>IF(Output[[#This Row],[Index]]=1,Output[[#This Row],[Droit Utilisation]],P830)</f>
        <v>200834.58757025193</v>
      </c>
      <c r="N831" s="15">
        <f>Output[[#This Row],[Capital Debut Period]]*Output[[#This Row],[Tx_interet_M]]</f>
        <v>502.08646892562984</v>
      </c>
      <c r="O831" s="15">
        <f>Output[[#This Row],[Mensualité initial]]-Output[[#This Row],[Interet]]</f>
        <v>5497.9135310743704</v>
      </c>
      <c r="P831" s="15">
        <f>Output[[#This Row],[Capital Debut Period]]-Output[[#This Row],[Paiement Principal]]</f>
        <v>195336.67403917757</v>
      </c>
      <c r="Q831" s="15">
        <f>Output[[#This Row],[Droit Utilisation]]/Output[[#This Row],[Duree_Mois]]</f>
        <v>5565.2357686805326</v>
      </c>
    </row>
    <row r="832" spans="1:17" x14ac:dyDescent="0.25">
      <c r="A832" s="11" t="s">
        <v>14</v>
      </c>
      <c r="B832" s="12">
        <v>43922</v>
      </c>
      <c r="C832">
        <v>6000</v>
      </c>
      <c r="D832">
        <v>5</v>
      </c>
      <c r="E832">
        <v>0.03</v>
      </c>
      <c r="F832">
        <v>60</v>
      </c>
      <c r="G832" s="13">
        <v>44742</v>
      </c>
      <c r="H832">
        <v>831</v>
      </c>
      <c r="I832">
        <v>27</v>
      </c>
      <c r="J832">
        <v>2.5000000000000001E-3</v>
      </c>
      <c r="K832" s="14">
        <v>5608.838762301606</v>
      </c>
      <c r="L832" s="14">
        <v>333914.14612083195</v>
      </c>
      <c r="M832" s="36">
        <f>IF(Output[[#This Row],[Index]]=1,Output[[#This Row],[Droit Utilisation]],P831)</f>
        <v>195336.67403917757</v>
      </c>
      <c r="N832" s="15">
        <f>Output[[#This Row],[Capital Debut Period]]*Output[[#This Row],[Tx_interet_M]]</f>
        <v>488.34168509794392</v>
      </c>
      <c r="O832" s="15">
        <f>Output[[#This Row],[Mensualité initial]]-Output[[#This Row],[Interet]]</f>
        <v>5511.6583149020562</v>
      </c>
      <c r="P832" s="15">
        <f>Output[[#This Row],[Capital Debut Period]]-Output[[#This Row],[Paiement Principal]]</f>
        <v>189825.01572427552</v>
      </c>
      <c r="Q832" s="15">
        <f>Output[[#This Row],[Droit Utilisation]]/Output[[#This Row],[Duree_Mois]]</f>
        <v>5565.2357686805326</v>
      </c>
    </row>
    <row r="833" spans="1:17" x14ac:dyDescent="0.25">
      <c r="A833" s="11" t="s">
        <v>14</v>
      </c>
      <c r="B833" s="12">
        <v>43922</v>
      </c>
      <c r="C833">
        <v>6000</v>
      </c>
      <c r="D833">
        <v>5</v>
      </c>
      <c r="E833">
        <v>0.03</v>
      </c>
      <c r="F833">
        <v>60</v>
      </c>
      <c r="G833" s="13">
        <v>44773</v>
      </c>
      <c r="H833">
        <v>832</v>
      </c>
      <c r="I833">
        <v>28</v>
      </c>
      <c r="J833">
        <v>2.5000000000000001E-3</v>
      </c>
      <c r="K833" s="14">
        <v>5594.85163321856</v>
      </c>
      <c r="L833" s="14">
        <v>333914.14612083195</v>
      </c>
      <c r="M833" s="36">
        <f>IF(Output[[#This Row],[Index]]=1,Output[[#This Row],[Droit Utilisation]],P832)</f>
        <v>189825.01572427552</v>
      </c>
      <c r="N833" s="15">
        <f>Output[[#This Row],[Capital Debut Period]]*Output[[#This Row],[Tx_interet_M]]</f>
        <v>474.56253931068881</v>
      </c>
      <c r="O833" s="15">
        <f>Output[[#This Row],[Mensualité initial]]-Output[[#This Row],[Interet]]</f>
        <v>5525.4374606893116</v>
      </c>
      <c r="P833" s="15">
        <f>Output[[#This Row],[Capital Debut Period]]-Output[[#This Row],[Paiement Principal]]</f>
        <v>184299.57826358621</v>
      </c>
      <c r="Q833" s="15">
        <f>Output[[#This Row],[Droit Utilisation]]/Output[[#This Row],[Duree_Mois]]</f>
        <v>5565.2357686805326</v>
      </c>
    </row>
    <row r="834" spans="1:17" x14ac:dyDescent="0.25">
      <c r="A834" s="11" t="s">
        <v>14</v>
      </c>
      <c r="B834" s="12">
        <v>43922</v>
      </c>
      <c r="C834">
        <v>6000</v>
      </c>
      <c r="D834">
        <v>5</v>
      </c>
      <c r="E834">
        <v>0.03</v>
      </c>
      <c r="F834">
        <v>60</v>
      </c>
      <c r="G834" s="13">
        <v>44804</v>
      </c>
      <c r="H834">
        <v>833</v>
      </c>
      <c r="I834">
        <v>29</v>
      </c>
      <c r="J834">
        <v>2.5000000000000001E-3</v>
      </c>
      <c r="K834" s="14">
        <v>5580.899384756669</v>
      </c>
      <c r="L834" s="14">
        <v>333914.14612083195</v>
      </c>
      <c r="M834" s="36">
        <f>IF(Output[[#This Row],[Index]]=1,Output[[#This Row],[Droit Utilisation]],P833)</f>
        <v>184299.57826358621</v>
      </c>
      <c r="N834" s="15">
        <f>Output[[#This Row],[Capital Debut Period]]*Output[[#This Row],[Tx_interet_M]]</f>
        <v>460.74894565896557</v>
      </c>
      <c r="O834" s="15">
        <f>Output[[#This Row],[Mensualité initial]]-Output[[#This Row],[Interet]]</f>
        <v>5539.2510543410344</v>
      </c>
      <c r="P834" s="15">
        <f>Output[[#This Row],[Capital Debut Period]]-Output[[#This Row],[Paiement Principal]]</f>
        <v>178760.32720924518</v>
      </c>
      <c r="Q834" s="15">
        <f>Output[[#This Row],[Droit Utilisation]]/Output[[#This Row],[Duree_Mois]]</f>
        <v>5565.2357686805326</v>
      </c>
    </row>
    <row r="835" spans="1:17" x14ac:dyDescent="0.25">
      <c r="A835" s="11" t="s">
        <v>14</v>
      </c>
      <c r="B835" s="12">
        <v>43922</v>
      </c>
      <c r="C835">
        <v>6000</v>
      </c>
      <c r="D835">
        <v>5</v>
      </c>
      <c r="E835">
        <v>0.03</v>
      </c>
      <c r="F835">
        <v>60</v>
      </c>
      <c r="G835" s="13">
        <v>44834</v>
      </c>
      <c r="H835">
        <v>834</v>
      </c>
      <c r="I835">
        <v>30</v>
      </c>
      <c r="J835">
        <v>2.5000000000000001E-3</v>
      </c>
      <c r="K835" s="14">
        <v>5566.9819299318397</v>
      </c>
      <c r="L835" s="14">
        <v>333914.14612083195</v>
      </c>
      <c r="M835" s="36">
        <f>IF(Output[[#This Row],[Index]]=1,Output[[#This Row],[Droit Utilisation]],P834)</f>
        <v>178760.32720924518</v>
      </c>
      <c r="N835" s="15">
        <f>Output[[#This Row],[Capital Debut Period]]*Output[[#This Row],[Tx_interet_M]]</f>
        <v>446.90081802311295</v>
      </c>
      <c r="O835" s="15">
        <f>Output[[#This Row],[Mensualité initial]]-Output[[#This Row],[Interet]]</f>
        <v>5553.0991819768869</v>
      </c>
      <c r="P835" s="15">
        <f>Output[[#This Row],[Capital Debut Period]]-Output[[#This Row],[Paiement Principal]]</f>
        <v>173207.22802726828</v>
      </c>
      <c r="Q835" s="15">
        <f>Output[[#This Row],[Droit Utilisation]]/Output[[#This Row],[Duree_Mois]]</f>
        <v>5565.2357686805326</v>
      </c>
    </row>
    <row r="836" spans="1:17" x14ac:dyDescent="0.25">
      <c r="A836" s="11" t="s">
        <v>14</v>
      </c>
      <c r="B836" s="12">
        <v>43922</v>
      </c>
      <c r="C836">
        <v>6000</v>
      </c>
      <c r="D836">
        <v>5</v>
      </c>
      <c r="E836">
        <v>0.03</v>
      </c>
      <c r="F836">
        <v>60</v>
      </c>
      <c r="G836" s="13">
        <v>44865</v>
      </c>
      <c r="H836">
        <v>835</v>
      </c>
      <c r="I836">
        <v>31</v>
      </c>
      <c r="J836">
        <v>2.5000000000000001E-3</v>
      </c>
      <c r="K836" s="14">
        <v>5553.0991819768969</v>
      </c>
      <c r="L836" s="14">
        <v>333914.14612083195</v>
      </c>
      <c r="M836" s="36">
        <f>IF(Output[[#This Row],[Index]]=1,Output[[#This Row],[Droit Utilisation]],P835)</f>
        <v>173207.22802726828</v>
      </c>
      <c r="N836" s="15">
        <f>Output[[#This Row],[Capital Debut Period]]*Output[[#This Row],[Tx_interet_M]]</f>
        <v>433.01807006817074</v>
      </c>
      <c r="O836" s="15">
        <f>Output[[#This Row],[Mensualité initial]]-Output[[#This Row],[Interet]]</f>
        <v>5566.9819299318297</v>
      </c>
      <c r="P836" s="15">
        <f>Output[[#This Row],[Capital Debut Period]]-Output[[#This Row],[Paiement Principal]]</f>
        <v>167640.24609733647</v>
      </c>
      <c r="Q836" s="15">
        <f>Output[[#This Row],[Droit Utilisation]]/Output[[#This Row],[Duree_Mois]]</f>
        <v>5565.2357686805326</v>
      </c>
    </row>
    <row r="837" spans="1:17" x14ac:dyDescent="0.25">
      <c r="A837" s="11" t="s">
        <v>14</v>
      </c>
      <c r="B837" s="12">
        <v>43922</v>
      </c>
      <c r="C837">
        <v>6000</v>
      </c>
      <c r="D837">
        <v>5</v>
      </c>
      <c r="E837">
        <v>0.03</v>
      </c>
      <c r="F837">
        <v>60</v>
      </c>
      <c r="G837" s="13">
        <v>44895</v>
      </c>
      <c r="H837">
        <v>836</v>
      </c>
      <c r="I837">
        <v>32</v>
      </c>
      <c r="J837">
        <v>2.5000000000000001E-3</v>
      </c>
      <c r="K837" s="14">
        <v>5539.2510543410453</v>
      </c>
      <c r="L837" s="14">
        <v>333914.14612083195</v>
      </c>
      <c r="M837" s="36">
        <f>IF(Output[[#This Row],[Index]]=1,Output[[#This Row],[Droit Utilisation]],P836)</f>
        <v>167640.24609733647</v>
      </c>
      <c r="N837" s="15">
        <f>Output[[#This Row],[Capital Debut Period]]*Output[[#This Row],[Tx_interet_M]]</f>
        <v>419.10061524334117</v>
      </c>
      <c r="O837" s="15">
        <f>Output[[#This Row],[Mensualité initial]]-Output[[#This Row],[Interet]]</f>
        <v>5580.8993847566589</v>
      </c>
      <c r="P837" s="15">
        <f>Output[[#This Row],[Capital Debut Period]]-Output[[#This Row],[Paiement Principal]]</f>
        <v>162059.34671257981</v>
      </c>
      <c r="Q837" s="15">
        <f>Output[[#This Row],[Droit Utilisation]]/Output[[#This Row],[Duree_Mois]]</f>
        <v>5565.2357686805326</v>
      </c>
    </row>
    <row r="838" spans="1:17" x14ac:dyDescent="0.25">
      <c r="A838" s="11" t="s">
        <v>14</v>
      </c>
      <c r="B838" s="12">
        <v>43922</v>
      </c>
      <c r="C838">
        <v>6000</v>
      </c>
      <c r="D838">
        <v>5</v>
      </c>
      <c r="E838">
        <v>0.03</v>
      </c>
      <c r="F838">
        <v>60</v>
      </c>
      <c r="G838" s="13">
        <v>44926</v>
      </c>
      <c r="H838">
        <v>837</v>
      </c>
      <c r="I838">
        <v>33</v>
      </c>
      <c r="J838">
        <v>2.5000000000000001E-3</v>
      </c>
      <c r="K838" s="14">
        <v>5525.4374606893225</v>
      </c>
      <c r="L838" s="14">
        <v>333914.14612083195</v>
      </c>
      <c r="M838" s="36">
        <f>IF(Output[[#This Row],[Index]]=1,Output[[#This Row],[Droit Utilisation]],P837)</f>
        <v>162059.34671257981</v>
      </c>
      <c r="N838" s="15">
        <f>Output[[#This Row],[Capital Debut Period]]*Output[[#This Row],[Tx_interet_M]]</f>
        <v>405.14836678144951</v>
      </c>
      <c r="O838" s="15">
        <f>Output[[#This Row],[Mensualité initial]]-Output[[#This Row],[Interet]]</f>
        <v>5594.8516332185509</v>
      </c>
      <c r="P838" s="15">
        <f>Output[[#This Row],[Capital Debut Period]]-Output[[#This Row],[Paiement Principal]]</f>
        <v>156464.49507936125</v>
      </c>
      <c r="Q838" s="15">
        <f>Output[[#This Row],[Droit Utilisation]]/Output[[#This Row],[Duree_Mois]]</f>
        <v>5565.2357686805326</v>
      </c>
    </row>
    <row r="839" spans="1:17" x14ac:dyDescent="0.25">
      <c r="A839" s="11" t="s">
        <v>14</v>
      </c>
      <c r="B839" s="12">
        <v>43922</v>
      </c>
      <c r="C839">
        <v>6000</v>
      </c>
      <c r="D839">
        <v>5</v>
      </c>
      <c r="E839">
        <v>0.03</v>
      </c>
      <c r="F839">
        <v>60</v>
      </c>
      <c r="G839" s="13">
        <v>44957</v>
      </c>
      <c r="H839">
        <v>838</v>
      </c>
      <c r="I839">
        <v>34</v>
      </c>
      <c r="J839">
        <v>2.5000000000000001E-3</v>
      </c>
      <c r="K839" s="14">
        <v>5511.6583149020671</v>
      </c>
      <c r="L839" s="14">
        <v>333914.14612083195</v>
      </c>
      <c r="M839" s="36">
        <f>IF(Output[[#This Row],[Index]]=1,Output[[#This Row],[Droit Utilisation]],P838)</f>
        <v>156464.49507936125</v>
      </c>
      <c r="N839" s="15">
        <f>Output[[#This Row],[Capital Debut Period]]*Output[[#This Row],[Tx_interet_M]]</f>
        <v>391.16123769840311</v>
      </c>
      <c r="O839" s="15">
        <f>Output[[#This Row],[Mensualité initial]]-Output[[#This Row],[Interet]]</f>
        <v>5608.8387623015969</v>
      </c>
      <c r="P839" s="15">
        <f>Output[[#This Row],[Capital Debut Period]]-Output[[#This Row],[Paiement Principal]]</f>
        <v>150855.65631705965</v>
      </c>
      <c r="Q839" s="15">
        <f>Output[[#This Row],[Droit Utilisation]]/Output[[#This Row],[Duree_Mois]]</f>
        <v>5565.2357686805326</v>
      </c>
    </row>
    <row r="840" spans="1:17" x14ac:dyDescent="0.25">
      <c r="A840" s="11" t="s">
        <v>14</v>
      </c>
      <c r="B840" s="12">
        <v>43922</v>
      </c>
      <c r="C840">
        <v>6000</v>
      </c>
      <c r="D840">
        <v>5</v>
      </c>
      <c r="E840">
        <v>0.03</v>
      </c>
      <c r="F840">
        <v>60</v>
      </c>
      <c r="G840" s="13">
        <v>44985</v>
      </c>
      <c r="H840">
        <v>839</v>
      </c>
      <c r="I840">
        <v>35</v>
      </c>
      <c r="J840">
        <v>2.5000000000000001E-3</v>
      </c>
      <c r="K840" s="14">
        <v>5497.9135310743814</v>
      </c>
      <c r="L840" s="14">
        <v>333914.14612083195</v>
      </c>
      <c r="M840" s="36">
        <f>IF(Output[[#This Row],[Index]]=1,Output[[#This Row],[Droit Utilisation]],P839)</f>
        <v>150855.65631705965</v>
      </c>
      <c r="N840" s="15">
        <f>Output[[#This Row],[Capital Debut Period]]*Output[[#This Row],[Tx_interet_M]]</f>
        <v>377.13914079264913</v>
      </c>
      <c r="O840" s="15">
        <f>Output[[#This Row],[Mensualité initial]]-Output[[#This Row],[Interet]]</f>
        <v>5622.8608592073506</v>
      </c>
      <c r="P840" s="15">
        <f>Output[[#This Row],[Capital Debut Period]]-Output[[#This Row],[Paiement Principal]]</f>
        <v>145232.79545785231</v>
      </c>
      <c r="Q840" s="15">
        <f>Output[[#This Row],[Droit Utilisation]]/Output[[#This Row],[Duree_Mois]]</f>
        <v>5565.2357686805326</v>
      </c>
    </row>
    <row r="841" spans="1:17" x14ac:dyDescent="0.25">
      <c r="A841" s="11" t="s">
        <v>14</v>
      </c>
      <c r="B841" s="12">
        <v>43922</v>
      </c>
      <c r="C841">
        <v>6000</v>
      </c>
      <c r="D841">
        <v>5</v>
      </c>
      <c r="E841">
        <v>0.03</v>
      </c>
      <c r="F841">
        <v>60</v>
      </c>
      <c r="G841" s="13">
        <v>45016</v>
      </c>
      <c r="H841">
        <v>840</v>
      </c>
      <c r="I841">
        <v>36</v>
      </c>
      <c r="J841">
        <v>2.5000000000000001E-3</v>
      </c>
      <c r="K841" s="14">
        <v>5484.2030235155926</v>
      </c>
      <c r="L841" s="14">
        <v>333914.14612083195</v>
      </c>
      <c r="M841" s="36">
        <f>IF(Output[[#This Row],[Index]]=1,Output[[#This Row],[Droit Utilisation]],P840)</f>
        <v>145232.79545785231</v>
      </c>
      <c r="N841" s="15">
        <f>Output[[#This Row],[Capital Debut Period]]*Output[[#This Row],[Tx_interet_M]]</f>
        <v>363.08198864463077</v>
      </c>
      <c r="O841" s="15">
        <f>Output[[#This Row],[Mensualité initial]]-Output[[#This Row],[Interet]]</f>
        <v>5636.9180113553693</v>
      </c>
      <c r="P841" s="15">
        <f>Output[[#This Row],[Capital Debut Period]]-Output[[#This Row],[Paiement Principal]]</f>
        <v>139595.87744649695</v>
      </c>
      <c r="Q841" s="15">
        <f>Output[[#This Row],[Droit Utilisation]]/Output[[#This Row],[Duree_Mois]]</f>
        <v>5565.2357686805326</v>
      </c>
    </row>
    <row r="842" spans="1:17" x14ac:dyDescent="0.25">
      <c r="A842" s="11" t="s">
        <v>14</v>
      </c>
      <c r="B842" s="12">
        <v>43922</v>
      </c>
      <c r="C842">
        <v>6000</v>
      </c>
      <c r="D842">
        <v>5</v>
      </c>
      <c r="E842">
        <v>0.03</v>
      </c>
      <c r="F842">
        <v>60</v>
      </c>
      <c r="G842" s="13">
        <v>45046</v>
      </c>
      <c r="H842">
        <v>841</v>
      </c>
      <c r="I842">
        <v>37</v>
      </c>
      <c r="J842">
        <v>2.5000000000000001E-3</v>
      </c>
      <c r="K842" s="14">
        <v>5470.5267067487212</v>
      </c>
      <c r="L842" s="14">
        <v>333914.14612083195</v>
      </c>
      <c r="M842" s="36">
        <f>IF(Output[[#This Row],[Index]]=1,Output[[#This Row],[Droit Utilisation]],P841)</f>
        <v>139595.87744649695</v>
      </c>
      <c r="N842" s="15">
        <f>Output[[#This Row],[Capital Debut Period]]*Output[[#This Row],[Tx_interet_M]]</f>
        <v>348.98969361624239</v>
      </c>
      <c r="O842" s="15">
        <f>Output[[#This Row],[Mensualité initial]]-Output[[#This Row],[Interet]]</f>
        <v>5651.0103063837578</v>
      </c>
      <c r="P842" s="15">
        <f>Output[[#This Row],[Capital Debut Period]]-Output[[#This Row],[Paiement Principal]]</f>
        <v>133944.8671401132</v>
      </c>
      <c r="Q842" s="15">
        <f>Output[[#This Row],[Droit Utilisation]]/Output[[#This Row],[Duree_Mois]]</f>
        <v>5565.2357686805326</v>
      </c>
    </row>
    <row r="843" spans="1:17" x14ac:dyDescent="0.25">
      <c r="A843" s="11" t="s">
        <v>14</v>
      </c>
      <c r="B843" s="12">
        <v>43922</v>
      </c>
      <c r="C843">
        <v>6000</v>
      </c>
      <c r="D843">
        <v>5</v>
      </c>
      <c r="E843">
        <v>0.03</v>
      </c>
      <c r="F843">
        <v>60</v>
      </c>
      <c r="G843" s="13">
        <v>45077</v>
      </c>
      <c r="H843">
        <v>842</v>
      </c>
      <c r="I843">
        <v>38</v>
      </c>
      <c r="J843">
        <v>2.5000000000000001E-3</v>
      </c>
      <c r="K843" s="14">
        <v>5456.8844955099466</v>
      </c>
      <c r="L843" s="14">
        <v>333914.14612083195</v>
      </c>
      <c r="M843" s="36">
        <f>IF(Output[[#This Row],[Index]]=1,Output[[#This Row],[Droit Utilisation]],P842)</f>
        <v>133944.8671401132</v>
      </c>
      <c r="N843" s="15">
        <f>Output[[#This Row],[Capital Debut Period]]*Output[[#This Row],[Tx_interet_M]]</f>
        <v>334.86216785028302</v>
      </c>
      <c r="O843" s="15">
        <f>Output[[#This Row],[Mensualité initial]]-Output[[#This Row],[Interet]]</f>
        <v>5665.1378321497168</v>
      </c>
      <c r="P843" s="15">
        <f>Output[[#This Row],[Capital Debut Period]]-Output[[#This Row],[Paiement Principal]]</f>
        <v>128279.72930796348</v>
      </c>
      <c r="Q843" s="15">
        <f>Output[[#This Row],[Droit Utilisation]]/Output[[#This Row],[Duree_Mois]]</f>
        <v>5565.2357686805326</v>
      </c>
    </row>
    <row r="844" spans="1:17" x14ac:dyDescent="0.25">
      <c r="A844" s="11" t="s">
        <v>14</v>
      </c>
      <c r="B844" s="12">
        <v>43922</v>
      </c>
      <c r="C844">
        <v>6000</v>
      </c>
      <c r="D844">
        <v>5</v>
      </c>
      <c r="E844">
        <v>0.03</v>
      </c>
      <c r="F844">
        <v>60</v>
      </c>
      <c r="G844" s="13">
        <v>45107</v>
      </c>
      <c r="H844">
        <v>843</v>
      </c>
      <c r="I844">
        <v>39</v>
      </c>
      <c r="J844">
        <v>2.5000000000000001E-3</v>
      </c>
      <c r="K844" s="14">
        <v>5443.2763047480767</v>
      </c>
      <c r="L844" s="14">
        <v>333914.14612083195</v>
      </c>
      <c r="M844" s="36">
        <f>IF(Output[[#This Row],[Index]]=1,Output[[#This Row],[Droit Utilisation]],P843)</f>
        <v>128279.72930796348</v>
      </c>
      <c r="N844" s="15">
        <f>Output[[#This Row],[Capital Debut Period]]*Output[[#This Row],[Tx_interet_M]]</f>
        <v>320.69932326990869</v>
      </c>
      <c r="O844" s="15">
        <f>Output[[#This Row],[Mensualité initial]]-Output[[#This Row],[Interet]]</f>
        <v>5679.3006767300913</v>
      </c>
      <c r="P844" s="15">
        <f>Output[[#This Row],[Capital Debut Period]]-Output[[#This Row],[Paiement Principal]]</f>
        <v>122600.42863123339</v>
      </c>
      <c r="Q844" s="15">
        <f>Output[[#This Row],[Droit Utilisation]]/Output[[#This Row],[Duree_Mois]]</f>
        <v>5565.2357686805326</v>
      </c>
    </row>
    <row r="845" spans="1:17" x14ac:dyDescent="0.25">
      <c r="A845" s="11" t="s">
        <v>14</v>
      </c>
      <c r="B845" s="12">
        <v>43922</v>
      </c>
      <c r="C845">
        <v>6000</v>
      </c>
      <c r="D845">
        <v>5</v>
      </c>
      <c r="E845">
        <v>0.03</v>
      </c>
      <c r="F845">
        <v>60</v>
      </c>
      <c r="G845" s="13">
        <v>45138</v>
      </c>
      <c r="H845">
        <v>844</v>
      </c>
      <c r="I845">
        <v>40</v>
      </c>
      <c r="J845">
        <v>2.5000000000000001E-3</v>
      </c>
      <c r="K845" s="14">
        <v>5429.7020496240175</v>
      </c>
      <c r="L845" s="14">
        <v>333914.14612083195</v>
      </c>
      <c r="M845" s="36">
        <f>IF(Output[[#This Row],[Index]]=1,Output[[#This Row],[Droit Utilisation]],P844)</f>
        <v>122600.42863123339</v>
      </c>
      <c r="N845" s="15">
        <f>Output[[#This Row],[Capital Debut Period]]*Output[[#This Row],[Tx_interet_M]]</f>
        <v>306.5010715780835</v>
      </c>
      <c r="O845" s="15">
        <f>Output[[#This Row],[Mensualité initial]]-Output[[#This Row],[Interet]]</f>
        <v>5693.4989284219164</v>
      </c>
      <c r="P845" s="15">
        <f>Output[[#This Row],[Capital Debut Period]]-Output[[#This Row],[Paiement Principal]]</f>
        <v>116906.92970281147</v>
      </c>
      <c r="Q845" s="15">
        <f>Output[[#This Row],[Droit Utilisation]]/Output[[#This Row],[Duree_Mois]]</f>
        <v>5565.2357686805326</v>
      </c>
    </row>
    <row r="846" spans="1:17" x14ac:dyDescent="0.25">
      <c r="A846" s="11" t="s">
        <v>14</v>
      </c>
      <c r="B846" s="12">
        <v>43922</v>
      </c>
      <c r="C846">
        <v>6000</v>
      </c>
      <c r="D846">
        <v>5</v>
      </c>
      <c r="E846">
        <v>0.03</v>
      </c>
      <c r="F846">
        <v>60</v>
      </c>
      <c r="G846" s="13">
        <v>45169</v>
      </c>
      <c r="H846">
        <v>845</v>
      </c>
      <c r="I846">
        <v>41</v>
      </c>
      <c r="J846">
        <v>2.5000000000000001E-3</v>
      </c>
      <c r="K846" s="14">
        <v>5416.1616455102412</v>
      </c>
      <c r="L846" s="14">
        <v>333914.14612083195</v>
      </c>
      <c r="M846" s="36">
        <f>IF(Output[[#This Row],[Index]]=1,Output[[#This Row],[Droit Utilisation]],P845)</f>
        <v>116906.92970281147</v>
      </c>
      <c r="N846" s="15">
        <f>Output[[#This Row],[Capital Debut Period]]*Output[[#This Row],[Tx_interet_M]]</f>
        <v>292.26732425702869</v>
      </c>
      <c r="O846" s="15">
        <f>Output[[#This Row],[Mensualité initial]]-Output[[#This Row],[Interet]]</f>
        <v>5707.732675742971</v>
      </c>
      <c r="P846" s="15">
        <f>Output[[#This Row],[Capital Debut Period]]-Output[[#This Row],[Paiement Principal]]</f>
        <v>111199.1970270685</v>
      </c>
      <c r="Q846" s="15">
        <f>Output[[#This Row],[Droit Utilisation]]/Output[[#This Row],[Duree_Mois]]</f>
        <v>5565.2357686805326</v>
      </c>
    </row>
    <row r="847" spans="1:17" x14ac:dyDescent="0.25">
      <c r="A847" s="11" t="s">
        <v>14</v>
      </c>
      <c r="B847" s="12">
        <v>43922</v>
      </c>
      <c r="C847">
        <v>6000</v>
      </c>
      <c r="D847">
        <v>5</v>
      </c>
      <c r="E847">
        <v>0.03</v>
      </c>
      <c r="F847">
        <v>60</v>
      </c>
      <c r="G847" s="13">
        <v>45199</v>
      </c>
      <c r="H847">
        <v>846</v>
      </c>
      <c r="I847">
        <v>42</v>
      </c>
      <c r="J847">
        <v>2.5000000000000001E-3</v>
      </c>
      <c r="K847" s="14">
        <v>5402.6550079902663</v>
      </c>
      <c r="L847" s="14">
        <v>333914.14612083195</v>
      </c>
      <c r="M847" s="36">
        <f>IF(Output[[#This Row],[Index]]=1,Output[[#This Row],[Droit Utilisation]],P846)</f>
        <v>111199.1970270685</v>
      </c>
      <c r="N847" s="15">
        <f>Output[[#This Row],[Capital Debut Period]]*Output[[#This Row],[Tx_interet_M]]</f>
        <v>277.99799256767125</v>
      </c>
      <c r="O847" s="15">
        <f>Output[[#This Row],[Mensualité initial]]-Output[[#This Row],[Interet]]</f>
        <v>5722.0020074323284</v>
      </c>
      <c r="P847" s="15">
        <f>Output[[#This Row],[Capital Debut Period]]-Output[[#This Row],[Paiement Principal]]</f>
        <v>105477.19501963617</v>
      </c>
      <c r="Q847" s="15">
        <f>Output[[#This Row],[Droit Utilisation]]/Output[[#This Row],[Duree_Mois]]</f>
        <v>5565.2357686805326</v>
      </c>
    </row>
    <row r="848" spans="1:17" x14ac:dyDescent="0.25">
      <c r="A848" s="11" t="s">
        <v>14</v>
      </c>
      <c r="B848" s="12">
        <v>43922</v>
      </c>
      <c r="C848">
        <v>6000</v>
      </c>
      <c r="D848">
        <v>5</v>
      </c>
      <c r="E848">
        <v>0.03</v>
      </c>
      <c r="F848">
        <v>60</v>
      </c>
      <c r="G848" s="13">
        <v>45230</v>
      </c>
      <c r="H848">
        <v>847</v>
      </c>
      <c r="I848">
        <v>43</v>
      </c>
      <c r="J848">
        <v>2.5000000000000001E-3</v>
      </c>
      <c r="K848" s="14">
        <v>5389.1820528581211</v>
      </c>
      <c r="L848" s="14">
        <v>333914.14612083195</v>
      </c>
      <c r="M848" s="36">
        <f>IF(Output[[#This Row],[Index]]=1,Output[[#This Row],[Droit Utilisation]],P847)</f>
        <v>105477.19501963617</v>
      </c>
      <c r="N848" s="15">
        <f>Output[[#This Row],[Capital Debut Period]]*Output[[#This Row],[Tx_interet_M]]</f>
        <v>263.69298754909045</v>
      </c>
      <c r="O848" s="15">
        <f>Output[[#This Row],[Mensualité initial]]-Output[[#This Row],[Interet]]</f>
        <v>5736.3070124509095</v>
      </c>
      <c r="P848" s="15">
        <f>Output[[#This Row],[Capital Debut Period]]-Output[[#This Row],[Paiement Principal]]</f>
        <v>99740.888007185262</v>
      </c>
      <c r="Q848" s="15">
        <f>Output[[#This Row],[Droit Utilisation]]/Output[[#This Row],[Duree_Mois]]</f>
        <v>5565.2357686805326</v>
      </c>
    </row>
    <row r="849" spans="1:17" x14ac:dyDescent="0.25">
      <c r="A849" s="11" t="s">
        <v>14</v>
      </c>
      <c r="B849" s="12">
        <v>43922</v>
      </c>
      <c r="C849">
        <v>6000</v>
      </c>
      <c r="D849">
        <v>5</v>
      </c>
      <c r="E849">
        <v>0.03</v>
      </c>
      <c r="F849">
        <v>60</v>
      </c>
      <c r="G849" s="13">
        <v>45260</v>
      </c>
      <c r="H849">
        <v>848</v>
      </c>
      <c r="I849">
        <v>44</v>
      </c>
      <c r="J849">
        <v>2.5000000000000001E-3</v>
      </c>
      <c r="K849" s="14">
        <v>5375.7426961178271</v>
      </c>
      <c r="L849" s="14">
        <v>333914.14612083195</v>
      </c>
      <c r="M849" s="36">
        <f>IF(Output[[#This Row],[Index]]=1,Output[[#This Row],[Droit Utilisation]],P848)</f>
        <v>99740.888007185262</v>
      </c>
      <c r="N849" s="15">
        <f>Output[[#This Row],[Capital Debut Period]]*Output[[#This Row],[Tx_interet_M]]</f>
        <v>249.35222001796316</v>
      </c>
      <c r="O849" s="15">
        <f>Output[[#This Row],[Mensualité initial]]-Output[[#This Row],[Interet]]</f>
        <v>5750.6477799820368</v>
      </c>
      <c r="P849" s="15">
        <f>Output[[#This Row],[Capital Debut Period]]-Output[[#This Row],[Paiement Principal]]</f>
        <v>93990.24022720322</v>
      </c>
      <c r="Q849" s="15">
        <f>Output[[#This Row],[Droit Utilisation]]/Output[[#This Row],[Duree_Mois]]</f>
        <v>5565.2357686805326</v>
      </c>
    </row>
    <row r="850" spans="1:17" x14ac:dyDescent="0.25">
      <c r="A850" s="11" t="s">
        <v>14</v>
      </c>
      <c r="B850" s="12">
        <v>43922</v>
      </c>
      <c r="C850">
        <v>6000</v>
      </c>
      <c r="D850">
        <v>5</v>
      </c>
      <c r="E850">
        <v>0.03</v>
      </c>
      <c r="F850">
        <v>60</v>
      </c>
      <c r="G850" s="13">
        <v>45291</v>
      </c>
      <c r="H850">
        <v>849</v>
      </c>
      <c r="I850">
        <v>45</v>
      </c>
      <c r="J850">
        <v>2.5000000000000001E-3</v>
      </c>
      <c r="K850" s="14">
        <v>5362.3368539828707</v>
      </c>
      <c r="L850" s="14">
        <v>333914.14612083195</v>
      </c>
      <c r="M850" s="36">
        <f>IF(Output[[#This Row],[Index]]=1,Output[[#This Row],[Droit Utilisation]],P849)</f>
        <v>93990.24022720322</v>
      </c>
      <c r="N850" s="15">
        <f>Output[[#This Row],[Capital Debut Period]]*Output[[#This Row],[Tx_interet_M]]</f>
        <v>234.97560056800805</v>
      </c>
      <c r="O850" s="15">
        <f>Output[[#This Row],[Mensualité initial]]-Output[[#This Row],[Interet]]</f>
        <v>5765.0243994319917</v>
      </c>
      <c r="P850" s="15">
        <f>Output[[#This Row],[Capital Debut Period]]-Output[[#This Row],[Paiement Principal]]</f>
        <v>88225.21582777123</v>
      </c>
      <c r="Q850" s="15">
        <f>Output[[#This Row],[Droit Utilisation]]/Output[[#This Row],[Duree_Mois]]</f>
        <v>5565.2357686805326</v>
      </c>
    </row>
    <row r="851" spans="1:17" x14ac:dyDescent="0.25">
      <c r="A851" s="11" t="s">
        <v>14</v>
      </c>
      <c r="B851" s="12">
        <v>43922</v>
      </c>
      <c r="C851">
        <v>6000</v>
      </c>
      <c r="D851">
        <v>5</v>
      </c>
      <c r="E851">
        <v>0.03</v>
      </c>
      <c r="F851">
        <v>60</v>
      </c>
      <c r="G851" s="13">
        <v>45322</v>
      </c>
      <c r="H851">
        <v>850</v>
      </c>
      <c r="I851">
        <v>46</v>
      </c>
      <c r="J851">
        <v>2.5000000000000001E-3</v>
      </c>
      <c r="K851" s="14">
        <v>5348.9644428756819</v>
      </c>
      <c r="L851" s="14">
        <v>333914.14612083195</v>
      </c>
      <c r="M851" s="36">
        <f>IF(Output[[#This Row],[Index]]=1,Output[[#This Row],[Droit Utilisation]],P850)</f>
        <v>88225.21582777123</v>
      </c>
      <c r="N851" s="15">
        <f>Output[[#This Row],[Capital Debut Period]]*Output[[#This Row],[Tx_interet_M]]</f>
        <v>220.56303956942807</v>
      </c>
      <c r="O851" s="15">
        <f>Output[[#This Row],[Mensualité initial]]-Output[[#This Row],[Interet]]</f>
        <v>5779.4369604305721</v>
      </c>
      <c r="P851" s="15">
        <f>Output[[#This Row],[Capital Debut Period]]-Output[[#This Row],[Paiement Principal]]</f>
        <v>82445.778867340661</v>
      </c>
      <c r="Q851" s="15">
        <f>Output[[#This Row],[Droit Utilisation]]/Output[[#This Row],[Duree_Mois]]</f>
        <v>5565.2357686805326</v>
      </c>
    </row>
    <row r="852" spans="1:17" x14ac:dyDescent="0.25">
      <c r="A852" s="11" t="s">
        <v>14</v>
      </c>
      <c r="B852" s="12">
        <v>43922</v>
      </c>
      <c r="C852">
        <v>6000</v>
      </c>
      <c r="D852">
        <v>5</v>
      </c>
      <c r="E852">
        <v>0.03</v>
      </c>
      <c r="F852">
        <v>60</v>
      </c>
      <c r="G852" s="13">
        <v>45351</v>
      </c>
      <c r="H852">
        <v>851</v>
      </c>
      <c r="I852">
        <v>47</v>
      </c>
      <c r="J852">
        <v>2.5000000000000001E-3</v>
      </c>
      <c r="K852" s="14">
        <v>5335.6253794271142</v>
      </c>
      <c r="L852" s="14">
        <v>333914.14612083195</v>
      </c>
      <c r="M852" s="36">
        <f>IF(Output[[#This Row],[Index]]=1,Output[[#This Row],[Droit Utilisation]],P851)</f>
        <v>82445.778867340661</v>
      </c>
      <c r="N852" s="15">
        <f>Output[[#This Row],[Capital Debut Period]]*Output[[#This Row],[Tx_interet_M]]</f>
        <v>206.11444716835166</v>
      </c>
      <c r="O852" s="15">
        <f>Output[[#This Row],[Mensualité initial]]-Output[[#This Row],[Interet]]</f>
        <v>5793.8855528316481</v>
      </c>
      <c r="P852" s="15">
        <f>Output[[#This Row],[Capital Debut Period]]-Output[[#This Row],[Paiement Principal]]</f>
        <v>76651.893314509012</v>
      </c>
      <c r="Q852" s="15">
        <f>Output[[#This Row],[Droit Utilisation]]/Output[[#This Row],[Duree_Mois]]</f>
        <v>5565.2357686805326</v>
      </c>
    </row>
    <row r="853" spans="1:17" x14ac:dyDescent="0.25">
      <c r="A853" s="11" t="s">
        <v>14</v>
      </c>
      <c r="B853" s="12">
        <v>43922</v>
      </c>
      <c r="C853">
        <v>6000</v>
      </c>
      <c r="D853">
        <v>5</v>
      </c>
      <c r="E853">
        <v>0.03</v>
      </c>
      <c r="F853">
        <v>60</v>
      </c>
      <c r="G853" s="13">
        <v>45382</v>
      </c>
      <c r="H853">
        <v>852</v>
      </c>
      <c r="I853">
        <v>48</v>
      </c>
      <c r="J853">
        <v>2.5000000000000001E-3</v>
      </c>
      <c r="K853" s="14">
        <v>5322.3195804759243</v>
      </c>
      <c r="L853" s="14">
        <v>333914.14612083195</v>
      </c>
      <c r="M853" s="36">
        <f>IF(Output[[#This Row],[Index]]=1,Output[[#This Row],[Droit Utilisation]],P852)</f>
        <v>76651.893314509012</v>
      </c>
      <c r="N853" s="15">
        <f>Output[[#This Row],[Capital Debut Period]]*Output[[#This Row],[Tx_interet_M]]</f>
        <v>191.62973328627254</v>
      </c>
      <c r="O853" s="15">
        <f>Output[[#This Row],[Mensualité initial]]-Output[[#This Row],[Interet]]</f>
        <v>5808.3702667137277</v>
      </c>
      <c r="P853" s="15">
        <f>Output[[#This Row],[Capital Debut Period]]-Output[[#This Row],[Paiement Principal]]</f>
        <v>70843.523047795286</v>
      </c>
      <c r="Q853" s="15">
        <f>Output[[#This Row],[Droit Utilisation]]/Output[[#This Row],[Duree_Mois]]</f>
        <v>5565.2357686805326</v>
      </c>
    </row>
    <row r="854" spans="1:17" x14ac:dyDescent="0.25">
      <c r="A854" s="11" t="s">
        <v>14</v>
      </c>
      <c r="B854" s="12">
        <v>43922</v>
      </c>
      <c r="C854">
        <v>6000</v>
      </c>
      <c r="D854">
        <v>5</v>
      </c>
      <c r="E854">
        <v>0.03</v>
      </c>
      <c r="F854">
        <v>60</v>
      </c>
      <c r="G854" s="13">
        <v>45412</v>
      </c>
      <c r="H854">
        <v>853</v>
      </c>
      <c r="I854">
        <v>49</v>
      </c>
      <c r="J854">
        <v>2.5000000000000001E-3</v>
      </c>
      <c r="K854" s="14">
        <v>5309.0469630682537</v>
      </c>
      <c r="L854" s="14">
        <v>333914.14612083195</v>
      </c>
      <c r="M854" s="36">
        <f>IF(Output[[#This Row],[Index]]=1,Output[[#This Row],[Droit Utilisation]],P853)</f>
        <v>70843.523047795286</v>
      </c>
      <c r="N854" s="15">
        <f>Output[[#This Row],[Capital Debut Period]]*Output[[#This Row],[Tx_interet_M]]</f>
        <v>177.10880761948823</v>
      </c>
      <c r="O854" s="15">
        <f>Output[[#This Row],[Mensualité initial]]-Output[[#This Row],[Interet]]</f>
        <v>5822.8911923805117</v>
      </c>
      <c r="P854" s="15">
        <f>Output[[#This Row],[Capital Debut Period]]-Output[[#This Row],[Paiement Principal]]</f>
        <v>65020.631855414773</v>
      </c>
      <c r="Q854" s="15">
        <f>Output[[#This Row],[Droit Utilisation]]/Output[[#This Row],[Duree_Mois]]</f>
        <v>5565.2357686805326</v>
      </c>
    </row>
    <row r="855" spans="1:17" x14ac:dyDescent="0.25">
      <c r="A855" s="11" t="s">
        <v>14</v>
      </c>
      <c r="B855" s="12">
        <v>43922</v>
      </c>
      <c r="C855">
        <v>6000</v>
      </c>
      <c r="D855">
        <v>5</v>
      </c>
      <c r="E855">
        <v>0.03</v>
      </c>
      <c r="F855">
        <v>60</v>
      </c>
      <c r="G855" s="13">
        <v>45443</v>
      </c>
      <c r="H855">
        <v>854</v>
      </c>
      <c r="I855">
        <v>50</v>
      </c>
      <c r="J855">
        <v>2.5000000000000001E-3</v>
      </c>
      <c r="K855" s="14">
        <v>5295.8074444571121</v>
      </c>
      <c r="L855" s="14">
        <v>333914.14612083195</v>
      </c>
      <c r="M855" s="36">
        <f>IF(Output[[#This Row],[Index]]=1,Output[[#This Row],[Droit Utilisation]],P854)</f>
        <v>65020.631855414773</v>
      </c>
      <c r="N855" s="15">
        <f>Output[[#This Row],[Capital Debut Period]]*Output[[#This Row],[Tx_interet_M]]</f>
        <v>162.55157963853694</v>
      </c>
      <c r="O855" s="15">
        <f>Output[[#This Row],[Mensualité initial]]-Output[[#This Row],[Interet]]</f>
        <v>5837.4484203614629</v>
      </c>
      <c r="P855" s="15">
        <f>Output[[#This Row],[Capital Debut Period]]-Output[[#This Row],[Paiement Principal]]</f>
        <v>59183.18343505331</v>
      </c>
      <c r="Q855" s="15">
        <f>Output[[#This Row],[Droit Utilisation]]/Output[[#This Row],[Duree_Mois]]</f>
        <v>5565.2357686805326</v>
      </c>
    </row>
    <row r="856" spans="1:17" x14ac:dyDescent="0.25">
      <c r="A856" s="11" t="s">
        <v>14</v>
      </c>
      <c r="B856" s="12">
        <v>43922</v>
      </c>
      <c r="C856">
        <v>6000</v>
      </c>
      <c r="D856">
        <v>5</v>
      </c>
      <c r="E856">
        <v>0.03</v>
      </c>
      <c r="F856">
        <v>60</v>
      </c>
      <c r="G856" s="13">
        <v>45473</v>
      </c>
      <c r="H856">
        <v>855</v>
      </c>
      <c r="I856">
        <v>51</v>
      </c>
      <c r="J856">
        <v>2.5000000000000001E-3</v>
      </c>
      <c r="K856" s="14">
        <v>5282.6009421018571</v>
      </c>
      <c r="L856" s="14">
        <v>333914.14612083195</v>
      </c>
      <c r="M856" s="36">
        <f>IF(Output[[#This Row],[Index]]=1,Output[[#This Row],[Droit Utilisation]],P855)</f>
        <v>59183.18343505331</v>
      </c>
      <c r="N856" s="15">
        <f>Output[[#This Row],[Capital Debut Period]]*Output[[#This Row],[Tx_interet_M]]</f>
        <v>147.95795858763327</v>
      </c>
      <c r="O856" s="15">
        <f>Output[[#This Row],[Mensualité initial]]-Output[[#This Row],[Interet]]</f>
        <v>5852.0420414123664</v>
      </c>
      <c r="P856" s="15">
        <f>Output[[#This Row],[Capital Debut Period]]-Output[[#This Row],[Paiement Principal]]</f>
        <v>53331.141393640944</v>
      </c>
      <c r="Q856" s="15">
        <f>Output[[#This Row],[Droit Utilisation]]/Output[[#This Row],[Duree_Mois]]</f>
        <v>5565.2357686805326</v>
      </c>
    </row>
    <row r="857" spans="1:17" x14ac:dyDescent="0.25">
      <c r="A857" s="11" t="s">
        <v>14</v>
      </c>
      <c r="B857" s="12">
        <v>43922</v>
      </c>
      <c r="C857">
        <v>6000</v>
      </c>
      <c r="D857">
        <v>5</v>
      </c>
      <c r="E857">
        <v>0.03</v>
      </c>
      <c r="F857">
        <v>60</v>
      </c>
      <c r="G857" s="13">
        <v>45504</v>
      </c>
      <c r="H857">
        <v>856</v>
      </c>
      <c r="I857">
        <v>52</v>
      </c>
      <c r="J857">
        <v>2.5000000000000001E-3</v>
      </c>
      <c r="K857" s="14">
        <v>5269.4273736676878</v>
      </c>
      <c r="L857" s="14">
        <v>333914.14612083195</v>
      </c>
      <c r="M857" s="36">
        <f>IF(Output[[#This Row],[Index]]=1,Output[[#This Row],[Droit Utilisation]],P856)</f>
        <v>53331.141393640944</v>
      </c>
      <c r="N857" s="15">
        <f>Output[[#This Row],[Capital Debut Period]]*Output[[#This Row],[Tx_interet_M]]</f>
        <v>133.32785348410238</v>
      </c>
      <c r="O857" s="15">
        <f>Output[[#This Row],[Mensualité initial]]-Output[[#This Row],[Interet]]</f>
        <v>5866.672146515898</v>
      </c>
      <c r="P857" s="15">
        <f>Output[[#This Row],[Capital Debut Period]]-Output[[#This Row],[Paiement Principal]]</f>
        <v>47464.469247125046</v>
      </c>
      <c r="Q857" s="15">
        <f>Output[[#This Row],[Droit Utilisation]]/Output[[#This Row],[Duree_Mois]]</f>
        <v>5565.2357686805326</v>
      </c>
    </row>
    <row r="858" spans="1:17" x14ac:dyDescent="0.25">
      <c r="A858" s="11" t="s">
        <v>14</v>
      </c>
      <c r="B858" s="12">
        <v>43922</v>
      </c>
      <c r="C858">
        <v>6000</v>
      </c>
      <c r="D858">
        <v>5</v>
      </c>
      <c r="E858">
        <v>0.03</v>
      </c>
      <c r="F858">
        <v>60</v>
      </c>
      <c r="G858" s="13">
        <v>45535</v>
      </c>
      <c r="H858">
        <v>857</v>
      </c>
      <c r="I858">
        <v>53</v>
      </c>
      <c r="J858">
        <v>2.5000000000000001E-3</v>
      </c>
      <c r="K858" s="14">
        <v>5256.2866570251254</v>
      </c>
      <c r="L858" s="14">
        <v>333914.14612083195</v>
      </c>
      <c r="M858" s="36">
        <f>IF(Output[[#This Row],[Index]]=1,Output[[#This Row],[Droit Utilisation]],P857)</f>
        <v>47464.469247125046</v>
      </c>
      <c r="N858" s="15">
        <f>Output[[#This Row],[Capital Debut Period]]*Output[[#This Row],[Tx_interet_M]]</f>
        <v>118.66117311781261</v>
      </c>
      <c r="O858" s="15">
        <f>Output[[#This Row],[Mensualité initial]]-Output[[#This Row],[Interet]]</f>
        <v>5881.3388268821873</v>
      </c>
      <c r="P858" s="15">
        <f>Output[[#This Row],[Capital Debut Period]]-Output[[#This Row],[Paiement Principal]]</f>
        <v>41583.130420242858</v>
      </c>
      <c r="Q858" s="15">
        <f>Output[[#This Row],[Droit Utilisation]]/Output[[#This Row],[Duree_Mois]]</f>
        <v>5565.2357686805326</v>
      </c>
    </row>
    <row r="859" spans="1:17" x14ac:dyDescent="0.25">
      <c r="A859" s="11" t="s">
        <v>14</v>
      </c>
      <c r="B859" s="12">
        <v>43922</v>
      </c>
      <c r="C859">
        <v>6000</v>
      </c>
      <c r="D859">
        <v>5</v>
      </c>
      <c r="E859">
        <v>0.03</v>
      </c>
      <c r="F859">
        <v>60</v>
      </c>
      <c r="G859" s="13">
        <v>45565</v>
      </c>
      <c r="H859">
        <v>858</v>
      </c>
      <c r="I859">
        <v>54</v>
      </c>
      <c r="J859">
        <v>2.5000000000000001E-3</v>
      </c>
      <c r="K859" s="14">
        <v>5243.1787102495018</v>
      </c>
      <c r="L859" s="14">
        <v>333914.14612083195</v>
      </c>
      <c r="M859" s="36">
        <f>IF(Output[[#This Row],[Index]]=1,Output[[#This Row],[Droit Utilisation]],P858)</f>
        <v>41583.130420242858</v>
      </c>
      <c r="N859" s="15">
        <f>Output[[#This Row],[Capital Debut Period]]*Output[[#This Row],[Tx_interet_M]]</f>
        <v>103.95782605060715</v>
      </c>
      <c r="O859" s="15">
        <f>Output[[#This Row],[Mensualité initial]]-Output[[#This Row],[Interet]]</f>
        <v>5896.0421739493931</v>
      </c>
      <c r="P859" s="15">
        <f>Output[[#This Row],[Capital Debut Period]]-Output[[#This Row],[Paiement Principal]]</f>
        <v>35687.088246293468</v>
      </c>
      <c r="Q859" s="15">
        <f>Output[[#This Row],[Droit Utilisation]]/Output[[#This Row],[Duree_Mois]]</f>
        <v>5565.2357686805326</v>
      </c>
    </row>
    <row r="860" spans="1:17" x14ac:dyDescent="0.25">
      <c r="A860" s="11" t="s">
        <v>14</v>
      </c>
      <c r="B860" s="12">
        <v>43922</v>
      </c>
      <c r="C860">
        <v>6000</v>
      </c>
      <c r="D860">
        <v>5</v>
      </c>
      <c r="E860">
        <v>0.03</v>
      </c>
      <c r="F860">
        <v>60</v>
      </c>
      <c r="G860" s="13">
        <v>45596</v>
      </c>
      <c r="H860">
        <v>859</v>
      </c>
      <c r="I860">
        <v>55</v>
      </c>
      <c r="J860">
        <v>2.5000000000000001E-3</v>
      </c>
      <c r="K860" s="14">
        <v>5230.1034516204509</v>
      </c>
      <c r="L860" s="14">
        <v>333914.14612083195</v>
      </c>
      <c r="M860" s="36">
        <f>IF(Output[[#This Row],[Index]]=1,Output[[#This Row],[Droit Utilisation]],P859)</f>
        <v>35687.088246293468</v>
      </c>
      <c r="N860" s="15">
        <f>Output[[#This Row],[Capital Debut Period]]*Output[[#This Row],[Tx_interet_M]]</f>
        <v>89.217720615733668</v>
      </c>
      <c r="O860" s="15">
        <f>Output[[#This Row],[Mensualité initial]]-Output[[#This Row],[Interet]]</f>
        <v>5910.7822793842661</v>
      </c>
      <c r="P860" s="15">
        <f>Output[[#This Row],[Capital Debut Period]]-Output[[#This Row],[Paiement Principal]]</f>
        <v>29776.305966909204</v>
      </c>
      <c r="Q860" s="15">
        <f>Output[[#This Row],[Droit Utilisation]]/Output[[#This Row],[Duree_Mois]]</f>
        <v>5565.2357686805326</v>
      </c>
    </row>
    <row r="861" spans="1:17" x14ac:dyDescent="0.25">
      <c r="A861" s="11" t="s">
        <v>14</v>
      </c>
      <c r="B861" s="12">
        <v>43922</v>
      </c>
      <c r="C861">
        <v>6000</v>
      </c>
      <c r="D861">
        <v>5</v>
      </c>
      <c r="E861">
        <v>0.03</v>
      </c>
      <c r="F861">
        <v>60</v>
      </c>
      <c r="G861" s="13">
        <v>45626</v>
      </c>
      <c r="H861">
        <v>860</v>
      </c>
      <c r="I861">
        <v>56</v>
      </c>
      <c r="J861">
        <v>2.5000000000000001E-3</v>
      </c>
      <c r="K861" s="14">
        <v>5217.0607996213976</v>
      </c>
      <c r="L861" s="14">
        <v>333914.14612083195</v>
      </c>
      <c r="M861" s="36">
        <f>IF(Output[[#This Row],[Index]]=1,Output[[#This Row],[Droit Utilisation]],P860)</f>
        <v>29776.305966909204</v>
      </c>
      <c r="N861" s="15">
        <f>Output[[#This Row],[Capital Debut Period]]*Output[[#This Row],[Tx_interet_M]]</f>
        <v>74.440764917273015</v>
      </c>
      <c r="O861" s="15">
        <f>Output[[#This Row],[Mensualité initial]]-Output[[#This Row],[Interet]]</f>
        <v>5925.5592350827274</v>
      </c>
      <c r="P861" s="15">
        <f>Output[[#This Row],[Capital Debut Period]]-Output[[#This Row],[Paiement Principal]]</f>
        <v>23850.746731826475</v>
      </c>
      <c r="Q861" s="15">
        <f>Output[[#This Row],[Droit Utilisation]]/Output[[#This Row],[Duree_Mois]]</f>
        <v>5565.2357686805326</v>
      </c>
    </row>
    <row r="862" spans="1:17" x14ac:dyDescent="0.25">
      <c r="A862" s="11" t="s">
        <v>14</v>
      </c>
      <c r="B862" s="12">
        <v>43922</v>
      </c>
      <c r="C862">
        <v>6000</v>
      </c>
      <c r="D862">
        <v>5</v>
      </c>
      <c r="E862">
        <v>0.03</v>
      </c>
      <c r="F862">
        <v>60</v>
      </c>
      <c r="G862" s="13">
        <v>45657</v>
      </c>
      <c r="H862">
        <v>861</v>
      </c>
      <c r="I862">
        <v>57</v>
      </c>
      <c r="J862">
        <v>2.5000000000000001E-3</v>
      </c>
      <c r="K862" s="14">
        <v>5204.0506729390509</v>
      </c>
      <c r="L862" s="14">
        <v>333914.14612083195</v>
      </c>
      <c r="M862" s="36">
        <f>IF(Output[[#This Row],[Index]]=1,Output[[#This Row],[Droit Utilisation]],P861)</f>
        <v>23850.746731826475</v>
      </c>
      <c r="N862" s="15">
        <f>Output[[#This Row],[Capital Debut Period]]*Output[[#This Row],[Tx_interet_M]]</f>
        <v>59.62686682956619</v>
      </c>
      <c r="O862" s="15">
        <f>Output[[#This Row],[Mensualité initial]]-Output[[#This Row],[Interet]]</f>
        <v>5940.3731331704339</v>
      </c>
      <c r="P862" s="15">
        <f>Output[[#This Row],[Capital Debut Period]]-Output[[#This Row],[Paiement Principal]]</f>
        <v>17910.373598656042</v>
      </c>
      <c r="Q862" s="15">
        <f>Output[[#This Row],[Droit Utilisation]]/Output[[#This Row],[Duree_Mois]]</f>
        <v>5565.2357686805326</v>
      </c>
    </row>
    <row r="863" spans="1:17" x14ac:dyDescent="0.25">
      <c r="A863" s="11" t="s">
        <v>14</v>
      </c>
      <c r="B863" s="12">
        <v>43922</v>
      </c>
      <c r="C863">
        <v>6000</v>
      </c>
      <c r="D863">
        <v>5</v>
      </c>
      <c r="E863">
        <v>0.03</v>
      </c>
      <c r="F863">
        <v>60</v>
      </c>
      <c r="G863" s="13">
        <v>45688</v>
      </c>
      <c r="H863">
        <v>862</v>
      </c>
      <c r="I863">
        <v>58</v>
      </c>
      <c r="J863">
        <v>2.5000000000000001E-3</v>
      </c>
      <c r="K863" s="14">
        <v>5191.0729904628934</v>
      </c>
      <c r="L863" s="14">
        <v>333914.14612083195</v>
      </c>
      <c r="M863" s="36">
        <f>IF(Output[[#This Row],[Index]]=1,Output[[#This Row],[Droit Utilisation]],P862)</f>
        <v>17910.373598656042</v>
      </c>
      <c r="N863" s="15">
        <f>Output[[#This Row],[Capital Debut Period]]*Output[[#This Row],[Tx_interet_M]]</f>
        <v>44.775933996640106</v>
      </c>
      <c r="O863" s="15">
        <f>Output[[#This Row],[Mensualité initial]]-Output[[#This Row],[Interet]]</f>
        <v>5955.2240660033603</v>
      </c>
      <c r="P863" s="15">
        <f>Output[[#This Row],[Capital Debut Period]]-Output[[#This Row],[Paiement Principal]]</f>
        <v>11955.149532652682</v>
      </c>
      <c r="Q863" s="15">
        <f>Output[[#This Row],[Droit Utilisation]]/Output[[#This Row],[Duree_Mois]]</f>
        <v>5565.2357686805326</v>
      </c>
    </row>
    <row r="864" spans="1:17" x14ac:dyDescent="0.25">
      <c r="A864" s="11" t="s">
        <v>14</v>
      </c>
      <c r="B864" s="12">
        <v>43922</v>
      </c>
      <c r="C864">
        <v>6000</v>
      </c>
      <c r="D864">
        <v>5</v>
      </c>
      <c r="E864">
        <v>0.03</v>
      </c>
      <c r="F864">
        <v>60</v>
      </c>
      <c r="G864" s="13">
        <v>45716</v>
      </c>
      <c r="H864">
        <v>863</v>
      </c>
      <c r="I864">
        <v>59</v>
      </c>
      <c r="J864">
        <v>2.5000000000000001E-3</v>
      </c>
      <c r="K864" s="14">
        <v>5178.127671284682</v>
      </c>
      <c r="L864" s="14">
        <v>333914.14612083195</v>
      </c>
      <c r="M864" s="36">
        <f>IF(Output[[#This Row],[Index]]=1,Output[[#This Row],[Droit Utilisation]],P863)</f>
        <v>11955.149532652682</v>
      </c>
      <c r="N864" s="15">
        <f>Output[[#This Row],[Capital Debut Period]]*Output[[#This Row],[Tx_interet_M]]</f>
        <v>29.887873831631705</v>
      </c>
      <c r="O864" s="15">
        <f>Output[[#This Row],[Mensualité initial]]-Output[[#This Row],[Interet]]</f>
        <v>5970.1121261683684</v>
      </c>
      <c r="P864" s="15">
        <f>Output[[#This Row],[Capital Debut Period]]-Output[[#This Row],[Paiement Principal]]</f>
        <v>5985.0374064843136</v>
      </c>
      <c r="Q864" s="15">
        <f>Output[[#This Row],[Droit Utilisation]]/Output[[#This Row],[Duree_Mois]]</f>
        <v>5565.2357686805326</v>
      </c>
    </row>
    <row r="865" spans="1:17" x14ac:dyDescent="0.25">
      <c r="A865" s="11" t="s">
        <v>14</v>
      </c>
      <c r="B865" s="12">
        <v>43922</v>
      </c>
      <c r="C865">
        <v>6000</v>
      </c>
      <c r="D865">
        <v>5</v>
      </c>
      <c r="E865">
        <v>0.03</v>
      </c>
      <c r="F865">
        <v>60</v>
      </c>
      <c r="G865" s="13">
        <v>45747</v>
      </c>
      <c r="H865">
        <v>864</v>
      </c>
      <c r="I865">
        <v>60</v>
      </c>
      <c r="J865">
        <v>2.5000000000000001E-3</v>
      </c>
      <c r="K865" s="14">
        <v>5165.2146346979371</v>
      </c>
      <c r="L865" s="14">
        <v>333914.14612083195</v>
      </c>
      <c r="M865" s="36">
        <f>IF(Output[[#This Row],[Index]]=1,Output[[#This Row],[Droit Utilisation]],P864)</f>
        <v>5985.0374064843136</v>
      </c>
      <c r="N865" s="15">
        <f>Output[[#This Row],[Capital Debut Period]]*Output[[#This Row],[Tx_interet_M]]</f>
        <v>14.962593516210784</v>
      </c>
      <c r="O865" s="15">
        <f>Output[[#This Row],[Mensualité initial]]-Output[[#This Row],[Interet]]</f>
        <v>5985.0374064837888</v>
      </c>
      <c r="P865" s="15">
        <f>Output[[#This Row],[Capital Debut Period]]-Output[[#This Row],[Paiement Principal]]</f>
        <v>5.2477844292297959E-10</v>
      </c>
      <c r="Q865" s="15">
        <f>Output[[#This Row],[Droit Utilisation]]/Output[[#This Row],[Duree_Mois]]</f>
        <v>5565.2357686805326</v>
      </c>
    </row>
    <row r="866" spans="1:17" x14ac:dyDescent="0.25">
      <c r="A866" s="11" t="s">
        <v>15</v>
      </c>
      <c r="B866" s="12">
        <v>43952</v>
      </c>
      <c r="C866">
        <v>6000</v>
      </c>
      <c r="D866">
        <v>5</v>
      </c>
      <c r="E866">
        <v>0.03</v>
      </c>
      <c r="F866">
        <v>60</v>
      </c>
      <c r="G866" s="13">
        <v>43982</v>
      </c>
      <c r="H866">
        <v>865</v>
      </c>
      <c r="I866">
        <v>1</v>
      </c>
      <c r="J866">
        <v>2.5000000000000001E-3</v>
      </c>
      <c r="K866" s="14">
        <v>5985.0374064837906</v>
      </c>
      <c r="L866" s="14">
        <v>333914.14612083195</v>
      </c>
      <c r="M866" s="36">
        <f>IF(Output[[#This Row],[Index]]=1,Output[[#This Row],[Droit Utilisation]],P865)</f>
        <v>333914.14612083195</v>
      </c>
      <c r="N866" s="15">
        <f>Output[[#This Row],[Capital Debut Period]]*Output[[#This Row],[Tx_interet_M]]</f>
        <v>834.78536530207987</v>
      </c>
      <c r="O866" s="15">
        <f>Output[[#This Row],[Mensualité initial]]-Output[[#This Row],[Interet]]</f>
        <v>5165.2146346979198</v>
      </c>
      <c r="P866" s="15">
        <f>Output[[#This Row],[Capital Debut Period]]-Output[[#This Row],[Paiement Principal]]</f>
        <v>328748.93148613401</v>
      </c>
      <c r="Q866" s="15">
        <f>Output[[#This Row],[Droit Utilisation]]/Output[[#This Row],[Duree_Mois]]</f>
        <v>5565.2357686805326</v>
      </c>
    </row>
    <row r="867" spans="1:17" x14ac:dyDescent="0.25">
      <c r="A867" s="11" t="s">
        <v>15</v>
      </c>
      <c r="B867" s="12">
        <v>43952</v>
      </c>
      <c r="C867">
        <v>6000</v>
      </c>
      <c r="D867">
        <v>5</v>
      </c>
      <c r="E867">
        <v>0.03</v>
      </c>
      <c r="F867">
        <v>60</v>
      </c>
      <c r="G867" s="13">
        <v>44012</v>
      </c>
      <c r="H867">
        <v>866</v>
      </c>
      <c r="I867">
        <v>2</v>
      </c>
      <c r="J867">
        <v>2.5000000000000001E-3</v>
      </c>
      <c r="K867" s="14">
        <v>5970.1121261683702</v>
      </c>
      <c r="L867" s="14">
        <v>333914.14612083195</v>
      </c>
      <c r="M867" s="36">
        <f>IF(Output[[#This Row],[Index]]=1,Output[[#This Row],[Droit Utilisation]],P866)</f>
        <v>328748.93148613401</v>
      </c>
      <c r="N867" s="15">
        <f>Output[[#This Row],[Capital Debut Period]]*Output[[#This Row],[Tx_interet_M]]</f>
        <v>821.87232871533502</v>
      </c>
      <c r="O867" s="15">
        <f>Output[[#This Row],[Mensualité initial]]-Output[[#This Row],[Interet]]</f>
        <v>5178.1276712846648</v>
      </c>
      <c r="P867" s="15">
        <f>Output[[#This Row],[Capital Debut Period]]-Output[[#This Row],[Paiement Principal]]</f>
        <v>323570.80381484935</v>
      </c>
      <c r="Q867" s="15">
        <f>Output[[#This Row],[Droit Utilisation]]/Output[[#This Row],[Duree_Mois]]</f>
        <v>5565.2357686805326</v>
      </c>
    </row>
    <row r="868" spans="1:17" x14ac:dyDescent="0.25">
      <c r="A868" s="11" t="s">
        <v>15</v>
      </c>
      <c r="B868" s="12">
        <v>43952</v>
      </c>
      <c r="C868">
        <v>6000</v>
      </c>
      <c r="D868">
        <v>5</v>
      </c>
      <c r="E868">
        <v>0.03</v>
      </c>
      <c r="F868">
        <v>60</v>
      </c>
      <c r="G868" s="13">
        <v>44043</v>
      </c>
      <c r="H868">
        <v>867</v>
      </c>
      <c r="I868">
        <v>3</v>
      </c>
      <c r="J868">
        <v>2.5000000000000001E-3</v>
      </c>
      <c r="K868" s="14">
        <v>5955.2240660033622</v>
      </c>
      <c r="L868" s="14">
        <v>333914.14612083195</v>
      </c>
      <c r="M868" s="36">
        <f>IF(Output[[#This Row],[Index]]=1,Output[[#This Row],[Droit Utilisation]],P867)</f>
        <v>323570.80381484935</v>
      </c>
      <c r="N868" s="15">
        <f>Output[[#This Row],[Capital Debut Period]]*Output[[#This Row],[Tx_interet_M]]</f>
        <v>808.92700953712335</v>
      </c>
      <c r="O868" s="15">
        <f>Output[[#This Row],[Mensualité initial]]-Output[[#This Row],[Interet]]</f>
        <v>5191.072990462877</v>
      </c>
      <c r="P868" s="15">
        <f>Output[[#This Row],[Capital Debut Period]]-Output[[#This Row],[Paiement Principal]]</f>
        <v>318379.73082438647</v>
      </c>
      <c r="Q868" s="15">
        <f>Output[[#This Row],[Droit Utilisation]]/Output[[#This Row],[Duree_Mois]]</f>
        <v>5565.2357686805326</v>
      </c>
    </row>
    <row r="869" spans="1:17" x14ac:dyDescent="0.25">
      <c r="A869" s="11" t="s">
        <v>15</v>
      </c>
      <c r="B869" s="12">
        <v>43952</v>
      </c>
      <c r="C869">
        <v>6000</v>
      </c>
      <c r="D869">
        <v>5</v>
      </c>
      <c r="E869">
        <v>0.03</v>
      </c>
      <c r="F869">
        <v>60</v>
      </c>
      <c r="G869" s="13">
        <v>44074</v>
      </c>
      <c r="H869">
        <v>868</v>
      </c>
      <c r="I869">
        <v>4</v>
      </c>
      <c r="J869">
        <v>2.5000000000000001E-3</v>
      </c>
      <c r="K869" s="14">
        <v>5940.3731331704357</v>
      </c>
      <c r="L869" s="14">
        <v>333914.14612083195</v>
      </c>
      <c r="M869" s="36">
        <f>IF(Output[[#This Row],[Index]]=1,Output[[#This Row],[Droit Utilisation]],P868)</f>
        <v>318379.73082438647</v>
      </c>
      <c r="N869" s="15">
        <f>Output[[#This Row],[Capital Debut Period]]*Output[[#This Row],[Tx_interet_M]]</f>
        <v>795.9493270609662</v>
      </c>
      <c r="O869" s="15">
        <f>Output[[#This Row],[Mensualité initial]]-Output[[#This Row],[Interet]]</f>
        <v>5204.0506729390336</v>
      </c>
      <c r="P869" s="15">
        <f>Output[[#This Row],[Capital Debut Period]]-Output[[#This Row],[Paiement Principal]]</f>
        <v>313175.68015144742</v>
      </c>
      <c r="Q869" s="15">
        <f>Output[[#This Row],[Droit Utilisation]]/Output[[#This Row],[Duree_Mois]]</f>
        <v>5565.2357686805326</v>
      </c>
    </row>
    <row r="870" spans="1:17" x14ac:dyDescent="0.25">
      <c r="A870" s="11" t="s">
        <v>15</v>
      </c>
      <c r="B870" s="12">
        <v>43952</v>
      </c>
      <c r="C870">
        <v>6000</v>
      </c>
      <c r="D870">
        <v>5</v>
      </c>
      <c r="E870">
        <v>0.03</v>
      </c>
      <c r="F870">
        <v>60</v>
      </c>
      <c r="G870" s="13">
        <v>44104</v>
      </c>
      <c r="H870">
        <v>869</v>
      </c>
      <c r="I870">
        <v>5</v>
      </c>
      <c r="J870">
        <v>2.5000000000000001E-3</v>
      </c>
      <c r="K870" s="14">
        <v>5925.5592350827301</v>
      </c>
      <c r="L870" s="14">
        <v>333914.14612083195</v>
      </c>
      <c r="M870" s="36">
        <f>IF(Output[[#This Row],[Index]]=1,Output[[#This Row],[Droit Utilisation]],P869)</f>
        <v>313175.68015144742</v>
      </c>
      <c r="N870" s="15">
        <f>Output[[#This Row],[Capital Debut Period]]*Output[[#This Row],[Tx_interet_M]]</f>
        <v>782.93920037861858</v>
      </c>
      <c r="O870" s="15">
        <f>Output[[#This Row],[Mensualité initial]]-Output[[#This Row],[Interet]]</f>
        <v>5217.0607996213812</v>
      </c>
      <c r="P870" s="15">
        <f>Output[[#This Row],[Capital Debut Period]]-Output[[#This Row],[Paiement Principal]]</f>
        <v>307958.61935182603</v>
      </c>
      <c r="Q870" s="15">
        <f>Output[[#This Row],[Droit Utilisation]]/Output[[#This Row],[Duree_Mois]]</f>
        <v>5565.2357686805326</v>
      </c>
    </row>
    <row r="871" spans="1:17" x14ac:dyDescent="0.25">
      <c r="A871" s="11" t="s">
        <v>15</v>
      </c>
      <c r="B871" s="12">
        <v>43952</v>
      </c>
      <c r="C871">
        <v>6000</v>
      </c>
      <c r="D871">
        <v>5</v>
      </c>
      <c r="E871">
        <v>0.03</v>
      </c>
      <c r="F871">
        <v>60</v>
      </c>
      <c r="G871" s="13">
        <v>44135</v>
      </c>
      <c r="H871">
        <v>870</v>
      </c>
      <c r="I871">
        <v>6</v>
      </c>
      <c r="J871">
        <v>2.5000000000000001E-3</v>
      </c>
      <c r="K871" s="14">
        <v>5910.7822793842697</v>
      </c>
      <c r="L871" s="14">
        <v>333914.14612083195</v>
      </c>
      <c r="M871" s="36">
        <f>IF(Output[[#This Row],[Index]]=1,Output[[#This Row],[Droit Utilisation]],P870)</f>
        <v>307958.61935182603</v>
      </c>
      <c r="N871" s="15">
        <f>Output[[#This Row],[Capital Debut Period]]*Output[[#This Row],[Tx_interet_M]]</f>
        <v>769.89654837956505</v>
      </c>
      <c r="O871" s="15">
        <f>Output[[#This Row],[Mensualité initial]]-Output[[#This Row],[Interet]]</f>
        <v>5230.1034516204345</v>
      </c>
      <c r="P871" s="15">
        <f>Output[[#This Row],[Capital Debut Period]]-Output[[#This Row],[Paiement Principal]]</f>
        <v>302728.51590020559</v>
      </c>
      <c r="Q871" s="15">
        <f>Output[[#This Row],[Droit Utilisation]]/Output[[#This Row],[Duree_Mois]]</f>
        <v>5565.2357686805326</v>
      </c>
    </row>
    <row r="872" spans="1:17" x14ac:dyDescent="0.25">
      <c r="A872" s="11" t="s">
        <v>15</v>
      </c>
      <c r="B872" s="12">
        <v>43952</v>
      </c>
      <c r="C872">
        <v>6000</v>
      </c>
      <c r="D872">
        <v>5</v>
      </c>
      <c r="E872">
        <v>0.03</v>
      </c>
      <c r="F872">
        <v>60</v>
      </c>
      <c r="G872" s="13">
        <v>44165</v>
      </c>
      <c r="H872">
        <v>871</v>
      </c>
      <c r="I872">
        <v>7</v>
      </c>
      <c r="J872">
        <v>2.5000000000000001E-3</v>
      </c>
      <c r="K872" s="14">
        <v>5896.0421739493959</v>
      </c>
      <c r="L872" s="14">
        <v>333914.14612083195</v>
      </c>
      <c r="M872" s="36">
        <f>IF(Output[[#This Row],[Index]]=1,Output[[#This Row],[Droit Utilisation]],P871)</f>
        <v>302728.51590020559</v>
      </c>
      <c r="N872" s="15">
        <f>Output[[#This Row],[Capital Debut Period]]*Output[[#This Row],[Tx_interet_M]]</f>
        <v>756.82128975051398</v>
      </c>
      <c r="O872" s="15">
        <f>Output[[#This Row],[Mensualité initial]]-Output[[#This Row],[Interet]]</f>
        <v>5243.1787102494864</v>
      </c>
      <c r="P872" s="15">
        <f>Output[[#This Row],[Capital Debut Period]]-Output[[#This Row],[Paiement Principal]]</f>
        <v>297485.3371899561</v>
      </c>
      <c r="Q872" s="15">
        <f>Output[[#This Row],[Droit Utilisation]]/Output[[#This Row],[Duree_Mois]]</f>
        <v>5565.2357686805326</v>
      </c>
    </row>
    <row r="873" spans="1:17" x14ac:dyDescent="0.25">
      <c r="A873" s="11" t="s">
        <v>15</v>
      </c>
      <c r="B873" s="12">
        <v>43952</v>
      </c>
      <c r="C873">
        <v>6000</v>
      </c>
      <c r="D873">
        <v>5</v>
      </c>
      <c r="E873">
        <v>0.03</v>
      </c>
      <c r="F873">
        <v>60</v>
      </c>
      <c r="G873" s="13">
        <v>44196</v>
      </c>
      <c r="H873">
        <v>872</v>
      </c>
      <c r="I873">
        <v>8</v>
      </c>
      <c r="J873">
        <v>2.5000000000000001E-3</v>
      </c>
      <c r="K873" s="14">
        <v>5881.3388268821909</v>
      </c>
      <c r="L873" s="14">
        <v>333914.14612083195</v>
      </c>
      <c r="M873" s="36">
        <f>IF(Output[[#This Row],[Index]]=1,Output[[#This Row],[Droit Utilisation]],P872)</f>
        <v>297485.3371899561</v>
      </c>
      <c r="N873" s="15">
        <f>Output[[#This Row],[Capital Debut Period]]*Output[[#This Row],[Tx_interet_M]]</f>
        <v>743.71334297489022</v>
      </c>
      <c r="O873" s="15">
        <f>Output[[#This Row],[Mensualité initial]]-Output[[#This Row],[Interet]]</f>
        <v>5256.2866570251099</v>
      </c>
      <c r="P873" s="15">
        <f>Output[[#This Row],[Capital Debut Period]]-Output[[#This Row],[Paiement Principal]]</f>
        <v>292229.050532931</v>
      </c>
      <c r="Q873" s="15">
        <f>Output[[#This Row],[Droit Utilisation]]/Output[[#This Row],[Duree_Mois]]</f>
        <v>5565.2357686805326</v>
      </c>
    </row>
    <row r="874" spans="1:17" x14ac:dyDescent="0.25">
      <c r="A874" s="11" t="s">
        <v>15</v>
      </c>
      <c r="B874" s="12">
        <v>43952</v>
      </c>
      <c r="C874">
        <v>6000</v>
      </c>
      <c r="D874">
        <v>5</v>
      </c>
      <c r="E874">
        <v>0.03</v>
      </c>
      <c r="F874">
        <v>60</v>
      </c>
      <c r="G874" s="13">
        <v>44227</v>
      </c>
      <c r="H874">
        <v>873</v>
      </c>
      <c r="I874">
        <v>9</v>
      </c>
      <c r="J874">
        <v>2.5000000000000001E-3</v>
      </c>
      <c r="K874" s="14">
        <v>5866.6721465159017</v>
      </c>
      <c r="L874" s="14">
        <v>333914.14612083195</v>
      </c>
      <c r="M874" s="36">
        <f>IF(Output[[#This Row],[Index]]=1,Output[[#This Row],[Droit Utilisation]],P873)</f>
        <v>292229.050532931</v>
      </c>
      <c r="N874" s="15">
        <f>Output[[#This Row],[Capital Debut Period]]*Output[[#This Row],[Tx_interet_M]]</f>
        <v>730.57262633232756</v>
      </c>
      <c r="O874" s="15">
        <f>Output[[#This Row],[Mensualité initial]]-Output[[#This Row],[Interet]]</f>
        <v>5269.4273736676723</v>
      </c>
      <c r="P874" s="15">
        <f>Output[[#This Row],[Capital Debut Period]]-Output[[#This Row],[Paiement Principal]]</f>
        <v>286959.62315926334</v>
      </c>
      <c r="Q874" s="15">
        <f>Output[[#This Row],[Droit Utilisation]]/Output[[#This Row],[Duree_Mois]]</f>
        <v>5565.2357686805326</v>
      </c>
    </row>
    <row r="875" spans="1:17" x14ac:dyDescent="0.25">
      <c r="A875" s="11" t="s">
        <v>15</v>
      </c>
      <c r="B875" s="12">
        <v>43952</v>
      </c>
      <c r="C875">
        <v>6000</v>
      </c>
      <c r="D875">
        <v>5</v>
      </c>
      <c r="E875">
        <v>0.03</v>
      </c>
      <c r="F875">
        <v>60</v>
      </c>
      <c r="G875" s="13">
        <v>44255</v>
      </c>
      <c r="H875">
        <v>874</v>
      </c>
      <c r="I875">
        <v>10</v>
      </c>
      <c r="J875">
        <v>2.5000000000000001E-3</v>
      </c>
      <c r="K875" s="14">
        <v>5852.042041412371</v>
      </c>
      <c r="L875" s="14">
        <v>333914.14612083195</v>
      </c>
      <c r="M875" s="36">
        <f>IF(Output[[#This Row],[Index]]=1,Output[[#This Row],[Droit Utilisation]],P874)</f>
        <v>286959.62315926334</v>
      </c>
      <c r="N875" s="15">
        <f>Output[[#This Row],[Capital Debut Period]]*Output[[#This Row],[Tx_interet_M]]</f>
        <v>717.39905789815839</v>
      </c>
      <c r="O875" s="15">
        <f>Output[[#This Row],[Mensualité initial]]-Output[[#This Row],[Interet]]</f>
        <v>5282.6009421018416</v>
      </c>
      <c r="P875" s="15">
        <f>Output[[#This Row],[Capital Debut Period]]-Output[[#This Row],[Paiement Principal]]</f>
        <v>281677.02221716149</v>
      </c>
      <c r="Q875" s="15">
        <f>Output[[#This Row],[Droit Utilisation]]/Output[[#This Row],[Duree_Mois]]</f>
        <v>5565.2357686805326</v>
      </c>
    </row>
    <row r="876" spans="1:17" x14ac:dyDescent="0.25">
      <c r="A876" s="11" t="s">
        <v>15</v>
      </c>
      <c r="B876" s="12">
        <v>43952</v>
      </c>
      <c r="C876">
        <v>6000</v>
      </c>
      <c r="D876">
        <v>5</v>
      </c>
      <c r="E876">
        <v>0.03</v>
      </c>
      <c r="F876">
        <v>60</v>
      </c>
      <c r="G876" s="13">
        <v>44286</v>
      </c>
      <c r="H876">
        <v>875</v>
      </c>
      <c r="I876">
        <v>11</v>
      </c>
      <c r="J876">
        <v>2.5000000000000001E-3</v>
      </c>
      <c r="K876" s="14">
        <v>5837.4484203614675</v>
      </c>
      <c r="L876" s="14">
        <v>333914.14612083195</v>
      </c>
      <c r="M876" s="36">
        <f>IF(Output[[#This Row],[Index]]=1,Output[[#This Row],[Droit Utilisation]],P875)</f>
        <v>281677.02221716149</v>
      </c>
      <c r="N876" s="15">
        <f>Output[[#This Row],[Capital Debut Period]]*Output[[#This Row],[Tx_interet_M]]</f>
        <v>704.19255554290373</v>
      </c>
      <c r="O876" s="15">
        <f>Output[[#This Row],[Mensualité initial]]-Output[[#This Row],[Interet]]</f>
        <v>5295.8074444570966</v>
      </c>
      <c r="P876" s="15">
        <f>Output[[#This Row],[Capital Debut Period]]-Output[[#This Row],[Paiement Principal]]</f>
        <v>276381.21477270441</v>
      </c>
      <c r="Q876" s="15">
        <f>Output[[#This Row],[Droit Utilisation]]/Output[[#This Row],[Duree_Mois]]</f>
        <v>5565.2357686805326</v>
      </c>
    </row>
    <row r="877" spans="1:17" x14ac:dyDescent="0.25">
      <c r="A877" s="11" t="s">
        <v>15</v>
      </c>
      <c r="B877" s="12">
        <v>43952</v>
      </c>
      <c r="C877">
        <v>6000</v>
      </c>
      <c r="D877">
        <v>5</v>
      </c>
      <c r="E877">
        <v>0.03</v>
      </c>
      <c r="F877">
        <v>60</v>
      </c>
      <c r="G877" s="13">
        <v>44316</v>
      </c>
      <c r="H877">
        <v>876</v>
      </c>
      <c r="I877">
        <v>12</v>
      </c>
      <c r="J877">
        <v>2.5000000000000001E-3</v>
      </c>
      <c r="K877" s="14">
        <v>5822.8911923805163</v>
      </c>
      <c r="L877" s="14">
        <v>333914.14612083195</v>
      </c>
      <c r="M877" s="36">
        <f>IF(Output[[#This Row],[Index]]=1,Output[[#This Row],[Droit Utilisation]],P876)</f>
        <v>276381.21477270441</v>
      </c>
      <c r="N877" s="15">
        <f>Output[[#This Row],[Capital Debut Period]]*Output[[#This Row],[Tx_interet_M]]</f>
        <v>690.95303693176106</v>
      </c>
      <c r="O877" s="15">
        <f>Output[[#This Row],[Mensualité initial]]-Output[[#This Row],[Interet]]</f>
        <v>5309.0469630682392</v>
      </c>
      <c r="P877" s="15">
        <f>Output[[#This Row],[Capital Debut Period]]-Output[[#This Row],[Paiement Principal]]</f>
        <v>271072.16780963616</v>
      </c>
      <c r="Q877" s="15">
        <f>Output[[#This Row],[Droit Utilisation]]/Output[[#This Row],[Duree_Mois]]</f>
        <v>5565.2357686805326</v>
      </c>
    </row>
    <row r="878" spans="1:17" x14ac:dyDescent="0.25">
      <c r="A878" s="11" t="s">
        <v>15</v>
      </c>
      <c r="B878" s="12">
        <v>43952</v>
      </c>
      <c r="C878">
        <v>6000</v>
      </c>
      <c r="D878">
        <v>5</v>
      </c>
      <c r="E878">
        <v>0.03</v>
      </c>
      <c r="F878">
        <v>60</v>
      </c>
      <c r="G878" s="13">
        <v>44347</v>
      </c>
      <c r="H878">
        <v>877</v>
      </c>
      <c r="I878">
        <v>13</v>
      </c>
      <c r="J878">
        <v>2.5000000000000001E-3</v>
      </c>
      <c r="K878" s="14">
        <v>5808.3702667137322</v>
      </c>
      <c r="L878" s="14">
        <v>333914.14612083195</v>
      </c>
      <c r="M878" s="36">
        <f>IF(Output[[#This Row],[Index]]=1,Output[[#This Row],[Droit Utilisation]],P877)</f>
        <v>271072.16780963616</v>
      </c>
      <c r="N878" s="15">
        <f>Output[[#This Row],[Capital Debut Period]]*Output[[#This Row],[Tx_interet_M]]</f>
        <v>677.68041952409044</v>
      </c>
      <c r="O878" s="15">
        <f>Output[[#This Row],[Mensualité initial]]-Output[[#This Row],[Interet]]</f>
        <v>5322.3195804759098</v>
      </c>
      <c r="P878" s="15">
        <f>Output[[#This Row],[Capital Debut Period]]-Output[[#This Row],[Paiement Principal]]</f>
        <v>265749.84822916024</v>
      </c>
      <c r="Q878" s="15">
        <f>Output[[#This Row],[Droit Utilisation]]/Output[[#This Row],[Duree_Mois]]</f>
        <v>5565.2357686805326</v>
      </c>
    </row>
    <row r="879" spans="1:17" x14ac:dyDescent="0.25">
      <c r="A879" s="11" t="s">
        <v>15</v>
      </c>
      <c r="B879" s="12">
        <v>43952</v>
      </c>
      <c r="C879">
        <v>6000</v>
      </c>
      <c r="D879">
        <v>5</v>
      </c>
      <c r="E879">
        <v>0.03</v>
      </c>
      <c r="F879">
        <v>60</v>
      </c>
      <c r="G879" s="13">
        <v>44377</v>
      </c>
      <c r="H879">
        <v>878</v>
      </c>
      <c r="I879">
        <v>14</v>
      </c>
      <c r="J879">
        <v>2.5000000000000001E-3</v>
      </c>
      <c r="K879" s="14">
        <v>5793.8855528316535</v>
      </c>
      <c r="L879" s="14">
        <v>333914.14612083195</v>
      </c>
      <c r="M879" s="36">
        <f>IF(Output[[#This Row],[Index]]=1,Output[[#This Row],[Droit Utilisation]],P878)</f>
        <v>265749.84822916024</v>
      </c>
      <c r="N879" s="15">
        <f>Output[[#This Row],[Capital Debut Period]]*Output[[#This Row],[Tx_interet_M]]</f>
        <v>664.37462057290065</v>
      </c>
      <c r="O879" s="15">
        <f>Output[[#This Row],[Mensualité initial]]-Output[[#This Row],[Interet]]</f>
        <v>5335.6253794270997</v>
      </c>
      <c r="P879" s="15">
        <f>Output[[#This Row],[Capital Debut Period]]-Output[[#This Row],[Paiement Principal]]</f>
        <v>260414.22284973314</v>
      </c>
      <c r="Q879" s="15">
        <f>Output[[#This Row],[Droit Utilisation]]/Output[[#This Row],[Duree_Mois]]</f>
        <v>5565.2357686805326</v>
      </c>
    </row>
    <row r="880" spans="1:17" x14ac:dyDescent="0.25">
      <c r="A880" s="11" t="s">
        <v>15</v>
      </c>
      <c r="B880" s="12">
        <v>43952</v>
      </c>
      <c r="C880">
        <v>6000</v>
      </c>
      <c r="D880">
        <v>5</v>
      </c>
      <c r="E880">
        <v>0.03</v>
      </c>
      <c r="F880">
        <v>60</v>
      </c>
      <c r="G880" s="13">
        <v>44408</v>
      </c>
      <c r="H880">
        <v>879</v>
      </c>
      <c r="I880">
        <v>15</v>
      </c>
      <c r="J880">
        <v>2.5000000000000001E-3</v>
      </c>
      <c r="K880" s="14">
        <v>5779.4369604305775</v>
      </c>
      <c r="L880" s="14">
        <v>333914.14612083195</v>
      </c>
      <c r="M880" s="36">
        <f>IF(Output[[#This Row],[Index]]=1,Output[[#This Row],[Droit Utilisation]],P879)</f>
        <v>260414.22284973314</v>
      </c>
      <c r="N880" s="15">
        <f>Output[[#This Row],[Capital Debut Period]]*Output[[#This Row],[Tx_interet_M]]</f>
        <v>651.03555712433285</v>
      </c>
      <c r="O880" s="15">
        <f>Output[[#This Row],[Mensualité initial]]-Output[[#This Row],[Interet]]</f>
        <v>5348.9644428756674</v>
      </c>
      <c r="P880" s="15">
        <f>Output[[#This Row],[Capital Debut Period]]-Output[[#This Row],[Paiement Principal]]</f>
        <v>255065.25840685747</v>
      </c>
      <c r="Q880" s="15">
        <f>Output[[#This Row],[Droit Utilisation]]/Output[[#This Row],[Duree_Mois]]</f>
        <v>5565.2357686805326</v>
      </c>
    </row>
    <row r="881" spans="1:17" x14ac:dyDescent="0.25">
      <c r="A881" s="11" t="s">
        <v>15</v>
      </c>
      <c r="B881" s="12">
        <v>43952</v>
      </c>
      <c r="C881">
        <v>6000</v>
      </c>
      <c r="D881">
        <v>5</v>
      </c>
      <c r="E881">
        <v>0.03</v>
      </c>
      <c r="F881">
        <v>60</v>
      </c>
      <c r="G881" s="13">
        <v>44439</v>
      </c>
      <c r="H881">
        <v>880</v>
      </c>
      <c r="I881">
        <v>16</v>
      </c>
      <c r="J881">
        <v>2.5000000000000001E-3</v>
      </c>
      <c r="K881" s="14">
        <v>5765.0243994319981</v>
      </c>
      <c r="L881" s="14">
        <v>333914.14612083195</v>
      </c>
      <c r="M881" s="36">
        <f>IF(Output[[#This Row],[Index]]=1,Output[[#This Row],[Droit Utilisation]],P880)</f>
        <v>255065.25840685747</v>
      </c>
      <c r="N881" s="15">
        <f>Output[[#This Row],[Capital Debut Period]]*Output[[#This Row],[Tx_interet_M]]</f>
        <v>637.66314601714373</v>
      </c>
      <c r="O881" s="15">
        <f>Output[[#This Row],[Mensualité initial]]-Output[[#This Row],[Interet]]</f>
        <v>5362.3368539828562</v>
      </c>
      <c r="P881" s="15">
        <f>Output[[#This Row],[Capital Debut Period]]-Output[[#This Row],[Paiement Principal]]</f>
        <v>249702.92155287461</v>
      </c>
      <c r="Q881" s="15">
        <f>Output[[#This Row],[Droit Utilisation]]/Output[[#This Row],[Duree_Mois]]</f>
        <v>5565.2357686805326</v>
      </c>
    </row>
    <row r="882" spans="1:17" x14ac:dyDescent="0.25">
      <c r="A882" s="11" t="s">
        <v>15</v>
      </c>
      <c r="B882" s="12">
        <v>43952</v>
      </c>
      <c r="C882">
        <v>6000</v>
      </c>
      <c r="D882">
        <v>5</v>
      </c>
      <c r="E882">
        <v>0.03</v>
      </c>
      <c r="F882">
        <v>60</v>
      </c>
      <c r="G882" s="13">
        <v>44469</v>
      </c>
      <c r="H882">
        <v>881</v>
      </c>
      <c r="I882">
        <v>17</v>
      </c>
      <c r="J882">
        <v>2.5000000000000001E-3</v>
      </c>
      <c r="K882" s="14">
        <v>5750.6477799820432</v>
      </c>
      <c r="L882" s="14">
        <v>333914.14612083195</v>
      </c>
      <c r="M882" s="36">
        <f>IF(Output[[#This Row],[Index]]=1,Output[[#This Row],[Droit Utilisation]],P881)</f>
        <v>249702.92155287461</v>
      </c>
      <c r="N882" s="15">
        <f>Output[[#This Row],[Capital Debut Period]]*Output[[#This Row],[Tx_interet_M]]</f>
        <v>624.25730388218653</v>
      </c>
      <c r="O882" s="15">
        <f>Output[[#This Row],[Mensualité initial]]-Output[[#This Row],[Interet]]</f>
        <v>5375.7426961178135</v>
      </c>
      <c r="P882" s="15">
        <f>Output[[#This Row],[Capital Debut Period]]-Output[[#This Row],[Paiement Principal]]</f>
        <v>244327.1788567568</v>
      </c>
      <c r="Q882" s="15">
        <f>Output[[#This Row],[Droit Utilisation]]/Output[[#This Row],[Duree_Mois]]</f>
        <v>5565.2357686805326</v>
      </c>
    </row>
    <row r="883" spans="1:17" x14ac:dyDescent="0.25">
      <c r="A883" s="11" t="s">
        <v>15</v>
      </c>
      <c r="B883" s="12">
        <v>43952</v>
      </c>
      <c r="C883">
        <v>6000</v>
      </c>
      <c r="D883">
        <v>5</v>
      </c>
      <c r="E883">
        <v>0.03</v>
      </c>
      <c r="F883">
        <v>60</v>
      </c>
      <c r="G883" s="13">
        <v>44500</v>
      </c>
      <c r="H883">
        <v>882</v>
      </c>
      <c r="I883">
        <v>18</v>
      </c>
      <c r="J883">
        <v>2.5000000000000001E-3</v>
      </c>
      <c r="K883" s="14">
        <v>5736.3070124509168</v>
      </c>
      <c r="L883" s="14">
        <v>333914.14612083195</v>
      </c>
      <c r="M883" s="36">
        <f>IF(Output[[#This Row],[Index]]=1,Output[[#This Row],[Droit Utilisation]],P882)</f>
        <v>244327.1788567568</v>
      </c>
      <c r="N883" s="15">
        <f>Output[[#This Row],[Capital Debut Period]]*Output[[#This Row],[Tx_interet_M]]</f>
        <v>610.81794714189198</v>
      </c>
      <c r="O883" s="15">
        <f>Output[[#This Row],[Mensualité initial]]-Output[[#This Row],[Interet]]</f>
        <v>5389.1820528581084</v>
      </c>
      <c r="P883" s="15">
        <f>Output[[#This Row],[Capital Debut Period]]-Output[[#This Row],[Paiement Principal]]</f>
        <v>238937.99680389868</v>
      </c>
      <c r="Q883" s="15">
        <f>Output[[#This Row],[Droit Utilisation]]/Output[[#This Row],[Duree_Mois]]</f>
        <v>5565.2357686805326</v>
      </c>
    </row>
    <row r="884" spans="1:17" x14ac:dyDescent="0.25">
      <c r="A884" s="11" t="s">
        <v>15</v>
      </c>
      <c r="B884" s="12">
        <v>43952</v>
      </c>
      <c r="C884">
        <v>6000</v>
      </c>
      <c r="D884">
        <v>5</v>
      </c>
      <c r="E884">
        <v>0.03</v>
      </c>
      <c r="F884">
        <v>60</v>
      </c>
      <c r="G884" s="13">
        <v>44530</v>
      </c>
      <c r="H884">
        <v>883</v>
      </c>
      <c r="I884">
        <v>19</v>
      </c>
      <c r="J884">
        <v>2.5000000000000001E-3</v>
      </c>
      <c r="K884" s="14">
        <v>5722.0020074323356</v>
      </c>
      <c r="L884" s="14">
        <v>333914.14612083195</v>
      </c>
      <c r="M884" s="36">
        <f>IF(Output[[#This Row],[Index]]=1,Output[[#This Row],[Droit Utilisation]],P883)</f>
        <v>238937.99680389868</v>
      </c>
      <c r="N884" s="15">
        <f>Output[[#This Row],[Capital Debut Period]]*Output[[#This Row],[Tx_interet_M]]</f>
        <v>597.34499200974676</v>
      </c>
      <c r="O884" s="15">
        <f>Output[[#This Row],[Mensualité initial]]-Output[[#This Row],[Interet]]</f>
        <v>5402.6550079902536</v>
      </c>
      <c r="P884" s="15">
        <f>Output[[#This Row],[Capital Debut Period]]-Output[[#This Row],[Paiement Principal]]</f>
        <v>233535.34179590843</v>
      </c>
      <c r="Q884" s="15">
        <f>Output[[#This Row],[Droit Utilisation]]/Output[[#This Row],[Duree_Mois]]</f>
        <v>5565.2357686805326</v>
      </c>
    </row>
    <row r="885" spans="1:17" x14ac:dyDescent="0.25">
      <c r="A885" s="11" t="s">
        <v>15</v>
      </c>
      <c r="B885" s="12">
        <v>43952</v>
      </c>
      <c r="C885">
        <v>6000</v>
      </c>
      <c r="D885">
        <v>5</v>
      </c>
      <c r="E885">
        <v>0.03</v>
      </c>
      <c r="F885">
        <v>60</v>
      </c>
      <c r="G885" s="13">
        <v>44561</v>
      </c>
      <c r="H885">
        <v>884</v>
      </c>
      <c r="I885">
        <v>20</v>
      </c>
      <c r="J885">
        <v>2.5000000000000001E-3</v>
      </c>
      <c r="K885" s="14">
        <v>5707.7326757429792</v>
      </c>
      <c r="L885" s="14">
        <v>333914.14612083195</v>
      </c>
      <c r="M885" s="36">
        <f>IF(Output[[#This Row],[Index]]=1,Output[[#This Row],[Droit Utilisation]],P884)</f>
        <v>233535.34179590843</v>
      </c>
      <c r="N885" s="15">
        <f>Output[[#This Row],[Capital Debut Period]]*Output[[#This Row],[Tx_interet_M]]</f>
        <v>583.83835448977106</v>
      </c>
      <c r="O885" s="15">
        <f>Output[[#This Row],[Mensualité initial]]-Output[[#This Row],[Interet]]</f>
        <v>5416.1616455102285</v>
      </c>
      <c r="P885" s="15">
        <f>Output[[#This Row],[Capital Debut Period]]-Output[[#This Row],[Paiement Principal]]</f>
        <v>228119.1801503982</v>
      </c>
      <c r="Q885" s="15">
        <f>Output[[#This Row],[Droit Utilisation]]/Output[[#This Row],[Duree_Mois]]</f>
        <v>5565.2357686805326</v>
      </c>
    </row>
    <row r="886" spans="1:17" x14ac:dyDescent="0.25">
      <c r="A886" s="11" t="s">
        <v>15</v>
      </c>
      <c r="B886" s="12">
        <v>43952</v>
      </c>
      <c r="C886">
        <v>6000</v>
      </c>
      <c r="D886">
        <v>5</v>
      </c>
      <c r="E886">
        <v>0.03</v>
      </c>
      <c r="F886">
        <v>60</v>
      </c>
      <c r="G886" s="13">
        <v>44592</v>
      </c>
      <c r="H886">
        <v>885</v>
      </c>
      <c r="I886">
        <v>21</v>
      </c>
      <c r="J886">
        <v>2.5000000000000001E-3</v>
      </c>
      <c r="K886" s="14">
        <v>5693.4989284219246</v>
      </c>
      <c r="L886" s="14">
        <v>333914.14612083195</v>
      </c>
      <c r="M886" s="36">
        <f>IF(Output[[#This Row],[Index]]=1,Output[[#This Row],[Droit Utilisation]],P885)</f>
        <v>228119.1801503982</v>
      </c>
      <c r="N886" s="15">
        <f>Output[[#This Row],[Capital Debut Period]]*Output[[#This Row],[Tx_interet_M]]</f>
        <v>570.29795037599547</v>
      </c>
      <c r="O886" s="15">
        <f>Output[[#This Row],[Mensualité initial]]-Output[[#This Row],[Interet]]</f>
        <v>5429.7020496240048</v>
      </c>
      <c r="P886" s="15">
        <f>Output[[#This Row],[Capital Debut Period]]-Output[[#This Row],[Paiement Principal]]</f>
        <v>222689.4781007742</v>
      </c>
      <c r="Q886" s="15">
        <f>Output[[#This Row],[Droit Utilisation]]/Output[[#This Row],[Duree_Mois]]</f>
        <v>5565.2357686805326</v>
      </c>
    </row>
    <row r="887" spans="1:17" x14ac:dyDescent="0.25">
      <c r="A887" s="11" t="s">
        <v>15</v>
      </c>
      <c r="B887" s="12">
        <v>43952</v>
      </c>
      <c r="C887">
        <v>6000</v>
      </c>
      <c r="D887">
        <v>5</v>
      </c>
      <c r="E887">
        <v>0.03</v>
      </c>
      <c r="F887">
        <v>60</v>
      </c>
      <c r="G887" s="13">
        <v>44620</v>
      </c>
      <c r="H887">
        <v>886</v>
      </c>
      <c r="I887">
        <v>22</v>
      </c>
      <c r="J887">
        <v>2.5000000000000001E-3</v>
      </c>
      <c r="K887" s="14">
        <v>5679.3006767300994</v>
      </c>
      <c r="L887" s="14">
        <v>333914.14612083195</v>
      </c>
      <c r="M887" s="36">
        <f>IF(Output[[#This Row],[Index]]=1,Output[[#This Row],[Droit Utilisation]],P886)</f>
        <v>222689.4781007742</v>
      </c>
      <c r="N887" s="15">
        <f>Output[[#This Row],[Capital Debut Period]]*Output[[#This Row],[Tx_interet_M]]</f>
        <v>556.72369525193551</v>
      </c>
      <c r="O887" s="15">
        <f>Output[[#This Row],[Mensualité initial]]-Output[[#This Row],[Interet]]</f>
        <v>5443.2763047480648</v>
      </c>
      <c r="P887" s="15">
        <f>Output[[#This Row],[Capital Debut Period]]-Output[[#This Row],[Paiement Principal]]</f>
        <v>217246.20179602614</v>
      </c>
      <c r="Q887" s="15">
        <f>Output[[#This Row],[Droit Utilisation]]/Output[[#This Row],[Duree_Mois]]</f>
        <v>5565.2357686805326</v>
      </c>
    </row>
    <row r="888" spans="1:17" x14ac:dyDescent="0.25">
      <c r="A888" s="11" t="s">
        <v>15</v>
      </c>
      <c r="B888" s="12">
        <v>43952</v>
      </c>
      <c r="C888">
        <v>6000</v>
      </c>
      <c r="D888">
        <v>5</v>
      </c>
      <c r="E888">
        <v>0.03</v>
      </c>
      <c r="F888">
        <v>60</v>
      </c>
      <c r="G888" s="13">
        <v>44651</v>
      </c>
      <c r="H888">
        <v>887</v>
      </c>
      <c r="I888">
        <v>23</v>
      </c>
      <c r="J888">
        <v>2.5000000000000001E-3</v>
      </c>
      <c r="K888" s="14">
        <v>5665.137832149725</v>
      </c>
      <c r="L888" s="14">
        <v>333914.14612083195</v>
      </c>
      <c r="M888" s="36">
        <f>IF(Output[[#This Row],[Index]]=1,Output[[#This Row],[Droit Utilisation]],P887)</f>
        <v>217246.20179602614</v>
      </c>
      <c r="N888" s="15">
        <f>Output[[#This Row],[Capital Debut Period]]*Output[[#This Row],[Tx_interet_M]]</f>
        <v>543.1155044900654</v>
      </c>
      <c r="O888" s="15">
        <f>Output[[#This Row],[Mensualité initial]]-Output[[#This Row],[Interet]]</f>
        <v>5456.8844955099348</v>
      </c>
      <c r="P888" s="15">
        <f>Output[[#This Row],[Capital Debut Period]]-Output[[#This Row],[Paiement Principal]]</f>
        <v>211789.31730051621</v>
      </c>
      <c r="Q888" s="15">
        <f>Output[[#This Row],[Droit Utilisation]]/Output[[#This Row],[Duree_Mois]]</f>
        <v>5565.2357686805326</v>
      </c>
    </row>
    <row r="889" spans="1:17" x14ac:dyDescent="0.25">
      <c r="A889" s="11" t="s">
        <v>15</v>
      </c>
      <c r="B889" s="12">
        <v>43952</v>
      </c>
      <c r="C889">
        <v>6000</v>
      </c>
      <c r="D889">
        <v>5</v>
      </c>
      <c r="E889">
        <v>0.03</v>
      </c>
      <c r="F889">
        <v>60</v>
      </c>
      <c r="G889" s="13">
        <v>44681</v>
      </c>
      <c r="H889">
        <v>888</v>
      </c>
      <c r="I889">
        <v>24</v>
      </c>
      <c r="J889">
        <v>2.5000000000000001E-3</v>
      </c>
      <c r="K889" s="14">
        <v>5651.010306383766</v>
      </c>
      <c r="L889" s="14">
        <v>333914.14612083195</v>
      </c>
      <c r="M889" s="36">
        <f>IF(Output[[#This Row],[Index]]=1,Output[[#This Row],[Droit Utilisation]],P888)</f>
        <v>211789.31730051621</v>
      </c>
      <c r="N889" s="15">
        <f>Output[[#This Row],[Capital Debut Period]]*Output[[#This Row],[Tx_interet_M]]</f>
        <v>529.47329325129056</v>
      </c>
      <c r="O889" s="15">
        <f>Output[[#This Row],[Mensualité initial]]-Output[[#This Row],[Interet]]</f>
        <v>5470.5267067487093</v>
      </c>
      <c r="P889" s="15">
        <f>Output[[#This Row],[Capital Debut Period]]-Output[[#This Row],[Paiement Principal]]</f>
        <v>206318.79059376751</v>
      </c>
      <c r="Q889" s="15">
        <f>Output[[#This Row],[Droit Utilisation]]/Output[[#This Row],[Duree_Mois]]</f>
        <v>5565.2357686805326</v>
      </c>
    </row>
    <row r="890" spans="1:17" x14ac:dyDescent="0.25">
      <c r="A890" s="11" t="s">
        <v>15</v>
      </c>
      <c r="B890" s="12">
        <v>43952</v>
      </c>
      <c r="C890">
        <v>6000</v>
      </c>
      <c r="D890">
        <v>5</v>
      </c>
      <c r="E890">
        <v>0.03</v>
      </c>
      <c r="F890">
        <v>60</v>
      </c>
      <c r="G890" s="13">
        <v>44712</v>
      </c>
      <c r="H890">
        <v>889</v>
      </c>
      <c r="I890">
        <v>25</v>
      </c>
      <c r="J890">
        <v>2.5000000000000001E-3</v>
      </c>
      <c r="K890" s="14">
        <v>5636.9180113553775</v>
      </c>
      <c r="L890" s="14">
        <v>333914.14612083195</v>
      </c>
      <c r="M890" s="36">
        <f>IF(Output[[#This Row],[Index]]=1,Output[[#This Row],[Droit Utilisation]],P889)</f>
        <v>206318.79059376751</v>
      </c>
      <c r="N890" s="15">
        <f>Output[[#This Row],[Capital Debut Period]]*Output[[#This Row],[Tx_interet_M]]</f>
        <v>515.79697648441879</v>
      </c>
      <c r="O890" s="15">
        <f>Output[[#This Row],[Mensualité initial]]-Output[[#This Row],[Interet]]</f>
        <v>5484.2030235155817</v>
      </c>
      <c r="P890" s="15">
        <f>Output[[#This Row],[Capital Debut Period]]-Output[[#This Row],[Paiement Principal]]</f>
        <v>200834.58757025193</v>
      </c>
      <c r="Q890" s="15">
        <f>Output[[#This Row],[Droit Utilisation]]/Output[[#This Row],[Duree_Mois]]</f>
        <v>5565.2357686805326</v>
      </c>
    </row>
    <row r="891" spans="1:17" x14ac:dyDescent="0.25">
      <c r="A891" s="11" t="s">
        <v>15</v>
      </c>
      <c r="B891" s="12">
        <v>43952</v>
      </c>
      <c r="C891">
        <v>6000</v>
      </c>
      <c r="D891">
        <v>5</v>
      </c>
      <c r="E891">
        <v>0.03</v>
      </c>
      <c r="F891">
        <v>60</v>
      </c>
      <c r="G891" s="13">
        <v>44742</v>
      </c>
      <c r="H891">
        <v>890</v>
      </c>
      <c r="I891">
        <v>26</v>
      </c>
      <c r="J891">
        <v>2.5000000000000001E-3</v>
      </c>
      <c r="K891" s="14">
        <v>5622.8608592073597</v>
      </c>
      <c r="L891" s="14">
        <v>333914.14612083195</v>
      </c>
      <c r="M891" s="36">
        <f>IF(Output[[#This Row],[Index]]=1,Output[[#This Row],[Droit Utilisation]],P890)</f>
        <v>200834.58757025193</v>
      </c>
      <c r="N891" s="15">
        <f>Output[[#This Row],[Capital Debut Period]]*Output[[#This Row],[Tx_interet_M]]</f>
        <v>502.08646892562984</v>
      </c>
      <c r="O891" s="15">
        <f>Output[[#This Row],[Mensualité initial]]-Output[[#This Row],[Interet]]</f>
        <v>5497.9135310743704</v>
      </c>
      <c r="P891" s="15">
        <f>Output[[#This Row],[Capital Debut Period]]-Output[[#This Row],[Paiement Principal]]</f>
        <v>195336.67403917757</v>
      </c>
      <c r="Q891" s="15">
        <f>Output[[#This Row],[Droit Utilisation]]/Output[[#This Row],[Duree_Mois]]</f>
        <v>5565.2357686805326</v>
      </c>
    </row>
    <row r="892" spans="1:17" x14ac:dyDescent="0.25">
      <c r="A892" s="11" t="s">
        <v>15</v>
      </c>
      <c r="B892" s="12">
        <v>43952</v>
      </c>
      <c r="C892">
        <v>6000</v>
      </c>
      <c r="D892">
        <v>5</v>
      </c>
      <c r="E892">
        <v>0.03</v>
      </c>
      <c r="F892">
        <v>60</v>
      </c>
      <c r="G892" s="13">
        <v>44773</v>
      </c>
      <c r="H892">
        <v>891</v>
      </c>
      <c r="I892">
        <v>27</v>
      </c>
      <c r="J892">
        <v>2.5000000000000001E-3</v>
      </c>
      <c r="K892" s="14">
        <v>5608.838762301606</v>
      </c>
      <c r="L892" s="14">
        <v>333914.14612083195</v>
      </c>
      <c r="M892" s="36">
        <f>IF(Output[[#This Row],[Index]]=1,Output[[#This Row],[Droit Utilisation]],P891)</f>
        <v>195336.67403917757</v>
      </c>
      <c r="N892" s="15">
        <f>Output[[#This Row],[Capital Debut Period]]*Output[[#This Row],[Tx_interet_M]]</f>
        <v>488.34168509794392</v>
      </c>
      <c r="O892" s="15">
        <f>Output[[#This Row],[Mensualité initial]]-Output[[#This Row],[Interet]]</f>
        <v>5511.6583149020562</v>
      </c>
      <c r="P892" s="15">
        <f>Output[[#This Row],[Capital Debut Period]]-Output[[#This Row],[Paiement Principal]]</f>
        <v>189825.01572427552</v>
      </c>
      <c r="Q892" s="15">
        <f>Output[[#This Row],[Droit Utilisation]]/Output[[#This Row],[Duree_Mois]]</f>
        <v>5565.2357686805326</v>
      </c>
    </row>
    <row r="893" spans="1:17" x14ac:dyDescent="0.25">
      <c r="A893" s="11" t="s">
        <v>15</v>
      </c>
      <c r="B893" s="12">
        <v>43952</v>
      </c>
      <c r="C893">
        <v>6000</v>
      </c>
      <c r="D893">
        <v>5</v>
      </c>
      <c r="E893">
        <v>0.03</v>
      </c>
      <c r="F893">
        <v>60</v>
      </c>
      <c r="G893" s="13">
        <v>44804</v>
      </c>
      <c r="H893">
        <v>892</v>
      </c>
      <c r="I893">
        <v>28</v>
      </c>
      <c r="J893">
        <v>2.5000000000000001E-3</v>
      </c>
      <c r="K893" s="14">
        <v>5594.85163321856</v>
      </c>
      <c r="L893" s="14">
        <v>333914.14612083195</v>
      </c>
      <c r="M893" s="36">
        <f>IF(Output[[#This Row],[Index]]=1,Output[[#This Row],[Droit Utilisation]],P892)</f>
        <v>189825.01572427552</v>
      </c>
      <c r="N893" s="15">
        <f>Output[[#This Row],[Capital Debut Period]]*Output[[#This Row],[Tx_interet_M]]</f>
        <v>474.56253931068881</v>
      </c>
      <c r="O893" s="15">
        <f>Output[[#This Row],[Mensualité initial]]-Output[[#This Row],[Interet]]</f>
        <v>5525.4374606893116</v>
      </c>
      <c r="P893" s="15">
        <f>Output[[#This Row],[Capital Debut Period]]-Output[[#This Row],[Paiement Principal]]</f>
        <v>184299.57826358621</v>
      </c>
      <c r="Q893" s="15">
        <f>Output[[#This Row],[Droit Utilisation]]/Output[[#This Row],[Duree_Mois]]</f>
        <v>5565.2357686805326</v>
      </c>
    </row>
    <row r="894" spans="1:17" x14ac:dyDescent="0.25">
      <c r="A894" s="11" t="s">
        <v>15</v>
      </c>
      <c r="B894" s="12">
        <v>43952</v>
      </c>
      <c r="C894">
        <v>6000</v>
      </c>
      <c r="D894">
        <v>5</v>
      </c>
      <c r="E894">
        <v>0.03</v>
      </c>
      <c r="F894">
        <v>60</v>
      </c>
      <c r="G894" s="13">
        <v>44834</v>
      </c>
      <c r="H894">
        <v>893</v>
      </c>
      <c r="I894">
        <v>29</v>
      </c>
      <c r="J894">
        <v>2.5000000000000001E-3</v>
      </c>
      <c r="K894" s="14">
        <v>5580.899384756669</v>
      </c>
      <c r="L894" s="14">
        <v>333914.14612083195</v>
      </c>
      <c r="M894" s="36">
        <f>IF(Output[[#This Row],[Index]]=1,Output[[#This Row],[Droit Utilisation]],P893)</f>
        <v>184299.57826358621</v>
      </c>
      <c r="N894" s="15">
        <f>Output[[#This Row],[Capital Debut Period]]*Output[[#This Row],[Tx_interet_M]]</f>
        <v>460.74894565896557</v>
      </c>
      <c r="O894" s="15">
        <f>Output[[#This Row],[Mensualité initial]]-Output[[#This Row],[Interet]]</f>
        <v>5539.2510543410344</v>
      </c>
      <c r="P894" s="15">
        <f>Output[[#This Row],[Capital Debut Period]]-Output[[#This Row],[Paiement Principal]]</f>
        <v>178760.32720924518</v>
      </c>
      <c r="Q894" s="15">
        <f>Output[[#This Row],[Droit Utilisation]]/Output[[#This Row],[Duree_Mois]]</f>
        <v>5565.2357686805326</v>
      </c>
    </row>
    <row r="895" spans="1:17" x14ac:dyDescent="0.25">
      <c r="A895" s="11" t="s">
        <v>15</v>
      </c>
      <c r="B895" s="12">
        <v>43952</v>
      </c>
      <c r="C895">
        <v>6000</v>
      </c>
      <c r="D895">
        <v>5</v>
      </c>
      <c r="E895">
        <v>0.03</v>
      </c>
      <c r="F895">
        <v>60</v>
      </c>
      <c r="G895" s="13">
        <v>44865</v>
      </c>
      <c r="H895">
        <v>894</v>
      </c>
      <c r="I895">
        <v>30</v>
      </c>
      <c r="J895">
        <v>2.5000000000000001E-3</v>
      </c>
      <c r="K895" s="14">
        <v>5566.9819299318397</v>
      </c>
      <c r="L895" s="14">
        <v>333914.14612083195</v>
      </c>
      <c r="M895" s="36">
        <f>IF(Output[[#This Row],[Index]]=1,Output[[#This Row],[Droit Utilisation]],P894)</f>
        <v>178760.32720924518</v>
      </c>
      <c r="N895" s="15">
        <f>Output[[#This Row],[Capital Debut Period]]*Output[[#This Row],[Tx_interet_M]]</f>
        <v>446.90081802311295</v>
      </c>
      <c r="O895" s="15">
        <f>Output[[#This Row],[Mensualité initial]]-Output[[#This Row],[Interet]]</f>
        <v>5553.0991819768869</v>
      </c>
      <c r="P895" s="15">
        <f>Output[[#This Row],[Capital Debut Period]]-Output[[#This Row],[Paiement Principal]]</f>
        <v>173207.22802726828</v>
      </c>
      <c r="Q895" s="15">
        <f>Output[[#This Row],[Droit Utilisation]]/Output[[#This Row],[Duree_Mois]]</f>
        <v>5565.2357686805326</v>
      </c>
    </row>
    <row r="896" spans="1:17" x14ac:dyDescent="0.25">
      <c r="A896" s="11" t="s">
        <v>15</v>
      </c>
      <c r="B896" s="12">
        <v>43952</v>
      </c>
      <c r="C896">
        <v>6000</v>
      </c>
      <c r="D896">
        <v>5</v>
      </c>
      <c r="E896">
        <v>0.03</v>
      </c>
      <c r="F896">
        <v>60</v>
      </c>
      <c r="G896" s="13">
        <v>44895</v>
      </c>
      <c r="H896">
        <v>895</v>
      </c>
      <c r="I896">
        <v>31</v>
      </c>
      <c r="J896">
        <v>2.5000000000000001E-3</v>
      </c>
      <c r="K896" s="14">
        <v>5553.0991819768969</v>
      </c>
      <c r="L896" s="14">
        <v>333914.14612083195</v>
      </c>
      <c r="M896" s="36">
        <f>IF(Output[[#This Row],[Index]]=1,Output[[#This Row],[Droit Utilisation]],P895)</f>
        <v>173207.22802726828</v>
      </c>
      <c r="N896" s="15">
        <f>Output[[#This Row],[Capital Debut Period]]*Output[[#This Row],[Tx_interet_M]]</f>
        <v>433.01807006817074</v>
      </c>
      <c r="O896" s="15">
        <f>Output[[#This Row],[Mensualité initial]]-Output[[#This Row],[Interet]]</f>
        <v>5566.9819299318297</v>
      </c>
      <c r="P896" s="15">
        <f>Output[[#This Row],[Capital Debut Period]]-Output[[#This Row],[Paiement Principal]]</f>
        <v>167640.24609733647</v>
      </c>
      <c r="Q896" s="15">
        <f>Output[[#This Row],[Droit Utilisation]]/Output[[#This Row],[Duree_Mois]]</f>
        <v>5565.2357686805326</v>
      </c>
    </row>
    <row r="897" spans="1:17" x14ac:dyDescent="0.25">
      <c r="A897" s="11" t="s">
        <v>15</v>
      </c>
      <c r="B897" s="12">
        <v>43952</v>
      </c>
      <c r="C897">
        <v>6000</v>
      </c>
      <c r="D897">
        <v>5</v>
      </c>
      <c r="E897">
        <v>0.03</v>
      </c>
      <c r="F897">
        <v>60</v>
      </c>
      <c r="G897" s="13">
        <v>44926</v>
      </c>
      <c r="H897">
        <v>896</v>
      </c>
      <c r="I897">
        <v>32</v>
      </c>
      <c r="J897">
        <v>2.5000000000000001E-3</v>
      </c>
      <c r="K897" s="14">
        <v>5539.2510543410453</v>
      </c>
      <c r="L897" s="14">
        <v>333914.14612083195</v>
      </c>
      <c r="M897" s="36">
        <f>IF(Output[[#This Row],[Index]]=1,Output[[#This Row],[Droit Utilisation]],P896)</f>
        <v>167640.24609733647</v>
      </c>
      <c r="N897" s="15">
        <f>Output[[#This Row],[Capital Debut Period]]*Output[[#This Row],[Tx_interet_M]]</f>
        <v>419.10061524334117</v>
      </c>
      <c r="O897" s="15">
        <f>Output[[#This Row],[Mensualité initial]]-Output[[#This Row],[Interet]]</f>
        <v>5580.8993847566589</v>
      </c>
      <c r="P897" s="15">
        <f>Output[[#This Row],[Capital Debut Period]]-Output[[#This Row],[Paiement Principal]]</f>
        <v>162059.34671257981</v>
      </c>
      <c r="Q897" s="15">
        <f>Output[[#This Row],[Droit Utilisation]]/Output[[#This Row],[Duree_Mois]]</f>
        <v>5565.2357686805326</v>
      </c>
    </row>
    <row r="898" spans="1:17" x14ac:dyDescent="0.25">
      <c r="A898" s="11" t="s">
        <v>15</v>
      </c>
      <c r="B898" s="12">
        <v>43952</v>
      </c>
      <c r="C898">
        <v>6000</v>
      </c>
      <c r="D898">
        <v>5</v>
      </c>
      <c r="E898">
        <v>0.03</v>
      </c>
      <c r="F898">
        <v>60</v>
      </c>
      <c r="G898" s="13">
        <v>44957</v>
      </c>
      <c r="H898">
        <v>897</v>
      </c>
      <c r="I898">
        <v>33</v>
      </c>
      <c r="J898">
        <v>2.5000000000000001E-3</v>
      </c>
      <c r="K898" s="14">
        <v>5525.4374606893225</v>
      </c>
      <c r="L898" s="14">
        <v>333914.14612083195</v>
      </c>
      <c r="M898" s="36">
        <f>IF(Output[[#This Row],[Index]]=1,Output[[#This Row],[Droit Utilisation]],P897)</f>
        <v>162059.34671257981</v>
      </c>
      <c r="N898" s="15">
        <f>Output[[#This Row],[Capital Debut Period]]*Output[[#This Row],[Tx_interet_M]]</f>
        <v>405.14836678144951</v>
      </c>
      <c r="O898" s="15">
        <f>Output[[#This Row],[Mensualité initial]]-Output[[#This Row],[Interet]]</f>
        <v>5594.8516332185509</v>
      </c>
      <c r="P898" s="15">
        <f>Output[[#This Row],[Capital Debut Period]]-Output[[#This Row],[Paiement Principal]]</f>
        <v>156464.49507936125</v>
      </c>
      <c r="Q898" s="15">
        <f>Output[[#This Row],[Droit Utilisation]]/Output[[#This Row],[Duree_Mois]]</f>
        <v>5565.2357686805326</v>
      </c>
    </row>
    <row r="899" spans="1:17" x14ac:dyDescent="0.25">
      <c r="A899" s="11" t="s">
        <v>15</v>
      </c>
      <c r="B899" s="12">
        <v>43952</v>
      </c>
      <c r="C899">
        <v>6000</v>
      </c>
      <c r="D899">
        <v>5</v>
      </c>
      <c r="E899">
        <v>0.03</v>
      </c>
      <c r="F899">
        <v>60</v>
      </c>
      <c r="G899" s="13">
        <v>44985</v>
      </c>
      <c r="H899">
        <v>898</v>
      </c>
      <c r="I899">
        <v>34</v>
      </c>
      <c r="J899">
        <v>2.5000000000000001E-3</v>
      </c>
      <c r="K899" s="14">
        <v>5511.6583149020671</v>
      </c>
      <c r="L899" s="14">
        <v>333914.14612083195</v>
      </c>
      <c r="M899" s="36">
        <f>IF(Output[[#This Row],[Index]]=1,Output[[#This Row],[Droit Utilisation]],P898)</f>
        <v>156464.49507936125</v>
      </c>
      <c r="N899" s="15">
        <f>Output[[#This Row],[Capital Debut Period]]*Output[[#This Row],[Tx_interet_M]]</f>
        <v>391.16123769840311</v>
      </c>
      <c r="O899" s="15">
        <f>Output[[#This Row],[Mensualité initial]]-Output[[#This Row],[Interet]]</f>
        <v>5608.8387623015969</v>
      </c>
      <c r="P899" s="15">
        <f>Output[[#This Row],[Capital Debut Period]]-Output[[#This Row],[Paiement Principal]]</f>
        <v>150855.65631705965</v>
      </c>
      <c r="Q899" s="15">
        <f>Output[[#This Row],[Droit Utilisation]]/Output[[#This Row],[Duree_Mois]]</f>
        <v>5565.2357686805326</v>
      </c>
    </row>
    <row r="900" spans="1:17" x14ac:dyDescent="0.25">
      <c r="A900" s="11" t="s">
        <v>15</v>
      </c>
      <c r="B900" s="12">
        <v>43952</v>
      </c>
      <c r="C900">
        <v>6000</v>
      </c>
      <c r="D900">
        <v>5</v>
      </c>
      <c r="E900">
        <v>0.03</v>
      </c>
      <c r="F900">
        <v>60</v>
      </c>
      <c r="G900" s="13">
        <v>45016</v>
      </c>
      <c r="H900">
        <v>899</v>
      </c>
      <c r="I900">
        <v>35</v>
      </c>
      <c r="J900">
        <v>2.5000000000000001E-3</v>
      </c>
      <c r="K900" s="14">
        <v>5497.9135310743814</v>
      </c>
      <c r="L900" s="14">
        <v>333914.14612083195</v>
      </c>
      <c r="M900" s="36">
        <f>IF(Output[[#This Row],[Index]]=1,Output[[#This Row],[Droit Utilisation]],P899)</f>
        <v>150855.65631705965</v>
      </c>
      <c r="N900" s="15">
        <f>Output[[#This Row],[Capital Debut Period]]*Output[[#This Row],[Tx_interet_M]]</f>
        <v>377.13914079264913</v>
      </c>
      <c r="O900" s="15">
        <f>Output[[#This Row],[Mensualité initial]]-Output[[#This Row],[Interet]]</f>
        <v>5622.8608592073506</v>
      </c>
      <c r="P900" s="15">
        <f>Output[[#This Row],[Capital Debut Period]]-Output[[#This Row],[Paiement Principal]]</f>
        <v>145232.79545785231</v>
      </c>
      <c r="Q900" s="15">
        <f>Output[[#This Row],[Droit Utilisation]]/Output[[#This Row],[Duree_Mois]]</f>
        <v>5565.2357686805326</v>
      </c>
    </row>
    <row r="901" spans="1:17" x14ac:dyDescent="0.25">
      <c r="A901" s="11" t="s">
        <v>15</v>
      </c>
      <c r="B901" s="12">
        <v>43952</v>
      </c>
      <c r="C901">
        <v>6000</v>
      </c>
      <c r="D901">
        <v>5</v>
      </c>
      <c r="E901">
        <v>0.03</v>
      </c>
      <c r="F901">
        <v>60</v>
      </c>
      <c r="G901" s="13">
        <v>45046</v>
      </c>
      <c r="H901">
        <v>900</v>
      </c>
      <c r="I901">
        <v>36</v>
      </c>
      <c r="J901">
        <v>2.5000000000000001E-3</v>
      </c>
      <c r="K901" s="14">
        <v>5484.2030235155926</v>
      </c>
      <c r="L901" s="14">
        <v>333914.14612083195</v>
      </c>
      <c r="M901" s="36">
        <f>IF(Output[[#This Row],[Index]]=1,Output[[#This Row],[Droit Utilisation]],P900)</f>
        <v>145232.79545785231</v>
      </c>
      <c r="N901" s="15">
        <f>Output[[#This Row],[Capital Debut Period]]*Output[[#This Row],[Tx_interet_M]]</f>
        <v>363.08198864463077</v>
      </c>
      <c r="O901" s="15">
        <f>Output[[#This Row],[Mensualité initial]]-Output[[#This Row],[Interet]]</f>
        <v>5636.9180113553693</v>
      </c>
      <c r="P901" s="15">
        <f>Output[[#This Row],[Capital Debut Period]]-Output[[#This Row],[Paiement Principal]]</f>
        <v>139595.87744649695</v>
      </c>
      <c r="Q901" s="15">
        <f>Output[[#This Row],[Droit Utilisation]]/Output[[#This Row],[Duree_Mois]]</f>
        <v>5565.2357686805326</v>
      </c>
    </row>
    <row r="902" spans="1:17" x14ac:dyDescent="0.25">
      <c r="A902" s="11" t="s">
        <v>15</v>
      </c>
      <c r="B902" s="12">
        <v>43952</v>
      </c>
      <c r="C902">
        <v>6000</v>
      </c>
      <c r="D902">
        <v>5</v>
      </c>
      <c r="E902">
        <v>0.03</v>
      </c>
      <c r="F902">
        <v>60</v>
      </c>
      <c r="G902" s="13">
        <v>45077</v>
      </c>
      <c r="H902">
        <v>901</v>
      </c>
      <c r="I902">
        <v>37</v>
      </c>
      <c r="J902">
        <v>2.5000000000000001E-3</v>
      </c>
      <c r="K902" s="14">
        <v>5470.5267067487212</v>
      </c>
      <c r="L902" s="14">
        <v>333914.14612083195</v>
      </c>
      <c r="M902" s="36">
        <f>IF(Output[[#This Row],[Index]]=1,Output[[#This Row],[Droit Utilisation]],P901)</f>
        <v>139595.87744649695</v>
      </c>
      <c r="N902" s="15">
        <f>Output[[#This Row],[Capital Debut Period]]*Output[[#This Row],[Tx_interet_M]]</f>
        <v>348.98969361624239</v>
      </c>
      <c r="O902" s="15">
        <f>Output[[#This Row],[Mensualité initial]]-Output[[#This Row],[Interet]]</f>
        <v>5651.0103063837578</v>
      </c>
      <c r="P902" s="15">
        <f>Output[[#This Row],[Capital Debut Period]]-Output[[#This Row],[Paiement Principal]]</f>
        <v>133944.8671401132</v>
      </c>
      <c r="Q902" s="15">
        <f>Output[[#This Row],[Droit Utilisation]]/Output[[#This Row],[Duree_Mois]]</f>
        <v>5565.2357686805326</v>
      </c>
    </row>
    <row r="903" spans="1:17" x14ac:dyDescent="0.25">
      <c r="A903" s="11" t="s">
        <v>15</v>
      </c>
      <c r="B903" s="12">
        <v>43952</v>
      </c>
      <c r="C903">
        <v>6000</v>
      </c>
      <c r="D903">
        <v>5</v>
      </c>
      <c r="E903">
        <v>0.03</v>
      </c>
      <c r="F903">
        <v>60</v>
      </c>
      <c r="G903" s="13">
        <v>45107</v>
      </c>
      <c r="H903">
        <v>902</v>
      </c>
      <c r="I903">
        <v>38</v>
      </c>
      <c r="J903">
        <v>2.5000000000000001E-3</v>
      </c>
      <c r="K903" s="14">
        <v>5456.8844955099466</v>
      </c>
      <c r="L903" s="14">
        <v>333914.14612083195</v>
      </c>
      <c r="M903" s="36">
        <f>IF(Output[[#This Row],[Index]]=1,Output[[#This Row],[Droit Utilisation]],P902)</f>
        <v>133944.8671401132</v>
      </c>
      <c r="N903" s="15">
        <f>Output[[#This Row],[Capital Debut Period]]*Output[[#This Row],[Tx_interet_M]]</f>
        <v>334.86216785028302</v>
      </c>
      <c r="O903" s="15">
        <f>Output[[#This Row],[Mensualité initial]]-Output[[#This Row],[Interet]]</f>
        <v>5665.1378321497168</v>
      </c>
      <c r="P903" s="15">
        <f>Output[[#This Row],[Capital Debut Period]]-Output[[#This Row],[Paiement Principal]]</f>
        <v>128279.72930796348</v>
      </c>
      <c r="Q903" s="15">
        <f>Output[[#This Row],[Droit Utilisation]]/Output[[#This Row],[Duree_Mois]]</f>
        <v>5565.2357686805326</v>
      </c>
    </row>
    <row r="904" spans="1:17" x14ac:dyDescent="0.25">
      <c r="A904" s="11" t="s">
        <v>15</v>
      </c>
      <c r="B904" s="12">
        <v>43952</v>
      </c>
      <c r="C904">
        <v>6000</v>
      </c>
      <c r="D904">
        <v>5</v>
      </c>
      <c r="E904">
        <v>0.03</v>
      </c>
      <c r="F904">
        <v>60</v>
      </c>
      <c r="G904" s="13">
        <v>45138</v>
      </c>
      <c r="H904">
        <v>903</v>
      </c>
      <c r="I904">
        <v>39</v>
      </c>
      <c r="J904">
        <v>2.5000000000000001E-3</v>
      </c>
      <c r="K904" s="14">
        <v>5443.2763047480767</v>
      </c>
      <c r="L904" s="14">
        <v>333914.14612083195</v>
      </c>
      <c r="M904" s="36">
        <f>IF(Output[[#This Row],[Index]]=1,Output[[#This Row],[Droit Utilisation]],P903)</f>
        <v>128279.72930796348</v>
      </c>
      <c r="N904" s="15">
        <f>Output[[#This Row],[Capital Debut Period]]*Output[[#This Row],[Tx_interet_M]]</f>
        <v>320.69932326990869</v>
      </c>
      <c r="O904" s="15">
        <f>Output[[#This Row],[Mensualité initial]]-Output[[#This Row],[Interet]]</f>
        <v>5679.3006767300913</v>
      </c>
      <c r="P904" s="15">
        <f>Output[[#This Row],[Capital Debut Period]]-Output[[#This Row],[Paiement Principal]]</f>
        <v>122600.42863123339</v>
      </c>
      <c r="Q904" s="15">
        <f>Output[[#This Row],[Droit Utilisation]]/Output[[#This Row],[Duree_Mois]]</f>
        <v>5565.2357686805326</v>
      </c>
    </row>
    <row r="905" spans="1:17" x14ac:dyDescent="0.25">
      <c r="A905" s="11" t="s">
        <v>15</v>
      </c>
      <c r="B905" s="12">
        <v>43952</v>
      </c>
      <c r="C905">
        <v>6000</v>
      </c>
      <c r="D905">
        <v>5</v>
      </c>
      <c r="E905">
        <v>0.03</v>
      </c>
      <c r="F905">
        <v>60</v>
      </c>
      <c r="G905" s="13">
        <v>45169</v>
      </c>
      <c r="H905">
        <v>904</v>
      </c>
      <c r="I905">
        <v>40</v>
      </c>
      <c r="J905">
        <v>2.5000000000000001E-3</v>
      </c>
      <c r="K905" s="14">
        <v>5429.7020496240175</v>
      </c>
      <c r="L905" s="14">
        <v>333914.14612083195</v>
      </c>
      <c r="M905" s="36">
        <f>IF(Output[[#This Row],[Index]]=1,Output[[#This Row],[Droit Utilisation]],P904)</f>
        <v>122600.42863123339</v>
      </c>
      <c r="N905" s="15">
        <f>Output[[#This Row],[Capital Debut Period]]*Output[[#This Row],[Tx_interet_M]]</f>
        <v>306.5010715780835</v>
      </c>
      <c r="O905" s="15">
        <f>Output[[#This Row],[Mensualité initial]]-Output[[#This Row],[Interet]]</f>
        <v>5693.4989284219164</v>
      </c>
      <c r="P905" s="15">
        <f>Output[[#This Row],[Capital Debut Period]]-Output[[#This Row],[Paiement Principal]]</f>
        <v>116906.92970281147</v>
      </c>
      <c r="Q905" s="15">
        <f>Output[[#This Row],[Droit Utilisation]]/Output[[#This Row],[Duree_Mois]]</f>
        <v>5565.2357686805326</v>
      </c>
    </row>
    <row r="906" spans="1:17" x14ac:dyDescent="0.25">
      <c r="A906" s="11" t="s">
        <v>15</v>
      </c>
      <c r="B906" s="12">
        <v>43952</v>
      </c>
      <c r="C906">
        <v>6000</v>
      </c>
      <c r="D906">
        <v>5</v>
      </c>
      <c r="E906">
        <v>0.03</v>
      </c>
      <c r="F906">
        <v>60</v>
      </c>
      <c r="G906" s="13">
        <v>45199</v>
      </c>
      <c r="H906">
        <v>905</v>
      </c>
      <c r="I906">
        <v>41</v>
      </c>
      <c r="J906">
        <v>2.5000000000000001E-3</v>
      </c>
      <c r="K906" s="14">
        <v>5416.1616455102412</v>
      </c>
      <c r="L906" s="14">
        <v>333914.14612083195</v>
      </c>
      <c r="M906" s="36">
        <f>IF(Output[[#This Row],[Index]]=1,Output[[#This Row],[Droit Utilisation]],P905)</f>
        <v>116906.92970281147</v>
      </c>
      <c r="N906" s="15">
        <f>Output[[#This Row],[Capital Debut Period]]*Output[[#This Row],[Tx_interet_M]]</f>
        <v>292.26732425702869</v>
      </c>
      <c r="O906" s="15">
        <f>Output[[#This Row],[Mensualité initial]]-Output[[#This Row],[Interet]]</f>
        <v>5707.732675742971</v>
      </c>
      <c r="P906" s="15">
        <f>Output[[#This Row],[Capital Debut Period]]-Output[[#This Row],[Paiement Principal]]</f>
        <v>111199.1970270685</v>
      </c>
      <c r="Q906" s="15">
        <f>Output[[#This Row],[Droit Utilisation]]/Output[[#This Row],[Duree_Mois]]</f>
        <v>5565.2357686805326</v>
      </c>
    </row>
    <row r="907" spans="1:17" x14ac:dyDescent="0.25">
      <c r="A907" s="11" t="s">
        <v>15</v>
      </c>
      <c r="B907" s="12">
        <v>43952</v>
      </c>
      <c r="C907">
        <v>6000</v>
      </c>
      <c r="D907">
        <v>5</v>
      </c>
      <c r="E907">
        <v>0.03</v>
      </c>
      <c r="F907">
        <v>60</v>
      </c>
      <c r="G907" s="13">
        <v>45230</v>
      </c>
      <c r="H907">
        <v>906</v>
      </c>
      <c r="I907">
        <v>42</v>
      </c>
      <c r="J907">
        <v>2.5000000000000001E-3</v>
      </c>
      <c r="K907" s="14">
        <v>5402.6550079902663</v>
      </c>
      <c r="L907" s="14">
        <v>333914.14612083195</v>
      </c>
      <c r="M907" s="36">
        <f>IF(Output[[#This Row],[Index]]=1,Output[[#This Row],[Droit Utilisation]],P906)</f>
        <v>111199.1970270685</v>
      </c>
      <c r="N907" s="15">
        <f>Output[[#This Row],[Capital Debut Period]]*Output[[#This Row],[Tx_interet_M]]</f>
        <v>277.99799256767125</v>
      </c>
      <c r="O907" s="15">
        <f>Output[[#This Row],[Mensualité initial]]-Output[[#This Row],[Interet]]</f>
        <v>5722.0020074323284</v>
      </c>
      <c r="P907" s="15">
        <f>Output[[#This Row],[Capital Debut Period]]-Output[[#This Row],[Paiement Principal]]</f>
        <v>105477.19501963617</v>
      </c>
      <c r="Q907" s="15">
        <f>Output[[#This Row],[Droit Utilisation]]/Output[[#This Row],[Duree_Mois]]</f>
        <v>5565.2357686805326</v>
      </c>
    </row>
    <row r="908" spans="1:17" x14ac:dyDescent="0.25">
      <c r="A908" s="11" t="s">
        <v>15</v>
      </c>
      <c r="B908" s="12">
        <v>43952</v>
      </c>
      <c r="C908">
        <v>6000</v>
      </c>
      <c r="D908">
        <v>5</v>
      </c>
      <c r="E908">
        <v>0.03</v>
      </c>
      <c r="F908">
        <v>60</v>
      </c>
      <c r="G908" s="13">
        <v>45260</v>
      </c>
      <c r="H908">
        <v>907</v>
      </c>
      <c r="I908">
        <v>43</v>
      </c>
      <c r="J908">
        <v>2.5000000000000001E-3</v>
      </c>
      <c r="K908" s="14">
        <v>5389.1820528581211</v>
      </c>
      <c r="L908" s="14">
        <v>333914.14612083195</v>
      </c>
      <c r="M908" s="36">
        <f>IF(Output[[#This Row],[Index]]=1,Output[[#This Row],[Droit Utilisation]],P907)</f>
        <v>105477.19501963617</v>
      </c>
      <c r="N908" s="15">
        <f>Output[[#This Row],[Capital Debut Period]]*Output[[#This Row],[Tx_interet_M]]</f>
        <v>263.69298754909045</v>
      </c>
      <c r="O908" s="15">
        <f>Output[[#This Row],[Mensualité initial]]-Output[[#This Row],[Interet]]</f>
        <v>5736.3070124509095</v>
      </c>
      <c r="P908" s="15">
        <f>Output[[#This Row],[Capital Debut Period]]-Output[[#This Row],[Paiement Principal]]</f>
        <v>99740.888007185262</v>
      </c>
      <c r="Q908" s="15">
        <f>Output[[#This Row],[Droit Utilisation]]/Output[[#This Row],[Duree_Mois]]</f>
        <v>5565.2357686805326</v>
      </c>
    </row>
    <row r="909" spans="1:17" x14ac:dyDescent="0.25">
      <c r="A909" s="11" t="s">
        <v>15</v>
      </c>
      <c r="B909" s="12">
        <v>43952</v>
      </c>
      <c r="C909">
        <v>6000</v>
      </c>
      <c r="D909">
        <v>5</v>
      </c>
      <c r="E909">
        <v>0.03</v>
      </c>
      <c r="F909">
        <v>60</v>
      </c>
      <c r="G909" s="13">
        <v>45291</v>
      </c>
      <c r="H909">
        <v>908</v>
      </c>
      <c r="I909">
        <v>44</v>
      </c>
      <c r="J909">
        <v>2.5000000000000001E-3</v>
      </c>
      <c r="K909" s="14">
        <v>5375.7426961178271</v>
      </c>
      <c r="L909" s="14">
        <v>333914.14612083195</v>
      </c>
      <c r="M909" s="36">
        <f>IF(Output[[#This Row],[Index]]=1,Output[[#This Row],[Droit Utilisation]],P908)</f>
        <v>99740.888007185262</v>
      </c>
      <c r="N909" s="15">
        <f>Output[[#This Row],[Capital Debut Period]]*Output[[#This Row],[Tx_interet_M]]</f>
        <v>249.35222001796316</v>
      </c>
      <c r="O909" s="15">
        <f>Output[[#This Row],[Mensualité initial]]-Output[[#This Row],[Interet]]</f>
        <v>5750.6477799820368</v>
      </c>
      <c r="P909" s="15">
        <f>Output[[#This Row],[Capital Debut Period]]-Output[[#This Row],[Paiement Principal]]</f>
        <v>93990.24022720322</v>
      </c>
      <c r="Q909" s="15">
        <f>Output[[#This Row],[Droit Utilisation]]/Output[[#This Row],[Duree_Mois]]</f>
        <v>5565.2357686805326</v>
      </c>
    </row>
    <row r="910" spans="1:17" x14ac:dyDescent="0.25">
      <c r="A910" s="11" t="s">
        <v>15</v>
      </c>
      <c r="B910" s="12">
        <v>43952</v>
      </c>
      <c r="C910">
        <v>6000</v>
      </c>
      <c r="D910">
        <v>5</v>
      </c>
      <c r="E910">
        <v>0.03</v>
      </c>
      <c r="F910">
        <v>60</v>
      </c>
      <c r="G910" s="13">
        <v>45322</v>
      </c>
      <c r="H910">
        <v>909</v>
      </c>
      <c r="I910">
        <v>45</v>
      </c>
      <c r="J910">
        <v>2.5000000000000001E-3</v>
      </c>
      <c r="K910" s="14">
        <v>5362.3368539828707</v>
      </c>
      <c r="L910" s="14">
        <v>333914.14612083195</v>
      </c>
      <c r="M910" s="36">
        <f>IF(Output[[#This Row],[Index]]=1,Output[[#This Row],[Droit Utilisation]],P909)</f>
        <v>93990.24022720322</v>
      </c>
      <c r="N910" s="15">
        <f>Output[[#This Row],[Capital Debut Period]]*Output[[#This Row],[Tx_interet_M]]</f>
        <v>234.97560056800805</v>
      </c>
      <c r="O910" s="15">
        <f>Output[[#This Row],[Mensualité initial]]-Output[[#This Row],[Interet]]</f>
        <v>5765.0243994319917</v>
      </c>
      <c r="P910" s="15">
        <f>Output[[#This Row],[Capital Debut Period]]-Output[[#This Row],[Paiement Principal]]</f>
        <v>88225.21582777123</v>
      </c>
      <c r="Q910" s="15">
        <f>Output[[#This Row],[Droit Utilisation]]/Output[[#This Row],[Duree_Mois]]</f>
        <v>5565.2357686805326</v>
      </c>
    </row>
    <row r="911" spans="1:17" x14ac:dyDescent="0.25">
      <c r="A911" s="11" t="s">
        <v>15</v>
      </c>
      <c r="B911" s="12">
        <v>43952</v>
      </c>
      <c r="C911">
        <v>6000</v>
      </c>
      <c r="D911">
        <v>5</v>
      </c>
      <c r="E911">
        <v>0.03</v>
      </c>
      <c r="F911">
        <v>60</v>
      </c>
      <c r="G911" s="13">
        <v>45351</v>
      </c>
      <c r="H911">
        <v>910</v>
      </c>
      <c r="I911">
        <v>46</v>
      </c>
      <c r="J911">
        <v>2.5000000000000001E-3</v>
      </c>
      <c r="K911" s="14">
        <v>5348.9644428756819</v>
      </c>
      <c r="L911" s="14">
        <v>333914.14612083195</v>
      </c>
      <c r="M911" s="36">
        <f>IF(Output[[#This Row],[Index]]=1,Output[[#This Row],[Droit Utilisation]],P910)</f>
        <v>88225.21582777123</v>
      </c>
      <c r="N911" s="15">
        <f>Output[[#This Row],[Capital Debut Period]]*Output[[#This Row],[Tx_interet_M]]</f>
        <v>220.56303956942807</v>
      </c>
      <c r="O911" s="15">
        <f>Output[[#This Row],[Mensualité initial]]-Output[[#This Row],[Interet]]</f>
        <v>5779.4369604305721</v>
      </c>
      <c r="P911" s="15">
        <f>Output[[#This Row],[Capital Debut Period]]-Output[[#This Row],[Paiement Principal]]</f>
        <v>82445.778867340661</v>
      </c>
      <c r="Q911" s="15">
        <f>Output[[#This Row],[Droit Utilisation]]/Output[[#This Row],[Duree_Mois]]</f>
        <v>5565.2357686805326</v>
      </c>
    </row>
    <row r="912" spans="1:17" x14ac:dyDescent="0.25">
      <c r="A912" s="11" t="s">
        <v>15</v>
      </c>
      <c r="B912" s="12">
        <v>43952</v>
      </c>
      <c r="C912">
        <v>6000</v>
      </c>
      <c r="D912">
        <v>5</v>
      </c>
      <c r="E912">
        <v>0.03</v>
      </c>
      <c r="F912">
        <v>60</v>
      </c>
      <c r="G912" s="13">
        <v>45382</v>
      </c>
      <c r="H912">
        <v>911</v>
      </c>
      <c r="I912">
        <v>47</v>
      </c>
      <c r="J912">
        <v>2.5000000000000001E-3</v>
      </c>
      <c r="K912" s="14">
        <v>5335.6253794271142</v>
      </c>
      <c r="L912" s="14">
        <v>333914.14612083195</v>
      </c>
      <c r="M912" s="36">
        <f>IF(Output[[#This Row],[Index]]=1,Output[[#This Row],[Droit Utilisation]],P911)</f>
        <v>82445.778867340661</v>
      </c>
      <c r="N912" s="15">
        <f>Output[[#This Row],[Capital Debut Period]]*Output[[#This Row],[Tx_interet_M]]</f>
        <v>206.11444716835166</v>
      </c>
      <c r="O912" s="15">
        <f>Output[[#This Row],[Mensualité initial]]-Output[[#This Row],[Interet]]</f>
        <v>5793.8855528316481</v>
      </c>
      <c r="P912" s="15">
        <f>Output[[#This Row],[Capital Debut Period]]-Output[[#This Row],[Paiement Principal]]</f>
        <v>76651.893314509012</v>
      </c>
      <c r="Q912" s="15">
        <f>Output[[#This Row],[Droit Utilisation]]/Output[[#This Row],[Duree_Mois]]</f>
        <v>5565.2357686805326</v>
      </c>
    </row>
    <row r="913" spans="1:17" x14ac:dyDescent="0.25">
      <c r="A913" s="11" t="s">
        <v>15</v>
      </c>
      <c r="B913" s="12">
        <v>43952</v>
      </c>
      <c r="C913">
        <v>6000</v>
      </c>
      <c r="D913">
        <v>5</v>
      </c>
      <c r="E913">
        <v>0.03</v>
      </c>
      <c r="F913">
        <v>60</v>
      </c>
      <c r="G913" s="13">
        <v>45412</v>
      </c>
      <c r="H913">
        <v>912</v>
      </c>
      <c r="I913">
        <v>48</v>
      </c>
      <c r="J913">
        <v>2.5000000000000001E-3</v>
      </c>
      <c r="K913" s="14">
        <v>5322.3195804759243</v>
      </c>
      <c r="L913" s="14">
        <v>333914.14612083195</v>
      </c>
      <c r="M913" s="36">
        <f>IF(Output[[#This Row],[Index]]=1,Output[[#This Row],[Droit Utilisation]],P912)</f>
        <v>76651.893314509012</v>
      </c>
      <c r="N913" s="15">
        <f>Output[[#This Row],[Capital Debut Period]]*Output[[#This Row],[Tx_interet_M]]</f>
        <v>191.62973328627254</v>
      </c>
      <c r="O913" s="15">
        <f>Output[[#This Row],[Mensualité initial]]-Output[[#This Row],[Interet]]</f>
        <v>5808.3702667137277</v>
      </c>
      <c r="P913" s="15">
        <f>Output[[#This Row],[Capital Debut Period]]-Output[[#This Row],[Paiement Principal]]</f>
        <v>70843.523047795286</v>
      </c>
      <c r="Q913" s="15">
        <f>Output[[#This Row],[Droit Utilisation]]/Output[[#This Row],[Duree_Mois]]</f>
        <v>5565.2357686805326</v>
      </c>
    </row>
    <row r="914" spans="1:17" x14ac:dyDescent="0.25">
      <c r="A914" s="11" t="s">
        <v>15</v>
      </c>
      <c r="B914" s="12">
        <v>43952</v>
      </c>
      <c r="C914">
        <v>6000</v>
      </c>
      <c r="D914">
        <v>5</v>
      </c>
      <c r="E914">
        <v>0.03</v>
      </c>
      <c r="F914">
        <v>60</v>
      </c>
      <c r="G914" s="13">
        <v>45443</v>
      </c>
      <c r="H914">
        <v>913</v>
      </c>
      <c r="I914">
        <v>49</v>
      </c>
      <c r="J914">
        <v>2.5000000000000001E-3</v>
      </c>
      <c r="K914" s="14">
        <v>5309.0469630682537</v>
      </c>
      <c r="L914" s="14">
        <v>333914.14612083195</v>
      </c>
      <c r="M914" s="36">
        <f>IF(Output[[#This Row],[Index]]=1,Output[[#This Row],[Droit Utilisation]],P913)</f>
        <v>70843.523047795286</v>
      </c>
      <c r="N914" s="15">
        <f>Output[[#This Row],[Capital Debut Period]]*Output[[#This Row],[Tx_interet_M]]</f>
        <v>177.10880761948823</v>
      </c>
      <c r="O914" s="15">
        <f>Output[[#This Row],[Mensualité initial]]-Output[[#This Row],[Interet]]</f>
        <v>5822.8911923805117</v>
      </c>
      <c r="P914" s="15">
        <f>Output[[#This Row],[Capital Debut Period]]-Output[[#This Row],[Paiement Principal]]</f>
        <v>65020.631855414773</v>
      </c>
      <c r="Q914" s="15">
        <f>Output[[#This Row],[Droit Utilisation]]/Output[[#This Row],[Duree_Mois]]</f>
        <v>5565.2357686805326</v>
      </c>
    </row>
    <row r="915" spans="1:17" x14ac:dyDescent="0.25">
      <c r="A915" s="11" t="s">
        <v>15</v>
      </c>
      <c r="B915" s="12">
        <v>43952</v>
      </c>
      <c r="C915">
        <v>6000</v>
      </c>
      <c r="D915">
        <v>5</v>
      </c>
      <c r="E915">
        <v>0.03</v>
      </c>
      <c r="F915">
        <v>60</v>
      </c>
      <c r="G915" s="13">
        <v>45473</v>
      </c>
      <c r="H915">
        <v>914</v>
      </c>
      <c r="I915">
        <v>50</v>
      </c>
      <c r="J915">
        <v>2.5000000000000001E-3</v>
      </c>
      <c r="K915" s="14">
        <v>5295.8074444571121</v>
      </c>
      <c r="L915" s="14">
        <v>333914.14612083195</v>
      </c>
      <c r="M915" s="36">
        <f>IF(Output[[#This Row],[Index]]=1,Output[[#This Row],[Droit Utilisation]],P914)</f>
        <v>65020.631855414773</v>
      </c>
      <c r="N915" s="15">
        <f>Output[[#This Row],[Capital Debut Period]]*Output[[#This Row],[Tx_interet_M]]</f>
        <v>162.55157963853694</v>
      </c>
      <c r="O915" s="15">
        <f>Output[[#This Row],[Mensualité initial]]-Output[[#This Row],[Interet]]</f>
        <v>5837.4484203614629</v>
      </c>
      <c r="P915" s="15">
        <f>Output[[#This Row],[Capital Debut Period]]-Output[[#This Row],[Paiement Principal]]</f>
        <v>59183.18343505331</v>
      </c>
      <c r="Q915" s="15">
        <f>Output[[#This Row],[Droit Utilisation]]/Output[[#This Row],[Duree_Mois]]</f>
        <v>5565.2357686805326</v>
      </c>
    </row>
    <row r="916" spans="1:17" x14ac:dyDescent="0.25">
      <c r="A916" s="11" t="s">
        <v>15</v>
      </c>
      <c r="B916" s="12">
        <v>43952</v>
      </c>
      <c r="C916">
        <v>6000</v>
      </c>
      <c r="D916">
        <v>5</v>
      </c>
      <c r="E916">
        <v>0.03</v>
      </c>
      <c r="F916">
        <v>60</v>
      </c>
      <c r="G916" s="13">
        <v>45504</v>
      </c>
      <c r="H916">
        <v>915</v>
      </c>
      <c r="I916">
        <v>51</v>
      </c>
      <c r="J916">
        <v>2.5000000000000001E-3</v>
      </c>
      <c r="K916" s="14">
        <v>5282.6009421018571</v>
      </c>
      <c r="L916" s="14">
        <v>333914.14612083195</v>
      </c>
      <c r="M916" s="36">
        <f>IF(Output[[#This Row],[Index]]=1,Output[[#This Row],[Droit Utilisation]],P915)</f>
        <v>59183.18343505331</v>
      </c>
      <c r="N916" s="15">
        <f>Output[[#This Row],[Capital Debut Period]]*Output[[#This Row],[Tx_interet_M]]</f>
        <v>147.95795858763327</v>
      </c>
      <c r="O916" s="15">
        <f>Output[[#This Row],[Mensualité initial]]-Output[[#This Row],[Interet]]</f>
        <v>5852.0420414123664</v>
      </c>
      <c r="P916" s="15">
        <f>Output[[#This Row],[Capital Debut Period]]-Output[[#This Row],[Paiement Principal]]</f>
        <v>53331.141393640944</v>
      </c>
      <c r="Q916" s="15">
        <f>Output[[#This Row],[Droit Utilisation]]/Output[[#This Row],[Duree_Mois]]</f>
        <v>5565.2357686805326</v>
      </c>
    </row>
    <row r="917" spans="1:17" x14ac:dyDescent="0.25">
      <c r="A917" s="11" t="s">
        <v>15</v>
      </c>
      <c r="B917" s="12">
        <v>43952</v>
      </c>
      <c r="C917">
        <v>6000</v>
      </c>
      <c r="D917">
        <v>5</v>
      </c>
      <c r="E917">
        <v>0.03</v>
      </c>
      <c r="F917">
        <v>60</v>
      </c>
      <c r="G917" s="13">
        <v>45535</v>
      </c>
      <c r="H917">
        <v>916</v>
      </c>
      <c r="I917">
        <v>52</v>
      </c>
      <c r="J917">
        <v>2.5000000000000001E-3</v>
      </c>
      <c r="K917" s="14">
        <v>5269.4273736676878</v>
      </c>
      <c r="L917" s="14">
        <v>333914.14612083195</v>
      </c>
      <c r="M917" s="36">
        <f>IF(Output[[#This Row],[Index]]=1,Output[[#This Row],[Droit Utilisation]],P916)</f>
        <v>53331.141393640944</v>
      </c>
      <c r="N917" s="15">
        <f>Output[[#This Row],[Capital Debut Period]]*Output[[#This Row],[Tx_interet_M]]</f>
        <v>133.32785348410238</v>
      </c>
      <c r="O917" s="15">
        <f>Output[[#This Row],[Mensualité initial]]-Output[[#This Row],[Interet]]</f>
        <v>5866.672146515898</v>
      </c>
      <c r="P917" s="15">
        <f>Output[[#This Row],[Capital Debut Period]]-Output[[#This Row],[Paiement Principal]]</f>
        <v>47464.469247125046</v>
      </c>
      <c r="Q917" s="15">
        <f>Output[[#This Row],[Droit Utilisation]]/Output[[#This Row],[Duree_Mois]]</f>
        <v>5565.2357686805326</v>
      </c>
    </row>
    <row r="918" spans="1:17" x14ac:dyDescent="0.25">
      <c r="A918" s="11" t="s">
        <v>15</v>
      </c>
      <c r="B918" s="12">
        <v>43952</v>
      </c>
      <c r="C918">
        <v>6000</v>
      </c>
      <c r="D918">
        <v>5</v>
      </c>
      <c r="E918">
        <v>0.03</v>
      </c>
      <c r="F918">
        <v>60</v>
      </c>
      <c r="G918" s="13">
        <v>45565</v>
      </c>
      <c r="H918">
        <v>917</v>
      </c>
      <c r="I918">
        <v>53</v>
      </c>
      <c r="J918">
        <v>2.5000000000000001E-3</v>
      </c>
      <c r="K918" s="14">
        <v>5256.2866570251254</v>
      </c>
      <c r="L918" s="14">
        <v>333914.14612083195</v>
      </c>
      <c r="M918" s="36">
        <f>IF(Output[[#This Row],[Index]]=1,Output[[#This Row],[Droit Utilisation]],P917)</f>
        <v>47464.469247125046</v>
      </c>
      <c r="N918" s="15">
        <f>Output[[#This Row],[Capital Debut Period]]*Output[[#This Row],[Tx_interet_M]]</f>
        <v>118.66117311781261</v>
      </c>
      <c r="O918" s="15">
        <f>Output[[#This Row],[Mensualité initial]]-Output[[#This Row],[Interet]]</f>
        <v>5881.3388268821873</v>
      </c>
      <c r="P918" s="15">
        <f>Output[[#This Row],[Capital Debut Period]]-Output[[#This Row],[Paiement Principal]]</f>
        <v>41583.130420242858</v>
      </c>
      <c r="Q918" s="15">
        <f>Output[[#This Row],[Droit Utilisation]]/Output[[#This Row],[Duree_Mois]]</f>
        <v>5565.2357686805326</v>
      </c>
    </row>
    <row r="919" spans="1:17" x14ac:dyDescent="0.25">
      <c r="A919" s="11" t="s">
        <v>15</v>
      </c>
      <c r="B919" s="12">
        <v>43952</v>
      </c>
      <c r="C919">
        <v>6000</v>
      </c>
      <c r="D919">
        <v>5</v>
      </c>
      <c r="E919">
        <v>0.03</v>
      </c>
      <c r="F919">
        <v>60</v>
      </c>
      <c r="G919" s="13">
        <v>45596</v>
      </c>
      <c r="H919">
        <v>918</v>
      </c>
      <c r="I919">
        <v>54</v>
      </c>
      <c r="J919">
        <v>2.5000000000000001E-3</v>
      </c>
      <c r="K919" s="14">
        <v>5243.1787102495018</v>
      </c>
      <c r="L919" s="14">
        <v>333914.14612083195</v>
      </c>
      <c r="M919" s="36">
        <f>IF(Output[[#This Row],[Index]]=1,Output[[#This Row],[Droit Utilisation]],P918)</f>
        <v>41583.130420242858</v>
      </c>
      <c r="N919" s="15">
        <f>Output[[#This Row],[Capital Debut Period]]*Output[[#This Row],[Tx_interet_M]]</f>
        <v>103.95782605060715</v>
      </c>
      <c r="O919" s="15">
        <f>Output[[#This Row],[Mensualité initial]]-Output[[#This Row],[Interet]]</f>
        <v>5896.0421739493931</v>
      </c>
      <c r="P919" s="15">
        <f>Output[[#This Row],[Capital Debut Period]]-Output[[#This Row],[Paiement Principal]]</f>
        <v>35687.088246293468</v>
      </c>
      <c r="Q919" s="15">
        <f>Output[[#This Row],[Droit Utilisation]]/Output[[#This Row],[Duree_Mois]]</f>
        <v>5565.2357686805326</v>
      </c>
    </row>
    <row r="920" spans="1:17" x14ac:dyDescent="0.25">
      <c r="A920" s="11" t="s">
        <v>15</v>
      </c>
      <c r="B920" s="12">
        <v>43952</v>
      </c>
      <c r="C920">
        <v>6000</v>
      </c>
      <c r="D920">
        <v>5</v>
      </c>
      <c r="E920">
        <v>0.03</v>
      </c>
      <c r="F920">
        <v>60</v>
      </c>
      <c r="G920" s="13">
        <v>45626</v>
      </c>
      <c r="H920">
        <v>919</v>
      </c>
      <c r="I920">
        <v>55</v>
      </c>
      <c r="J920">
        <v>2.5000000000000001E-3</v>
      </c>
      <c r="K920" s="14">
        <v>5230.1034516204509</v>
      </c>
      <c r="L920" s="14">
        <v>333914.14612083195</v>
      </c>
      <c r="M920" s="36">
        <f>IF(Output[[#This Row],[Index]]=1,Output[[#This Row],[Droit Utilisation]],P919)</f>
        <v>35687.088246293468</v>
      </c>
      <c r="N920" s="15">
        <f>Output[[#This Row],[Capital Debut Period]]*Output[[#This Row],[Tx_interet_M]]</f>
        <v>89.217720615733668</v>
      </c>
      <c r="O920" s="15">
        <f>Output[[#This Row],[Mensualité initial]]-Output[[#This Row],[Interet]]</f>
        <v>5910.7822793842661</v>
      </c>
      <c r="P920" s="15">
        <f>Output[[#This Row],[Capital Debut Period]]-Output[[#This Row],[Paiement Principal]]</f>
        <v>29776.305966909204</v>
      </c>
      <c r="Q920" s="15">
        <f>Output[[#This Row],[Droit Utilisation]]/Output[[#This Row],[Duree_Mois]]</f>
        <v>5565.2357686805326</v>
      </c>
    </row>
    <row r="921" spans="1:17" x14ac:dyDescent="0.25">
      <c r="A921" s="11" t="s">
        <v>15</v>
      </c>
      <c r="B921" s="12">
        <v>43952</v>
      </c>
      <c r="C921">
        <v>6000</v>
      </c>
      <c r="D921">
        <v>5</v>
      </c>
      <c r="E921">
        <v>0.03</v>
      </c>
      <c r="F921">
        <v>60</v>
      </c>
      <c r="G921" s="13">
        <v>45657</v>
      </c>
      <c r="H921">
        <v>920</v>
      </c>
      <c r="I921">
        <v>56</v>
      </c>
      <c r="J921">
        <v>2.5000000000000001E-3</v>
      </c>
      <c r="K921" s="14">
        <v>5217.0607996213976</v>
      </c>
      <c r="L921" s="14">
        <v>333914.14612083195</v>
      </c>
      <c r="M921" s="36">
        <f>IF(Output[[#This Row],[Index]]=1,Output[[#This Row],[Droit Utilisation]],P920)</f>
        <v>29776.305966909204</v>
      </c>
      <c r="N921" s="15">
        <f>Output[[#This Row],[Capital Debut Period]]*Output[[#This Row],[Tx_interet_M]]</f>
        <v>74.440764917273015</v>
      </c>
      <c r="O921" s="15">
        <f>Output[[#This Row],[Mensualité initial]]-Output[[#This Row],[Interet]]</f>
        <v>5925.5592350827274</v>
      </c>
      <c r="P921" s="15">
        <f>Output[[#This Row],[Capital Debut Period]]-Output[[#This Row],[Paiement Principal]]</f>
        <v>23850.746731826475</v>
      </c>
      <c r="Q921" s="15">
        <f>Output[[#This Row],[Droit Utilisation]]/Output[[#This Row],[Duree_Mois]]</f>
        <v>5565.2357686805326</v>
      </c>
    </row>
    <row r="922" spans="1:17" x14ac:dyDescent="0.25">
      <c r="A922" s="11" t="s">
        <v>15</v>
      </c>
      <c r="B922" s="12">
        <v>43952</v>
      </c>
      <c r="C922">
        <v>6000</v>
      </c>
      <c r="D922">
        <v>5</v>
      </c>
      <c r="E922">
        <v>0.03</v>
      </c>
      <c r="F922">
        <v>60</v>
      </c>
      <c r="G922" s="13">
        <v>45688</v>
      </c>
      <c r="H922">
        <v>921</v>
      </c>
      <c r="I922">
        <v>57</v>
      </c>
      <c r="J922">
        <v>2.5000000000000001E-3</v>
      </c>
      <c r="K922" s="14">
        <v>5204.0506729390509</v>
      </c>
      <c r="L922" s="14">
        <v>333914.14612083195</v>
      </c>
      <c r="M922" s="36">
        <f>IF(Output[[#This Row],[Index]]=1,Output[[#This Row],[Droit Utilisation]],P921)</f>
        <v>23850.746731826475</v>
      </c>
      <c r="N922" s="15">
        <f>Output[[#This Row],[Capital Debut Period]]*Output[[#This Row],[Tx_interet_M]]</f>
        <v>59.62686682956619</v>
      </c>
      <c r="O922" s="15">
        <f>Output[[#This Row],[Mensualité initial]]-Output[[#This Row],[Interet]]</f>
        <v>5940.3731331704339</v>
      </c>
      <c r="P922" s="15">
        <f>Output[[#This Row],[Capital Debut Period]]-Output[[#This Row],[Paiement Principal]]</f>
        <v>17910.373598656042</v>
      </c>
      <c r="Q922" s="15">
        <f>Output[[#This Row],[Droit Utilisation]]/Output[[#This Row],[Duree_Mois]]</f>
        <v>5565.2357686805326</v>
      </c>
    </row>
    <row r="923" spans="1:17" x14ac:dyDescent="0.25">
      <c r="A923" s="11" t="s">
        <v>15</v>
      </c>
      <c r="B923" s="12">
        <v>43952</v>
      </c>
      <c r="C923">
        <v>6000</v>
      </c>
      <c r="D923">
        <v>5</v>
      </c>
      <c r="E923">
        <v>0.03</v>
      </c>
      <c r="F923">
        <v>60</v>
      </c>
      <c r="G923" s="13">
        <v>45716</v>
      </c>
      <c r="H923">
        <v>922</v>
      </c>
      <c r="I923">
        <v>58</v>
      </c>
      <c r="J923">
        <v>2.5000000000000001E-3</v>
      </c>
      <c r="K923" s="14">
        <v>5191.0729904628934</v>
      </c>
      <c r="L923" s="14">
        <v>333914.14612083195</v>
      </c>
      <c r="M923" s="36">
        <f>IF(Output[[#This Row],[Index]]=1,Output[[#This Row],[Droit Utilisation]],P922)</f>
        <v>17910.373598656042</v>
      </c>
      <c r="N923" s="15">
        <f>Output[[#This Row],[Capital Debut Period]]*Output[[#This Row],[Tx_interet_M]]</f>
        <v>44.775933996640106</v>
      </c>
      <c r="O923" s="15">
        <f>Output[[#This Row],[Mensualité initial]]-Output[[#This Row],[Interet]]</f>
        <v>5955.2240660033603</v>
      </c>
      <c r="P923" s="15">
        <f>Output[[#This Row],[Capital Debut Period]]-Output[[#This Row],[Paiement Principal]]</f>
        <v>11955.149532652682</v>
      </c>
      <c r="Q923" s="15">
        <f>Output[[#This Row],[Droit Utilisation]]/Output[[#This Row],[Duree_Mois]]</f>
        <v>5565.2357686805326</v>
      </c>
    </row>
    <row r="924" spans="1:17" x14ac:dyDescent="0.25">
      <c r="A924" s="11" t="s">
        <v>15</v>
      </c>
      <c r="B924" s="12">
        <v>43952</v>
      </c>
      <c r="C924">
        <v>6000</v>
      </c>
      <c r="D924">
        <v>5</v>
      </c>
      <c r="E924">
        <v>0.03</v>
      </c>
      <c r="F924">
        <v>60</v>
      </c>
      <c r="G924" s="13">
        <v>45747</v>
      </c>
      <c r="H924">
        <v>923</v>
      </c>
      <c r="I924">
        <v>59</v>
      </c>
      <c r="J924">
        <v>2.5000000000000001E-3</v>
      </c>
      <c r="K924" s="14">
        <v>5178.127671284682</v>
      </c>
      <c r="L924" s="14">
        <v>333914.14612083195</v>
      </c>
      <c r="M924" s="36">
        <f>IF(Output[[#This Row],[Index]]=1,Output[[#This Row],[Droit Utilisation]],P923)</f>
        <v>11955.149532652682</v>
      </c>
      <c r="N924" s="15">
        <f>Output[[#This Row],[Capital Debut Period]]*Output[[#This Row],[Tx_interet_M]]</f>
        <v>29.887873831631705</v>
      </c>
      <c r="O924" s="15">
        <f>Output[[#This Row],[Mensualité initial]]-Output[[#This Row],[Interet]]</f>
        <v>5970.1121261683684</v>
      </c>
      <c r="P924" s="15">
        <f>Output[[#This Row],[Capital Debut Period]]-Output[[#This Row],[Paiement Principal]]</f>
        <v>5985.0374064843136</v>
      </c>
      <c r="Q924" s="15">
        <f>Output[[#This Row],[Droit Utilisation]]/Output[[#This Row],[Duree_Mois]]</f>
        <v>5565.2357686805326</v>
      </c>
    </row>
    <row r="925" spans="1:17" x14ac:dyDescent="0.25">
      <c r="A925" s="11" t="s">
        <v>15</v>
      </c>
      <c r="B925" s="12">
        <v>43952</v>
      </c>
      <c r="C925">
        <v>6000</v>
      </c>
      <c r="D925">
        <v>5</v>
      </c>
      <c r="E925">
        <v>0.03</v>
      </c>
      <c r="F925">
        <v>60</v>
      </c>
      <c r="G925" s="13">
        <v>45777</v>
      </c>
      <c r="H925">
        <v>924</v>
      </c>
      <c r="I925">
        <v>60</v>
      </c>
      <c r="J925">
        <v>2.5000000000000001E-3</v>
      </c>
      <c r="K925" s="14">
        <v>5165.2146346979371</v>
      </c>
      <c r="L925" s="14">
        <v>333914.14612083195</v>
      </c>
      <c r="M925" s="36">
        <f>IF(Output[[#This Row],[Index]]=1,Output[[#This Row],[Droit Utilisation]],P924)</f>
        <v>5985.0374064843136</v>
      </c>
      <c r="N925" s="15">
        <f>Output[[#This Row],[Capital Debut Period]]*Output[[#This Row],[Tx_interet_M]]</f>
        <v>14.962593516210784</v>
      </c>
      <c r="O925" s="15">
        <f>Output[[#This Row],[Mensualité initial]]-Output[[#This Row],[Interet]]</f>
        <v>5985.0374064837888</v>
      </c>
      <c r="P925" s="15">
        <f>Output[[#This Row],[Capital Debut Period]]-Output[[#This Row],[Paiement Principal]]</f>
        <v>5.2477844292297959E-10</v>
      </c>
      <c r="Q925" s="15">
        <f>Output[[#This Row],[Droit Utilisation]]/Output[[#This Row],[Duree_Mois]]</f>
        <v>5565.2357686805326</v>
      </c>
    </row>
    <row r="926" spans="1:17" x14ac:dyDescent="0.25">
      <c r="A926" s="11" t="s">
        <v>16</v>
      </c>
      <c r="B926" s="12">
        <v>43831</v>
      </c>
      <c r="C926">
        <v>6000</v>
      </c>
      <c r="D926">
        <v>5</v>
      </c>
      <c r="E926">
        <v>0.03</v>
      </c>
      <c r="F926">
        <v>60</v>
      </c>
      <c r="G926" s="13">
        <v>43861</v>
      </c>
      <c r="H926">
        <v>925</v>
      </c>
      <c r="I926">
        <v>1</v>
      </c>
      <c r="J926">
        <v>2.5000000000000001E-3</v>
      </c>
      <c r="K926" s="14">
        <v>5985.0374064837906</v>
      </c>
      <c r="L926" s="14">
        <v>333914.14612083195</v>
      </c>
      <c r="M926" s="36">
        <f>IF(Output[[#This Row],[Index]]=1,Output[[#This Row],[Droit Utilisation]],P925)</f>
        <v>333914.14612083195</v>
      </c>
      <c r="N926" s="15">
        <f>Output[[#This Row],[Capital Debut Period]]*Output[[#This Row],[Tx_interet_M]]</f>
        <v>834.78536530207987</v>
      </c>
      <c r="O926" s="15">
        <f>Output[[#This Row],[Mensualité initial]]-Output[[#This Row],[Interet]]</f>
        <v>5165.2146346979198</v>
      </c>
      <c r="P926" s="15">
        <f>Output[[#This Row],[Capital Debut Period]]-Output[[#This Row],[Paiement Principal]]</f>
        <v>328748.93148613401</v>
      </c>
      <c r="Q926" s="15">
        <f>Output[[#This Row],[Droit Utilisation]]/Output[[#This Row],[Duree_Mois]]</f>
        <v>5565.2357686805326</v>
      </c>
    </row>
    <row r="927" spans="1:17" x14ac:dyDescent="0.25">
      <c r="A927" s="11" t="s">
        <v>16</v>
      </c>
      <c r="B927" s="12">
        <v>43831</v>
      </c>
      <c r="C927">
        <v>6000</v>
      </c>
      <c r="D927">
        <v>5</v>
      </c>
      <c r="E927">
        <v>0.03</v>
      </c>
      <c r="F927">
        <v>60</v>
      </c>
      <c r="G927" s="13">
        <v>43890</v>
      </c>
      <c r="H927">
        <v>926</v>
      </c>
      <c r="I927">
        <v>2</v>
      </c>
      <c r="J927">
        <v>2.5000000000000001E-3</v>
      </c>
      <c r="K927" s="14">
        <v>5970.1121261683702</v>
      </c>
      <c r="L927" s="14">
        <v>333914.14612083195</v>
      </c>
      <c r="M927" s="36">
        <f>IF(Output[[#This Row],[Index]]=1,Output[[#This Row],[Droit Utilisation]],P926)</f>
        <v>328748.93148613401</v>
      </c>
      <c r="N927" s="15">
        <f>Output[[#This Row],[Capital Debut Period]]*Output[[#This Row],[Tx_interet_M]]</f>
        <v>821.87232871533502</v>
      </c>
      <c r="O927" s="15">
        <f>Output[[#This Row],[Mensualité initial]]-Output[[#This Row],[Interet]]</f>
        <v>5178.1276712846648</v>
      </c>
      <c r="P927" s="15">
        <f>Output[[#This Row],[Capital Debut Period]]-Output[[#This Row],[Paiement Principal]]</f>
        <v>323570.80381484935</v>
      </c>
      <c r="Q927" s="15">
        <f>Output[[#This Row],[Droit Utilisation]]/Output[[#This Row],[Duree_Mois]]</f>
        <v>5565.2357686805326</v>
      </c>
    </row>
    <row r="928" spans="1:17" x14ac:dyDescent="0.25">
      <c r="A928" s="11" t="s">
        <v>16</v>
      </c>
      <c r="B928" s="12">
        <v>43831</v>
      </c>
      <c r="C928">
        <v>6000</v>
      </c>
      <c r="D928">
        <v>5</v>
      </c>
      <c r="E928">
        <v>0.03</v>
      </c>
      <c r="F928">
        <v>60</v>
      </c>
      <c r="G928" s="13">
        <v>43921</v>
      </c>
      <c r="H928">
        <v>927</v>
      </c>
      <c r="I928">
        <v>3</v>
      </c>
      <c r="J928">
        <v>2.5000000000000001E-3</v>
      </c>
      <c r="K928" s="14">
        <v>5955.2240660033622</v>
      </c>
      <c r="L928" s="14">
        <v>333914.14612083195</v>
      </c>
      <c r="M928" s="36">
        <f>IF(Output[[#This Row],[Index]]=1,Output[[#This Row],[Droit Utilisation]],P927)</f>
        <v>323570.80381484935</v>
      </c>
      <c r="N928" s="15">
        <f>Output[[#This Row],[Capital Debut Period]]*Output[[#This Row],[Tx_interet_M]]</f>
        <v>808.92700953712335</v>
      </c>
      <c r="O928" s="15">
        <f>Output[[#This Row],[Mensualité initial]]-Output[[#This Row],[Interet]]</f>
        <v>5191.072990462877</v>
      </c>
      <c r="P928" s="15">
        <f>Output[[#This Row],[Capital Debut Period]]-Output[[#This Row],[Paiement Principal]]</f>
        <v>318379.73082438647</v>
      </c>
      <c r="Q928" s="15">
        <f>Output[[#This Row],[Droit Utilisation]]/Output[[#This Row],[Duree_Mois]]</f>
        <v>5565.2357686805326</v>
      </c>
    </row>
    <row r="929" spans="1:17" x14ac:dyDescent="0.25">
      <c r="A929" s="11" t="s">
        <v>16</v>
      </c>
      <c r="B929" s="12">
        <v>43831</v>
      </c>
      <c r="C929">
        <v>6000</v>
      </c>
      <c r="D929">
        <v>5</v>
      </c>
      <c r="E929">
        <v>0.03</v>
      </c>
      <c r="F929">
        <v>60</v>
      </c>
      <c r="G929" s="13">
        <v>43951</v>
      </c>
      <c r="H929">
        <v>928</v>
      </c>
      <c r="I929">
        <v>4</v>
      </c>
      <c r="J929">
        <v>2.5000000000000001E-3</v>
      </c>
      <c r="K929" s="14">
        <v>5940.3731331704357</v>
      </c>
      <c r="L929" s="14">
        <v>333914.14612083195</v>
      </c>
      <c r="M929" s="36">
        <f>IF(Output[[#This Row],[Index]]=1,Output[[#This Row],[Droit Utilisation]],P928)</f>
        <v>318379.73082438647</v>
      </c>
      <c r="N929" s="15">
        <f>Output[[#This Row],[Capital Debut Period]]*Output[[#This Row],[Tx_interet_M]]</f>
        <v>795.9493270609662</v>
      </c>
      <c r="O929" s="15">
        <f>Output[[#This Row],[Mensualité initial]]-Output[[#This Row],[Interet]]</f>
        <v>5204.0506729390336</v>
      </c>
      <c r="P929" s="15">
        <f>Output[[#This Row],[Capital Debut Period]]-Output[[#This Row],[Paiement Principal]]</f>
        <v>313175.68015144742</v>
      </c>
      <c r="Q929" s="15">
        <f>Output[[#This Row],[Droit Utilisation]]/Output[[#This Row],[Duree_Mois]]</f>
        <v>5565.2357686805326</v>
      </c>
    </row>
    <row r="930" spans="1:17" x14ac:dyDescent="0.25">
      <c r="A930" s="11" t="s">
        <v>16</v>
      </c>
      <c r="B930" s="12">
        <v>43831</v>
      </c>
      <c r="C930">
        <v>6000</v>
      </c>
      <c r="D930">
        <v>5</v>
      </c>
      <c r="E930">
        <v>0.03</v>
      </c>
      <c r="F930">
        <v>60</v>
      </c>
      <c r="G930" s="13">
        <v>43982</v>
      </c>
      <c r="H930">
        <v>929</v>
      </c>
      <c r="I930">
        <v>5</v>
      </c>
      <c r="J930">
        <v>2.5000000000000001E-3</v>
      </c>
      <c r="K930" s="14">
        <v>5925.5592350827301</v>
      </c>
      <c r="L930" s="14">
        <v>333914.14612083195</v>
      </c>
      <c r="M930" s="36">
        <f>IF(Output[[#This Row],[Index]]=1,Output[[#This Row],[Droit Utilisation]],P929)</f>
        <v>313175.68015144742</v>
      </c>
      <c r="N930" s="15">
        <f>Output[[#This Row],[Capital Debut Period]]*Output[[#This Row],[Tx_interet_M]]</f>
        <v>782.93920037861858</v>
      </c>
      <c r="O930" s="15">
        <f>Output[[#This Row],[Mensualité initial]]-Output[[#This Row],[Interet]]</f>
        <v>5217.0607996213812</v>
      </c>
      <c r="P930" s="15">
        <f>Output[[#This Row],[Capital Debut Period]]-Output[[#This Row],[Paiement Principal]]</f>
        <v>307958.61935182603</v>
      </c>
      <c r="Q930" s="15">
        <f>Output[[#This Row],[Droit Utilisation]]/Output[[#This Row],[Duree_Mois]]</f>
        <v>5565.2357686805326</v>
      </c>
    </row>
    <row r="931" spans="1:17" x14ac:dyDescent="0.25">
      <c r="A931" s="11" t="s">
        <v>16</v>
      </c>
      <c r="B931" s="12">
        <v>43831</v>
      </c>
      <c r="C931">
        <v>6000</v>
      </c>
      <c r="D931">
        <v>5</v>
      </c>
      <c r="E931">
        <v>0.03</v>
      </c>
      <c r="F931">
        <v>60</v>
      </c>
      <c r="G931" s="13">
        <v>44012</v>
      </c>
      <c r="H931">
        <v>930</v>
      </c>
      <c r="I931">
        <v>6</v>
      </c>
      <c r="J931">
        <v>2.5000000000000001E-3</v>
      </c>
      <c r="K931" s="14">
        <v>5910.7822793842697</v>
      </c>
      <c r="L931" s="14">
        <v>333914.14612083195</v>
      </c>
      <c r="M931" s="36">
        <f>IF(Output[[#This Row],[Index]]=1,Output[[#This Row],[Droit Utilisation]],P930)</f>
        <v>307958.61935182603</v>
      </c>
      <c r="N931" s="15">
        <f>Output[[#This Row],[Capital Debut Period]]*Output[[#This Row],[Tx_interet_M]]</f>
        <v>769.89654837956505</v>
      </c>
      <c r="O931" s="15">
        <f>Output[[#This Row],[Mensualité initial]]-Output[[#This Row],[Interet]]</f>
        <v>5230.1034516204345</v>
      </c>
      <c r="P931" s="15">
        <f>Output[[#This Row],[Capital Debut Period]]-Output[[#This Row],[Paiement Principal]]</f>
        <v>302728.51590020559</v>
      </c>
      <c r="Q931" s="15">
        <f>Output[[#This Row],[Droit Utilisation]]/Output[[#This Row],[Duree_Mois]]</f>
        <v>5565.2357686805326</v>
      </c>
    </row>
    <row r="932" spans="1:17" x14ac:dyDescent="0.25">
      <c r="A932" s="11" t="s">
        <v>16</v>
      </c>
      <c r="B932" s="12">
        <v>43831</v>
      </c>
      <c r="C932">
        <v>6000</v>
      </c>
      <c r="D932">
        <v>5</v>
      </c>
      <c r="E932">
        <v>0.03</v>
      </c>
      <c r="F932">
        <v>60</v>
      </c>
      <c r="G932" s="13">
        <v>44043</v>
      </c>
      <c r="H932">
        <v>931</v>
      </c>
      <c r="I932">
        <v>7</v>
      </c>
      <c r="J932">
        <v>2.5000000000000001E-3</v>
      </c>
      <c r="K932" s="14">
        <v>5896.0421739493959</v>
      </c>
      <c r="L932" s="14">
        <v>333914.14612083195</v>
      </c>
      <c r="M932" s="36">
        <f>IF(Output[[#This Row],[Index]]=1,Output[[#This Row],[Droit Utilisation]],P931)</f>
        <v>302728.51590020559</v>
      </c>
      <c r="N932" s="15">
        <f>Output[[#This Row],[Capital Debut Period]]*Output[[#This Row],[Tx_interet_M]]</f>
        <v>756.82128975051398</v>
      </c>
      <c r="O932" s="15">
        <f>Output[[#This Row],[Mensualité initial]]-Output[[#This Row],[Interet]]</f>
        <v>5243.1787102494864</v>
      </c>
      <c r="P932" s="15">
        <f>Output[[#This Row],[Capital Debut Period]]-Output[[#This Row],[Paiement Principal]]</f>
        <v>297485.3371899561</v>
      </c>
      <c r="Q932" s="15">
        <f>Output[[#This Row],[Droit Utilisation]]/Output[[#This Row],[Duree_Mois]]</f>
        <v>5565.2357686805326</v>
      </c>
    </row>
    <row r="933" spans="1:17" x14ac:dyDescent="0.25">
      <c r="A933" s="11" t="s">
        <v>16</v>
      </c>
      <c r="B933" s="12">
        <v>43831</v>
      </c>
      <c r="C933">
        <v>6000</v>
      </c>
      <c r="D933">
        <v>5</v>
      </c>
      <c r="E933">
        <v>0.03</v>
      </c>
      <c r="F933">
        <v>60</v>
      </c>
      <c r="G933" s="13">
        <v>44074</v>
      </c>
      <c r="H933">
        <v>932</v>
      </c>
      <c r="I933">
        <v>8</v>
      </c>
      <c r="J933">
        <v>2.5000000000000001E-3</v>
      </c>
      <c r="K933" s="14">
        <v>5881.3388268821909</v>
      </c>
      <c r="L933" s="14">
        <v>333914.14612083195</v>
      </c>
      <c r="M933" s="36">
        <f>IF(Output[[#This Row],[Index]]=1,Output[[#This Row],[Droit Utilisation]],P932)</f>
        <v>297485.3371899561</v>
      </c>
      <c r="N933" s="15">
        <f>Output[[#This Row],[Capital Debut Period]]*Output[[#This Row],[Tx_interet_M]]</f>
        <v>743.71334297489022</v>
      </c>
      <c r="O933" s="15">
        <f>Output[[#This Row],[Mensualité initial]]-Output[[#This Row],[Interet]]</f>
        <v>5256.2866570251099</v>
      </c>
      <c r="P933" s="15">
        <f>Output[[#This Row],[Capital Debut Period]]-Output[[#This Row],[Paiement Principal]]</f>
        <v>292229.050532931</v>
      </c>
      <c r="Q933" s="15">
        <f>Output[[#This Row],[Droit Utilisation]]/Output[[#This Row],[Duree_Mois]]</f>
        <v>5565.2357686805326</v>
      </c>
    </row>
    <row r="934" spans="1:17" x14ac:dyDescent="0.25">
      <c r="A934" s="11" t="s">
        <v>16</v>
      </c>
      <c r="B934" s="12">
        <v>43831</v>
      </c>
      <c r="C934">
        <v>6000</v>
      </c>
      <c r="D934">
        <v>5</v>
      </c>
      <c r="E934">
        <v>0.03</v>
      </c>
      <c r="F934">
        <v>60</v>
      </c>
      <c r="G934" s="13">
        <v>44104</v>
      </c>
      <c r="H934">
        <v>933</v>
      </c>
      <c r="I934">
        <v>9</v>
      </c>
      <c r="J934">
        <v>2.5000000000000001E-3</v>
      </c>
      <c r="K934" s="14">
        <v>5866.6721465159017</v>
      </c>
      <c r="L934" s="14">
        <v>333914.14612083195</v>
      </c>
      <c r="M934" s="36">
        <f>IF(Output[[#This Row],[Index]]=1,Output[[#This Row],[Droit Utilisation]],P933)</f>
        <v>292229.050532931</v>
      </c>
      <c r="N934" s="15">
        <f>Output[[#This Row],[Capital Debut Period]]*Output[[#This Row],[Tx_interet_M]]</f>
        <v>730.57262633232756</v>
      </c>
      <c r="O934" s="15">
        <f>Output[[#This Row],[Mensualité initial]]-Output[[#This Row],[Interet]]</f>
        <v>5269.4273736676723</v>
      </c>
      <c r="P934" s="15">
        <f>Output[[#This Row],[Capital Debut Period]]-Output[[#This Row],[Paiement Principal]]</f>
        <v>286959.62315926334</v>
      </c>
      <c r="Q934" s="15">
        <f>Output[[#This Row],[Droit Utilisation]]/Output[[#This Row],[Duree_Mois]]</f>
        <v>5565.2357686805326</v>
      </c>
    </row>
    <row r="935" spans="1:17" x14ac:dyDescent="0.25">
      <c r="A935" s="11" t="s">
        <v>16</v>
      </c>
      <c r="B935" s="12">
        <v>43831</v>
      </c>
      <c r="C935">
        <v>6000</v>
      </c>
      <c r="D935">
        <v>5</v>
      </c>
      <c r="E935">
        <v>0.03</v>
      </c>
      <c r="F935">
        <v>60</v>
      </c>
      <c r="G935" s="13">
        <v>44135</v>
      </c>
      <c r="H935">
        <v>934</v>
      </c>
      <c r="I935">
        <v>10</v>
      </c>
      <c r="J935">
        <v>2.5000000000000001E-3</v>
      </c>
      <c r="K935" s="14">
        <v>5852.042041412371</v>
      </c>
      <c r="L935" s="14">
        <v>333914.14612083195</v>
      </c>
      <c r="M935" s="36">
        <f>IF(Output[[#This Row],[Index]]=1,Output[[#This Row],[Droit Utilisation]],P934)</f>
        <v>286959.62315926334</v>
      </c>
      <c r="N935" s="15">
        <f>Output[[#This Row],[Capital Debut Period]]*Output[[#This Row],[Tx_interet_M]]</f>
        <v>717.39905789815839</v>
      </c>
      <c r="O935" s="15">
        <f>Output[[#This Row],[Mensualité initial]]-Output[[#This Row],[Interet]]</f>
        <v>5282.6009421018416</v>
      </c>
      <c r="P935" s="15">
        <f>Output[[#This Row],[Capital Debut Period]]-Output[[#This Row],[Paiement Principal]]</f>
        <v>281677.02221716149</v>
      </c>
      <c r="Q935" s="15">
        <f>Output[[#This Row],[Droit Utilisation]]/Output[[#This Row],[Duree_Mois]]</f>
        <v>5565.2357686805326</v>
      </c>
    </row>
    <row r="936" spans="1:17" x14ac:dyDescent="0.25">
      <c r="A936" s="11" t="s">
        <v>16</v>
      </c>
      <c r="B936" s="12">
        <v>43831</v>
      </c>
      <c r="C936">
        <v>6000</v>
      </c>
      <c r="D936">
        <v>5</v>
      </c>
      <c r="E936">
        <v>0.03</v>
      </c>
      <c r="F936">
        <v>60</v>
      </c>
      <c r="G936" s="13">
        <v>44165</v>
      </c>
      <c r="H936">
        <v>935</v>
      </c>
      <c r="I936">
        <v>11</v>
      </c>
      <c r="J936">
        <v>2.5000000000000001E-3</v>
      </c>
      <c r="K936" s="14">
        <v>5837.4484203614675</v>
      </c>
      <c r="L936" s="14">
        <v>333914.14612083195</v>
      </c>
      <c r="M936" s="36">
        <f>IF(Output[[#This Row],[Index]]=1,Output[[#This Row],[Droit Utilisation]],P935)</f>
        <v>281677.02221716149</v>
      </c>
      <c r="N936" s="15">
        <f>Output[[#This Row],[Capital Debut Period]]*Output[[#This Row],[Tx_interet_M]]</f>
        <v>704.19255554290373</v>
      </c>
      <c r="O936" s="15">
        <f>Output[[#This Row],[Mensualité initial]]-Output[[#This Row],[Interet]]</f>
        <v>5295.8074444570966</v>
      </c>
      <c r="P936" s="15">
        <f>Output[[#This Row],[Capital Debut Period]]-Output[[#This Row],[Paiement Principal]]</f>
        <v>276381.21477270441</v>
      </c>
      <c r="Q936" s="15">
        <f>Output[[#This Row],[Droit Utilisation]]/Output[[#This Row],[Duree_Mois]]</f>
        <v>5565.2357686805326</v>
      </c>
    </row>
    <row r="937" spans="1:17" x14ac:dyDescent="0.25">
      <c r="A937" s="11" t="s">
        <v>16</v>
      </c>
      <c r="B937" s="12">
        <v>43831</v>
      </c>
      <c r="C937">
        <v>6000</v>
      </c>
      <c r="D937">
        <v>5</v>
      </c>
      <c r="E937">
        <v>0.03</v>
      </c>
      <c r="F937">
        <v>60</v>
      </c>
      <c r="G937" s="13">
        <v>44196</v>
      </c>
      <c r="H937">
        <v>936</v>
      </c>
      <c r="I937">
        <v>12</v>
      </c>
      <c r="J937">
        <v>2.5000000000000001E-3</v>
      </c>
      <c r="K937" s="14">
        <v>5822.8911923805163</v>
      </c>
      <c r="L937" s="14">
        <v>333914.14612083195</v>
      </c>
      <c r="M937" s="36">
        <f>IF(Output[[#This Row],[Index]]=1,Output[[#This Row],[Droit Utilisation]],P936)</f>
        <v>276381.21477270441</v>
      </c>
      <c r="N937" s="15">
        <f>Output[[#This Row],[Capital Debut Period]]*Output[[#This Row],[Tx_interet_M]]</f>
        <v>690.95303693176106</v>
      </c>
      <c r="O937" s="15">
        <f>Output[[#This Row],[Mensualité initial]]-Output[[#This Row],[Interet]]</f>
        <v>5309.0469630682392</v>
      </c>
      <c r="P937" s="15">
        <f>Output[[#This Row],[Capital Debut Period]]-Output[[#This Row],[Paiement Principal]]</f>
        <v>271072.16780963616</v>
      </c>
      <c r="Q937" s="15">
        <f>Output[[#This Row],[Droit Utilisation]]/Output[[#This Row],[Duree_Mois]]</f>
        <v>5565.2357686805326</v>
      </c>
    </row>
    <row r="938" spans="1:17" x14ac:dyDescent="0.25">
      <c r="A938" s="11" t="s">
        <v>16</v>
      </c>
      <c r="B938" s="12">
        <v>43831</v>
      </c>
      <c r="C938">
        <v>6000</v>
      </c>
      <c r="D938">
        <v>5</v>
      </c>
      <c r="E938">
        <v>0.03</v>
      </c>
      <c r="F938">
        <v>60</v>
      </c>
      <c r="G938" s="13">
        <v>44227</v>
      </c>
      <c r="H938">
        <v>937</v>
      </c>
      <c r="I938">
        <v>13</v>
      </c>
      <c r="J938">
        <v>2.5000000000000001E-3</v>
      </c>
      <c r="K938" s="14">
        <v>5808.3702667137322</v>
      </c>
      <c r="L938" s="14">
        <v>333914.14612083195</v>
      </c>
      <c r="M938" s="36">
        <f>IF(Output[[#This Row],[Index]]=1,Output[[#This Row],[Droit Utilisation]],P937)</f>
        <v>271072.16780963616</v>
      </c>
      <c r="N938" s="15">
        <f>Output[[#This Row],[Capital Debut Period]]*Output[[#This Row],[Tx_interet_M]]</f>
        <v>677.68041952409044</v>
      </c>
      <c r="O938" s="15">
        <f>Output[[#This Row],[Mensualité initial]]-Output[[#This Row],[Interet]]</f>
        <v>5322.3195804759098</v>
      </c>
      <c r="P938" s="15">
        <f>Output[[#This Row],[Capital Debut Period]]-Output[[#This Row],[Paiement Principal]]</f>
        <v>265749.84822916024</v>
      </c>
      <c r="Q938" s="15">
        <f>Output[[#This Row],[Droit Utilisation]]/Output[[#This Row],[Duree_Mois]]</f>
        <v>5565.2357686805326</v>
      </c>
    </row>
    <row r="939" spans="1:17" x14ac:dyDescent="0.25">
      <c r="A939" s="11" t="s">
        <v>16</v>
      </c>
      <c r="B939" s="12">
        <v>43831</v>
      </c>
      <c r="C939">
        <v>6000</v>
      </c>
      <c r="D939">
        <v>5</v>
      </c>
      <c r="E939">
        <v>0.03</v>
      </c>
      <c r="F939">
        <v>60</v>
      </c>
      <c r="G939" s="13">
        <v>44255</v>
      </c>
      <c r="H939">
        <v>938</v>
      </c>
      <c r="I939">
        <v>14</v>
      </c>
      <c r="J939">
        <v>2.5000000000000001E-3</v>
      </c>
      <c r="K939" s="14">
        <v>5793.8855528316535</v>
      </c>
      <c r="L939" s="14">
        <v>333914.14612083195</v>
      </c>
      <c r="M939" s="36">
        <f>IF(Output[[#This Row],[Index]]=1,Output[[#This Row],[Droit Utilisation]],P938)</f>
        <v>265749.84822916024</v>
      </c>
      <c r="N939" s="15">
        <f>Output[[#This Row],[Capital Debut Period]]*Output[[#This Row],[Tx_interet_M]]</f>
        <v>664.37462057290065</v>
      </c>
      <c r="O939" s="15">
        <f>Output[[#This Row],[Mensualité initial]]-Output[[#This Row],[Interet]]</f>
        <v>5335.6253794270997</v>
      </c>
      <c r="P939" s="15">
        <f>Output[[#This Row],[Capital Debut Period]]-Output[[#This Row],[Paiement Principal]]</f>
        <v>260414.22284973314</v>
      </c>
      <c r="Q939" s="15">
        <f>Output[[#This Row],[Droit Utilisation]]/Output[[#This Row],[Duree_Mois]]</f>
        <v>5565.2357686805326</v>
      </c>
    </row>
    <row r="940" spans="1:17" x14ac:dyDescent="0.25">
      <c r="A940" s="11" t="s">
        <v>16</v>
      </c>
      <c r="B940" s="12">
        <v>43831</v>
      </c>
      <c r="C940">
        <v>6000</v>
      </c>
      <c r="D940">
        <v>5</v>
      </c>
      <c r="E940">
        <v>0.03</v>
      </c>
      <c r="F940">
        <v>60</v>
      </c>
      <c r="G940" s="13">
        <v>44286</v>
      </c>
      <c r="H940">
        <v>939</v>
      </c>
      <c r="I940">
        <v>15</v>
      </c>
      <c r="J940">
        <v>2.5000000000000001E-3</v>
      </c>
      <c r="K940" s="14">
        <v>5779.4369604305775</v>
      </c>
      <c r="L940" s="14">
        <v>333914.14612083195</v>
      </c>
      <c r="M940" s="36">
        <f>IF(Output[[#This Row],[Index]]=1,Output[[#This Row],[Droit Utilisation]],P939)</f>
        <v>260414.22284973314</v>
      </c>
      <c r="N940" s="15">
        <f>Output[[#This Row],[Capital Debut Period]]*Output[[#This Row],[Tx_interet_M]]</f>
        <v>651.03555712433285</v>
      </c>
      <c r="O940" s="15">
        <f>Output[[#This Row],[Mensualité initial]]-Output[[#This Row],[Interet]]</f>
        <v>5348.9644428756674</v>
      </c>
      <c r="P940" s="15">
        <f>Output[[#This Row],[Capital Debut Period]]-Output[[#This Row],[Paiement Principal]]</f>
        <v>255065.25840685747</v>
      </c>
      <c r="Q940" s="15">
        <f>Output[[#This Row],[Droit Utilisation]]/Output[[#This Row],[Duree_Mois]]</f>
        <v>5565.2357686805326</v>
      </c>
    </row>
    <row r="941" spans="1:17" x14ac:dyDescent="0.25">
      <c r="A941" s="11" t="s">
        <v>16</v>
      </c>
      <c r="B941" s="12">
        <v>43831</v>
      </c>
      <c r="C941">
        <v>6000</v>
      </c>
      <c r="D941">
        <v>5</v>
      </c>
      <c r="E941">
        <v>0.03</v>
      </c>
      <c r="F941">
        <v>60</v>
      </c>
      <c r="G941" s="13">
        <v>44316</v>
      </c>
      <c r="H941">
        <v>940</v>
      </c>
      <c r="I941">
        <v>16</v>
      </c>
      <c r="J941">
        <v>2.5000000000000001E-3</v>
      </c>
      <c r="K941" s="14">
        <v>5765.0243994319981</v>
      </c>
      <c r="L941" s="14">
        <v>333914.14612083195</v>
      </c>
      <c r="M941" s="36">
        <f>IF(Output[[#This Row],[Index]]=1,Output[[#This Row],[Droit Utilisation]],P940)</f>
        <v>255065.25840685747</v>
      </c>
      <c r="N941" s="15">
        <f>Output[[#This Row],[Capital Debut Period]]*Output[[#This Row],[Tx_interet_M]]</f>
        <v>637.66314601714373</v>
      </c>
      <c r="O941" s="15">
        <f>Output[[#This Row],[Mensualité initial]]-Output[[#This Row],[Interet]]</f>
        <v>5362.3368539828562</v>
      </c>
      <c r="P941" s="15">
        <f>Output[[#This Row],[Capital Debut Period]]-Output[[#This Row],[Paiement Principal]]</f>
        <v>249702.92155287461</v>
      </c>
      <c r="Q941" s="15">
        <f>Output[[#This Row],[Droit Utilisation]]/Output[[#This Row],[Duree_Mois]]</f>
        <v>5565.2357686805326</v>
      </c>
    </row>
    <row r="942" spans="1:17" x14ac:dyDescent="0.25">
      <c r="A942" s="11" t="s">
        <v>16</v>
      </c>
      <c r="B942" s="12">
        <v>43831</v>
      </c>
      <c r="C942">
        <v>6000</v>
      </c>
      <c r="D942">
        <v>5</v>
      </c>
      <c r="E942">
        <v>0.03</v>
      </c>
      <c r="F942">
        <v>60</v>
      </c>
      <c r="G942" s="13">
        <v>44347</v>
      </c>
      <c r="H942">
        <v>941</v>
      </c>
      <c r="I942">
        <v>17</v>
      </c>
      <c r="J942">
        <v>2.5000000000000001E-3</v>
      </c>
      <c r="K942" s="14">
        <v>5750.6477799820432</v>
      </c>
      <c r="L942" s="14">
        <v>333914.14612083195</v>
      </c>
      <c r="M942" s="36">
        <f>IF(Output[[#This Row],[Index]]=1,Output[[#This Row],[Droit Utilisation]],P941)</f>
        <v>249702.92155287461</v>
      </c>
      <c r="N942" s="15">
        <f>Output[[#This Row],[Capital Debut Period]]*Output[[#This Row],[Tx_interet_M]]</f>
        <v>624.25730388218653</v>
      </c>
      <c r="O942" s="15">
        <f>Output[[#This Row],[Mensualité initial]]-Output[[#This Row],[Interet]]</f>
        <v>5375.7426961178135</v>
      </c>
      <c r="P942" s="15">
        <f>Output[[#This Row],[Capital Debut Period]]-Output[[#This Row],[Paiement Principal]]</f>
        <v>244327.1788567568</v>
      </c>
      <c r="Q942" s="15">
        <f>Output[[#This Row],[Droit Utilisation]]/Output[[#This Row],[Duree_Mois]]</f>
        <v>5565.2357686805326</v>
      </c>
    </row>
    <row r="943" spans="1:17" x14ac:dyDescent="0.25">
      <c r="A943" s="11" t="s">
        <v>16</v>
      </c>
      <c r="B943" s="12">
        <v>43831</v>
      </c>
      <c r="C943">
        <v>6000</v>
      </c>
      <c r="D943">
        <v>5</v>
      </c>
      <c r="E943">
        <v>0.03</v>
      </c>
      <c r="F943">
        <v>60</v>
      </c>
      <c r="G943" s="13">
        <v>44377</v>
      </c>
      <c r="H943">
        <v>942</v>
      </c>
      <c r="I943">
        <v>18</v>
      </c>
      <c r="J943">
        <v>2.5000000000000001E-3</v>
      </c>
      <c r="K943" s="14">
        <v>5736.3070124509168</v>
      </c>
      <c r="L943" s="14">
        <v>333914.14612083195</v>
      </c>
      <c r="M943" s="36">
        <f>IF(Output[[#This Row],[Index]]=1,Output[[#This Row],[Droit Utilisation]],P942)</f>
        <v>244327.1788567568</v>
      </c>
      <c r="N943" s="15">
        <f>Output[[#This Row],[Capital Debut Period]]*Output[[#This Row],[Tx_interet_M]]</f>
        <v>610.81794714189198</v>
      </c>
      <c r="O943" s="15">
        <f>Output[[#This Row],[Mensualité initial]]-Output[[#This Row],[Interet]]</f>
        <v>5389.1820528581084</v>
      </c>
      <c r="P943" s="15">
        <f>Output[[#This Row],[Capital Debut Period]]-Output[[#This Row],[Paiement Principal]]</f>
        <v>238937.99680389868</v>
      </c>
      <c r="Q943" s="15">
        <f>Output[[#This Row],[Droit Utilisation]]/Output[[#This Row],[Duree_Mois]]</f>
        <v>5565.2357686805326</v>
      </c>
    </row>
    <row r="944" spans="1:17" x14ac:dyDescent="0.25">
      <c r="A944" s="11" t="s">
        <v>16</v>
      </c>
      <c r="B944" s="12">
        <v>43831</v>
      </c>
      <c r="C944">
        <v>6000</v>
      </c>
      <c r="D944">
        <v>5</v>
      </c>
      <c r="E944">
        <v>0.03</v>
      </c>
      <c r="F944">
        <v>60</v>
      </c>
      <c r="G944" s="13">
        <v>44408</v>
      </c>
      <c r="H944">
        <v>943</v>
      </c>
      <c r="I944">
        <v>19</v>
      </c>
      <c r="J944">
        <v>2.5000000000000001E-3</v>
      </c>
      <c r="K944" s="14">
        <v>5722.0020074323356</v>
      </c>
      <c r="L944" s="14">
        <v>333914.14612083195</v>
      </c>
      <c r="M944" s="36">
        <f>IF(Output[[#This Row],[Index]]=1,Output[[#This Row],[Droit Utilisation]],P943)</f>
        <v>238937.99680389868</v>
      </c>
      <c r="N944" s="15">
        <f>Output[[#This Row],[Capital Debut Period]]*Output[[#This Row],[Tx_interet_M]]</f>
        <v>597.34499200974676</v>
      </c>
      <c r="O944" s="15">
        <f>Output[[#This Row],[Mensualité initial]]-Output[[#This Row],[Interet]]</f>
        <v>5402.6550079902536</v>
      </c>
      <c r="P944" s="15">
        <f>Output[[#This Row],[Capital Debut Period]]-Output[[#This Row],[Paiement Principal]]</f>
        <v>233535.34179590843</v>
      </c>
      <c r="Q944" s="15">
        <f>Output[[#This Row],[Droit Utilisation]]/Output[[#This Row],[Duree_Mois]]</f>
        <v>5565.2357686805326</v>
      </c>
    </row>
    <row r="945" spans="1:17" x14ac:dyDescent="0.25">
      <c r="A945" s="11" t="s">
        <v>16</v>
      </c>
      <c r="B945" s="12">
        <v>43831</v>
      </c>
      <c r="C945">
        <v>6000</v>
      </c>
      <c r="D945">
        <v>5</v>
      </c>
      <c r="E945">
        <v>0.03</v>
      </c>
      <c r="F945">
        <v>60</v>
      </c>
      <c r="G945" s="13">
        <v>44439</v>
      </c>
      <c r="H945">
        <v>944</v>
      </c>
      <c r="I945">
        <v>20</v>
      </c>
      <c r="J945">
        <v>2.5000000000000001E-3</v>
      </c>
      <c r="K945" s="14">
        <v>5707.7326757429792</v>
      </c>
      <c r="L945" s="14">
        <v>333914.14612083195</v>
      </c>
      <c r="M945" s="36">
        <f>IF(Output[[#This Row],[Index]]=1,Output[[#This Row],[Droit Utilisation]],P944)</f>
        <v>233535.34179590843</v>
      </c>
      <c r="N945" s="15">
        <f>Output[[#This Row],[Capital Debut Period]]*Output[[#This Row],[Tx_interet_M]]</f>
        <v>583.83835448977106</v>
      </c>
      <c r="O945" s="15">
        <f>Output[[#This Row],[Mensualité initial]]-Output[[#This Row],[Interet]]</f>
        <v>5416.1616455102285</v>
      </c>
      <c r="P945" s="15">
        <f>Output[[#This Row],[Capital Debut Period]]-Output[[#This Row],[Paiement Principal]]</f>
        <v>228119.1801503982</v>
      </c>
      <c r="Q945" s="15">
        <f>Output[[#This Row],[Droit Utilisation]]/Output[[#This Row],[Duree_Mois]]</f>
        <v>5565.2357686805326</v>
      </c>
    </row>
    <row r="946" spans="1:17" x14ac:dyDescent="0.25">
      <c r="A946" s="11" t="s">
        <v>16</v>
      </c>
      <c r="B946" s="12">
        <v>43831</v>
      </c>
      <c r="C946">
        <v>6000</v>
      </c>
      <c r="D946">
        <v>5</v>
      </c>
      <c r="E946">
        <v>0.03</v>
      </c>
      <c r="F946">
        <v>60</v>
      </c>
      <c r="G946" s="13">
        <v>44469</v>
      </c>
      <c r="H946">
        <v>945</v>
      </c>
      <c r="I946">
        <v>21</v>
      </c>
      <c r="J946">
        <v>2.5000000000000001E-3</v>
      </c>
      <c r="K946" s="14">
        <v>5693.4989284219246</v>
      </c>
      <c r="L946" s="14">
        <v>333914.14612083195</v>
      </c>
      <c r="M946" s="36">
        <f>IF(Output[[#This Row],[Index]]=1,Output[[#This Row],[Droit Utilisation]],P945)</f>
        <v>228119.1801503982</v>
      </c>
      <c r="N946" s="15">
        <f>Output[[#This Row],[Capital Debut Period]]*Output[[#This Row],[Tx_interet_M]]</f>
        <v>570.29795037599547</v>
      </c>
      <c r="O946" s="15">
        <f>Output[[#This Row],[Mensualité initial]]-Output[[#This Row],[Interet]]</f>
        <v>5429.7020496240048</v>
      </c>
      <c r="P946" s="15">
        <f>Output[[#This Row],[Capital Debut Period]]-Output[[#This Row],[Paiement Principal]]</f>
        <v>222689.4781007742</v>
      </c>
      <c r="Q946" s="15">
        <f>Output[[#This Row],[Droit Utilisation]]/Output[[#This Row],[Duree_Mois]]</f>
        <v>5565.2357686805326</v>
      </c>
    </row>
    <row r="947" spans="1:17" x14ac:dyDescent="0.25">
      <c r="A947" s="11" t="s">
        <v>16</v>
      </c>
      <c r="B947" s="12">
        <v>43831</v>
      </c>
      <c r="C947">
        <v>6000</v>
      </c>
      <c r="D947">
        <v>5</v>
      </c>
      <c r="E947">
        <v>0.03</v>
      </c>
      <c r="F947">
        <v>60</v>
      </c>
      <c r="G947" s="13">
        <v>44500</v>
      </c>
      <c r="H947">
        <v>946</v>
      </c>
      <c r="I947">
        <v>22</v>
      </c>
      <c r="J947">
        <v>2.5000000000000001E-3</v>
      </c>
      <c r="K947" s="14">
        <v>5679.3006767300994</v>
      </c>
      <c r="L947" s="14">
        <v>333914.14612083195</v>
      </c>
      <c r="M947" s="36">
        <f>IF(Output[[#This Row],[Index]]=1,Output[[#This Row],[Droit Utilisation]],P946)</f>
        <v>222689.4781007742</v>
      </c>
      <c r="N947" s="15">
        <f>Output[[#This Row],[Capital Debut Period]]*Output[[#This Row],[Tx_interet_M]]</f>
        <v>556.72369525193551</v>
      </c>
      <c r="O947" s="15">
        <f>Output[[#This Row],[Mensualité initial]]-Output[[#This Row],[Interet]]</f>
        <v>5443.2763047480648</v>
      </c>
      <c r="P947" s="15">
        <f>Output[[#This Row],[Capital Debut Period]]-Output[[#This Row],[Paiement Principal]]</f>
        <v>217246.20179602614</v>
      </c>
      <c r="Q947" s="15">
        <f>Output[[#This Row],[Droit Utilisation]]/Output[[#This Row],[Duree_Mois]]</f>
        <v>5565.2357686805326</v>
      </c>
    </row>
    <row r="948" spans="1:17" x14ac:dyDescent="0.25">
      <c r="A948" s="11" t="s">
        <v>16</v>
      </c>
      <c r="B948" s="12">
        <v>43831</v>
      </c>
      <c r="C948">
        <v>6000</v>
      </c>
      <c r="D948">
        <v>5</v>
      </c>
      <c r="E948">
        <v>0.03</v>
      </c>
      <c r="F948">
        <v>60</v>
      </c>
      <c r="G948" s="13">
        <v>44530</v>
      </c>
      <c r="H948">
        <v>947</v>
      </c>
      <c r="I948">
        <v>23</v>
      </c>
      <c r="J948">
        <v>2.5000000000000001E-3</v>
      </c>
      <c r="K948" s="14">
        <v>5665.137832149725</v>
      </c>
      <c r="L948" s="14">
        <v>333914.14612083195</v>
      </c>
      <c r="M948" s="36">
        <f>IF(Output[[#This Row],[Index]]=1,Output[[#This Row],[Droit Utilisation]],P947)</f>
        <v>217246.20179602614</v>
      </c>
      <c r="N948" s="15">
        <f>Output[[#This Row],[Capital Debut Period]]*Output[[#This Row],[Tx_interet_M]]</f>
        <v>543.1155044900654</v>
      </c>
      <c r="O948" s="15">
        <f>Output[[#This Row],[Mensualité initial]]-Output[[#This Row],[Interet]]</f>
        <v>5456.8844955099348</v>
      </c>
      <c r="P948" s="15">
        <f>Output[[#This Row],[Capital Debut Period]]-Output[[#This Row],[Paiement Principal]]</f>
        <v>211789.31730051621</v>
      </c>
      <c r="Q948" s="15">
        <f>Output[[#This Row],[Droit Utilisation]]/Output[[#This Row],[Duree_Mois]]</f>
        <v>5565.2357686805326</v>
      </c>
    </row>
    <row r="949" spans="1:17" x14ac:dyDescent="0.25">
      <c r="A949" s="11" t="s">
        <v>16</v>
      </c>
      <c r="B949" s="12">
        <v>43831</v>
      </c>
      <c r="C949">
        <v>6000</v>
      </c>
      <c r="D949">
        <v>5</v>
      </c>
      <c r="E949">
        <v>0.03</v>
      </c>
      <c r="F949">
        <v>60</v>
      </c>
      <c r="G949" s="13">
        <v>44561</v>
      </c>
      <c r="H949">
        <v>948</v>
      </c>
      <c r="I949">
        <v>24</v>
      </c>
      <c r="J949">
        <v>2.5000000000000001E-3</v>
      </c>
      <c r="K949" s="14">
        <v>5651.010306383766</v>
      </c>
      <c r="L949" s="14">
        <v>333914.14612083195</v>
      </c>
      <c r="M949" s="36">
        <f>IF(Output[[#This Row],[Index]]=1,Output[[#This Row],[Droit Utilisation]],P948)</f>
        <v>211789.31730051621</v>
      </c>
      <c r="N949" s="15">
        <f>Output[[#This Row],[Capital Debut Period]]*Output[[#This Row],[Tx_interet_M]]</f>
        <v>529.47329325129056</v>
      </c>
      <c r="O949" s="15">
        <f>Output[[#This Row],[Mensualité initial]]-Output[[#This Row],[Interet]]</f>
        <v>5470.5267067487093</v>
      </c>
      <c r="P949" s="15">
        <f>Output[[#This Row],[Capital Debut Period]]-Output[[#This Row],[Paiement Principal]]</f>
        <v>206318.79059376751</v>
      </c>
      <c r="Q949" s="15">
        <f>Output[[#This Row],[Droit Utilisation]]/Output[[#This Row],[Duree_Mois]]</f>
        <v>5565.2357686805326</v>
      </c>
    </row>
    <row r="950" spans="1:17" x14ac:dyDescent="0.25">
      <c r="A950" s="11" t="s">
        <v>16</v>
      </c>
      <c r="B950" s="12">
        <v>43831</v>
      </c>
      <c r="C950">
        <v>6000</v>
      </c>
      <c r="D950">
        <v>5</v>
      </c>
      <c r="E950">
        <v>0.03</v>
      </c>
      <c r="F950">
        <v>60</v>
      </c>
      <c r="G950" s="13">
        <v>44592</v>
      </c>
      <c r="H950">
        <v>949</v>
      </c>
      <c r="I950">
        <v>25</v>
      </c>
      <c r="J950">
        <v>2.5000000000000001E-3</v>
      </c>
      <c r="K950" s="14">
        <v>5636.9180113553775</v>
      </c>
      <c r="L950" s="14">
        <v>333914.14612083195</v>
      </c>
      <c r="M950" s="36">
        <f>IF(Output[[#This Row],[Index]]=1,Output[[#This Row],[Droit Utilisation]],P949)</f>
        <v>206318.79059376751</v>
      </c>
      <c r="N950" s="15">
        <f>Output[[#This Row],[Capital Debut Period]]*Output[[#This Row],[Tx_interet_M]]</f>
        <v>515.79697648441879</v>
      </c>
      <c r="O950" s="15">
        <f>Output[[#This Row],[Mensualité initial]]-Output[[#This Row],[Interet]]</f>
        <v>5484.2030235155817</v>
      </c>
      <c r="P950" s="15">
        <f>Output[[#This Row],[Capital Debut Period]]-Output[[#This Row],[Paiement Principal]]</f>
        <v>200834.58757025193</v>
      </c>
      <c r="Q950" s="15">
        <f>Output[[#This Row],[Droit Utilisation]]/Output[[#This Row],[Duree_Mois]]</f>
        <v>5565.2357686805326</v>
      </c>
    </row>
    <row r="951" spans="1:17" x14ac:dyDescent="0.25">
      <c r="A951" s="11" t="s">
        <v>16</v>
      </c>
      <c r="B951" s="12">
        <v>43831</v>
      </c>
      <c r="C951">
        <v>6000</v>
      </c>
      <c r="D951">
        <v>5</v>
      </c>
      <c r="E951">
        <v>0.03</v>
      </c>
      <c r="F951">
        <v>60</v>
      </c>
      <c r="G951" s="13">
        <v>44620</v>
      </c>
      <c r="H951">
        <v>950</v>
      </c>
      <c r="I951">
        <v>26</v>
      </c>
      <c r="J951">
        <v>2.5000000000000001E-3</v>
      </c>
      <c r="K951" s="14">
        <v>5622.8608592073597</v>
      </c>
      <c r="L951" s="14">
        <v>333914.14612083195</v>
      </c>
      <c r="M951" s="36">
        <f>IF(Output[[#This Row],[Index]]=1,Output[[#This Row],[Droit Utilisation]],P950)</f>
        <v>200834.58757025193</v>
      </c>
      <c r="N951" s="15">
        <f>Output[[#This Row],[Capital Debut Period]]*Output[[#This Row],[Tx_interet_M]]</f>
        <v>502.08646892562984</v>
      </c>
      <c r="O951" s="15">
        <f>Output[[#This Row],[Mensualité initial]]-Output[[#This Row],[Interet]]</f>
        <v>5497.9135310743704</v>
      </c>
      <c r="P951" s="15">
        <f>Output[[#This Row],[Capital Debut Period]]-Output[[#This Row],[Paiement Principal]]</f>
        <v>195336.67403917757</v>
      </c>
      <c r="Q951" s="15">
        <f>Output[[#This Row],[Droit Utilisation]]/Output[[#This Row],[Duree_Mois]]</f>
        <v>5565.2357686805326</v>
      </c>
    </row>
    <row r="952" spans="1:17" x14ac:dyDescent="0.25">
      <c r="A952" s="11" t="s">
        <v>16</v>
      </c>
      <c r="B952" s="12">
        <v>43831</v>
      </c>
      <c r="C952">
        <v>6000</v>
      </c>
      <c r="D952">
        <v>5</v>
      </c>
      <c r="E952">
        <v>0.03</v>
      </c>
      <c r="F952">
        <v>60</v>
      </c>
      <c r="G952" s="13">
        <v>44651</v>
      </c>
      <c r="H952">
        <v>951</v>
      </c>
      <c r="I952">
        <v>27</v>
      </c>
      <c r="J952">
        <v>2.5000000000000001E-3</v>
      </c>
      <c r="K952" s="14">
        <v>5608.838762301606</v>
      </c>
      <c r="L952" s="14">
        <v>333914.14612083195</v>
      </c>
      <c r="M952" s="36">
        <f>IF(Output[[#This Row],[Index]]=1,Output[[#This Row],[Droit Utilisation]],P951)</f>
        <v>195336.67403917757</v>
      </c>
      <c r="N952" s="15">
        <f>Output[[#This Row],[Capital Debut Period]]*Output[[#This Row],[Tx_interet_M]]</f>
        <v>488.34168509794392</v>
      </c>
      <c r="O952" s="15">
        <f>Output[[#This Row],[Mensualité initial]]-Output[[#This Row],[Interet]]</f>
        <v>5511.6583149020562</v>
      </c>
      <c r="P952" s="15">
        <f>Output[[#This Row],[Capital Debut Period]]-Output[[#This Row],[Paiement Principal]]</f>
        <v>189825.01572427552</v>
      </c>
      <c r="Q952" s="15">
        <f>Output[[#This Row],[Droit Utilisation]]/Output[[#This Row],[Duree_Mois]]</f>
        <v>5565.2357686805326</v>
      </c>
    </row>
    <row r="953" spans="1:17" x14ac:dyDescent="0.25">
      <c r="A953" s="11" t="s">
        <v>16</v>
      </c>
      <c r="B953" s="12">
        <v>43831</v>
      </c>
      <c r="C953">
        <v>6000</v>
      </c>
      <c r="D953">
        <v>5</v>
      </c>
      <c r="E953">
        <v>0.03</v>
      </c>
      <c r="F953">
        <v>60</v>
      </c>
      <c r="G953" s="13">
        <v>44681</v>
      </c>
      <c r="H953">
        <v>952</v>
      </c>
      <c r="I953">
        <v>28</v>
      </c>
      <c r="J953">
        <v>2.5000000000000001E-3</v>
      </c>
      <c r="K953" s="14">
        <v>5594.85163321856</v>
      </c>
      <c r="L953" s="14">
        <v>333914.14612083195</v>
      </c>
      <c r="M953" s="36">
        <f>IF(Output[[#This Row],[Index]]=1,Output[[#This Row],[Droit Utilisation]],P952)</f>
        <v>189825.01572427552</v>
      </c>
      <c r="N953" s="15">
        <f>Output[[#This Row],[Capital Debut Period]]*Output[[#This Row],[Tx_interet_M]]</f>
        <v>474.56253931068881</v>
      </c>
      <c r="O953" s="15">
        <f>Output[[#This Row],[Mensualité initial]]-Output[[#This Row],[Interet]]</f>
        <v>5525.4374606893116</v>
      </c>
      <c r="P953" s="15">
        <f>Output[[#This Row],[Capital Debut Period]]-Output[[#This Row],[Paiement Principal]]</f>
        <v>184299.57826358621</v>
      </c>
      <c r="Q953" s="15">
        <f>Output[[#This Row],[Droit Utilisation]]/Output[[#This Row],[Duree_Mois]]</f>
        <v>5565.2357686805326</v>
      </c>
    </row>
    <row r="954" spans="1:17" x14ac:dyDescent="0.25">
      <c r="A954" s="11" t="s">
        <v>16</v>
      </c>
      <c r="B954" s="12">
        <v>43831</v>
      </c>
      <c r="C954">
        <v>6000</v>
      </c>
      <c r="D954">
        <v>5</v>
      </c>
      <c r="E954">
        <v>0.03</v>
      </c>
      <c r="F954">
        <v>60</v>
      </c>
      <c r="G954" s="13">
        <v>44712</v>
      </c>
      <c r="H954">
        <v>953</v>
      </c>
      <c r="I954">
        <v>29</v>
      </c>
      <c r="J954">
        <v>2.5000000000000001E-3</v>
      </c>
      <c r="K954" s="14">
        <v>5580.899384756669</v>
      </c>
      <c r="L954" s="14">
        <v>333914.14612083195</v>
      </c>
      <c r="M954" s="36">
        <f>IF(Output[[#This Row],[Index]]=1,Output[[#This Row],[Droit Utilisation]],P953)</f>
        <v>184299.57826358621</v>
      </c>
      <c r="N954" s="15">
        <f>Output[[#This Row],[Capital Debut Period]]*Output[[#This Row],[Tx_interet_M]]</f>
        <v>460.74894565896557</v>
      </c>
      <c r="O954" s="15">
        <f>Output[[#This Row],[Mensualité initial]]-Output[[#This Row],[Interet]]</f>
        <v>5539.2510543410344</v>
      </c>
      <c r="P954" s="15">
        <f>Output[[#This Row],[Capital Debut Period]]-Output[[#This Row],[Paiement Principal]]</f>
        <v>178760.32720924518</v>
      </c>
      <c r="Q954" s="15">
        <f>Output[[#This Row],[Droit Utilisation]]/Output[[#This Row],[Duree_Mois]]</f>
        <v>5565.2357686805326</v>
      </c>
    </row>
    <row r="955" spans="1:17" x14ac:dyDescent="0.25">
      <c r="A955" s="11" t="s">
        <v>16</v>
      </c>
      <c r="B955" s="12">
        <v>43831</v>
      </c>
      <c r="C955">
        <v>6000</v>
      </c>
      <c r="D955">
        <v>5</v>
      </c>
      <c r="E955">
        <v>0.03</v>
      </c>
      <c r="F955">
        <v>60</v>
      </c>
      <c r="G955" s="13">
        <v>44742</v>
      </c>
      <c r="H955">
        <v>954</v>
      </c>
      <c r="I955">
        <v>30</v>
      </c>
      <c r="J955">
        <v>2.5000000000000001E-3</v>
      </c>
      <c r="K955" s="14">
        <v>5566.9819299318397</v>
      </c>
      <c r="L955" s="14">
        <v>333914.14612083195</v>
      </c>
      <c r="M955" s="36">
        <f>IF(Output[[#This Row],[Index]]=1,Output[[#This Row],[Droit Utilisation]],P954)</f>
        <v>178760.32720924518</v>
      </c>
      <c r="N955" s="15">
        <f>Output[[#This Row],[Capital Debut Period]]*Output[[#This Row],[Tx_interet_M]]</f>
        <v>446.90081802311295</v>
      </c>
      <c r="O955" s="15">
        <f>Output[[#This Row],[Mensualité initial]]-Output[[#This Row],[Interet]]</f>
        <v>5553.0991819768869</v>
      </c>
      <c r="P955" s="15">
        <f>Output[[#This Row],[Capital Debut Period]]-Output[[#This Row],[Paiement Principal]]</f>
        <v>173207.22802726828</v>
      </c>
      <c r="Q955" s="15">
        <f>Output[[#This Row],[Droit Utilisation]]/Output[[#This Row],[Duree_Mois]]</f>
        <v>5565.2357686805326</v>
      </c>
    </row>
    <row r="956" spans="1:17" x14ac:dyDescent="0.25">
      <c r="A956" s="11" t="s">
        <v>16</v>
      </c>
      <c r="B956" s="12">
        <v>43831</v>
      </c>
      <c r="C956">
        <v>6000</v>
      </c>
      <c r="D956">
        <v>5</v>
      </c>
      <c r="E956">
        <v>0.03</v>
      </c>
      <c r="F956">
        <v>60</v>
      </c>
      <c r="G956" s="13">
        <v>44773</v>
      </c>
      <c r="H956">
        <v>955</v>
      </c>
      <c r="I956">
        <v>31</v>
      </c>
      <c r="J956">
        <v>2.5000000000000001E-3</v>
      </c>
      <c r="K956" s="14">
        <v>5553.0991819768969</v>
      </c>
      <c r="L956" s="14">
        <v>333914.14612083195</v>
      </c>
      <c r="M956" s="36">
        <f>IF(Output[[#This Row],[Index]]=1,Output[[#This Row],[Droit Utilisation]],P955)</f>
        <v>173207.22802726828</v>
      </c>
      <c r="N956" s="15">
        <f>Output[[#This Row],[Capital Debut Period]]*Output[[#This Row],[Tx_interet_M]]</f>
        <v>433.01807006817074</v>
      </c>
      <c r="O956" s="15">
        <f>Output[[#This Row],[Mensualité initial]]-Output[[#This Row],[Interet]]</f>
        <v>5566.9819299318297</v>
      </c>
      <c r="P956" s="15">
        <f>Output[[#This Row],[Capital Debut Period]]-Output[[#This Row],[Paiement Principal]]</f>
        <v>167640.24609733647</v>
      </c>
      <c r="Q956" s="15">
        <f>Output[[#This Row],[Droit Utilisation]]/Output[[#This Row],[Duree_Mois]]</f>
        <v>5565.2357686805326</v>
      </c>
    </row>
    <row r="957" spans="1:17" x14ac:dyDescent="0.25">
      <c r="A957" s="11" t="s">
        <v>16</v>
      </c>
      <c r="B957" s="12">
        <v>43831</v>
      </c>
      <c r="C957">
        <v>6000</v>
      </c>
      <c r="D957">
        <v>5</v>
      </c>
      <c r="E957">
        <v>0.03</v>
      </c>
      <c r="F957">
        <v>60</v>
      </c>
      <c r="G957" s="13">
        <v>44804</v>
      </c>
      <c r="H957">
        <v>956</v>
      </c>
      <c r="I957">
        <v>32</v>
      </c>
      <c r="J957">
        <v>2.5000000000000001E-3</v>
      </c>
      <c r="K957" s="14">
        <v>5539.2510543410453</v>
      </c>
      <c r="L957" s="14">
        <v>333914.14612083195</v>
      </c>
      <c r="M957" s="36">
        <f>IF(Output[[#This Row],[Index]]=1,Output[[#This Row],[Droit Utilisation]],P956)</f>
        <v>167640.24609733647</v>
      </c>
      <c r="N957" s="15">
        <f>Output[[#This Row],[Capital Debut Period]]*Output[[#This Row],[Tx_interet_M]]</f>
        <v>419.10061524334117</v>
      </c>
      <c r="O957" s="15">
        <f>Output[[#This Row],[Mensualité initial]]-Output[[#This Row],[Interet]]</f>
        <v>5580.8993847566589</v>
      </c>
      <c r="P957" s="15">
        <f>Output[[#This Row],[Capital Debut Period]]-Output[[#This Row],[Paiement Principal]]</f>
        <v>162059.34671257981</v>
      </c>
      <c r="Q957" s="15">
        <f>Output[[#This Row],[Droit Utilisation]]/Output[[#This Row],[Duree_Mois]]</f>
        <v>5565.2357686805326</v>
      </c>
    </row>
    <row r="958" spans="1:17" x14ac:dyDescent="0.25">
      <c r="A958" s="11" t="s">
        <v>16</v>
      </c>
      <c r="B958" s="12">
        <v>43831</v>
      </c>
      <c r="C958">
        <v>6000</v>
      </c>
      <c r="D958">
        <v>5</v>
      </c>
      <c r="E958">
        <v>0.03</v>
      </c>
      <c r="F958">
        <v>60</v>
      </c>
      <c r="G958" s="13">
        <v>44834</v>
      </c>
      <c r="H958">
        <v>957</v>
      </c>
      <c r="I958">
        <v>33</v>
      </c>
      <c r="J958">
        <v>2.5000000000000001E-3</v>
      </c>
      <c r="K958" s="14">
        <v>5525.4374606893225</v>
      </c>
      <c r="L958" s="14">
        <v>333914.14612083195</v>
      </c>
      <c r="M958" s="36">
        <f>IF(Output[[#This Row],[Index]]=1,Output[[#This Row],[Droit Utilisation]],P957)</f>
        <v>162059.34671257981</v>
      </c>
      <c r="N958" s="15">
        <f>Output[[#This Row],[Capital Debut Period]]*Output[[#This Row],[Tx_interet_M]]</f>
        <v>405.14836678144951</v>
      </c>
      <c r="O958" s="15">
        <f>Output[[#This Row],[Mensualité initial]]-Output[[#This Row],[Interet]]</f>
        <v>5594.8516332185509</v>
      </c>
      <c r="P958" s="15">
        <f>Output[[#This Row],[Capital Debut Period]]-Output[[#This Row],[Paiement Principal]]</f>
        <v>156464.49507936125</v>
      </c>
      <c r="Q958" s="15">
        <f>Output[[#This Row],[Droit Utilisation]]/Output[[#This Row],[Duree_Mois]]</f>
        <v>5565.2357686805326</v>
      </c>
    </row>
    <row r="959" spans="1:17" x14ac:dyDescent="0.25">
      <c r="A959" s="11" t="s">
        <v>16</v>
      </c>
      <c r="B959" s="12">
        <v>43831</v>
      </c>
      <c r="C959">
        <v>6000</v>
      </c>
      <c r="D959">
        <v>5</v>
      </c>
      <c r="E959">
        <v>0.03</v>
      </c>
      <c r="F959">
        <v>60</v>
      </c>
      <c r="G959" s="13">
        <v>44865</v>
      </c>
      <c r="H959">
        <v>958</v>
      </c>
      <c r="I959">
        <v>34</v>
      </c>
      <c r="J959">
        <v>2.5000000000000001E-3</v>
      </c>
      <c r="K959" s="14">
        <v>5511.6583149020671</v>
      </c>
      <c r="L959" s="14">
        <v>333914.14612083195</v>
      </c>
      <c r="M959" s="36">
        <f>IF(Output[[#This Row],[Index]]=1,Output[[#This Row],[Droit Utilisation]],P958)</f>
        <v>156464.49507936125</v>
      </c>
      <c r="N959" s="15">
        <f>Output[[#This Row],[Capital Debut Period]]*Output[[#This Row],[Tx_interet_M]]</f>
        <v>391.16123769840311</v>
      </c>
      <c r="O959" s="15">
        <f>Output[[#This Row],[Mensualité initial]]-Output[[#This Row],[Interet]]</f>
        <v>5608.8387623015969</v>
      </c>
      <c r="P959" s="15">
        <f>Output[[#This Row],[Capital Debut Period]]-Output[[#This Row],[Paiement Principal]]</f>
        <v>150855.65631705965</v>
      </c>
      <c r="Q959" s="15">
        <f>Output[[#This Row],[Droit Utilisation]]/Output[[#This Row],[Duree_Mois]]</f>
        <v>5565.2357686805326</v>
      </c>
    </row>
    <row r="960" spans="1:17" x14ac:dyDescent="0.25">
      <c r="A960" s="11" t="s">
        <v>16</v>
      </c>
      <c r="B960" s="12">
        <v>43831</v>
      </c>
      <c r="C960">
        <v>6000</v>
      </c>
      <c r="D960">
        <v>5</v>
      </c>
      <c r="E960">
        <v>0.03</v>
      </c>
      <c r="F960">
        <v>60</v>
      </c>
      <c r="G960" s="13">
        <v>44895</v>
      </c>
      <c r="H960">
        <v>959</v>
      </c>
      <c r="I960">
        <v>35</v>
      </c>
      <c r="J960">
        <v>2.5000000000000001E-3</v>
      </c>
      <c r="K960" s="14">
        <v>5497.9135310743814</v>
      </c>
      <c r="L960" s="14">
        <v>333914.14612083195</v>
      </c>
      <c r="M960" s="36">
        <f>IF(Output[[#This Row],[Index]]=1,Output[[#This Row],[Droit Utilisation]],P959)</f>
        <v>150855.65631705965</v>
      </c>
      <c r="N960" s="15">
        <f>Output[[#This Row],[Capital Debut Period]]*Output[[#This Row],[Tx_interet_M]]</f>
        <v>377.13914079264913</v>
      </c>
      <c r="O960" s="15">
        <f>Output[[#This Row],[Mensualité initial]]-Output[[#This Row],[Interet]]</f>
        <v>5622.8608592073506</v>
      </c>
      <c r="P960" s="15">
        <f>Output[[#This Row],[Capital Debut Period]]-Output[[#This Row],[Paiement Principal]]</f>
        <v>145232.79545785231</v>
      </c>
      <c r="Q960" s="15">
        <f>Output[[#This Row],[Droit Utilisation]]/Output[[#This Row],[Duree_Mois]]</f>
        <v>5565.2357686805326</v>
      </c>
    </row>
    <row r="961" spans="1:17" x14ac:dyDescent="0.25">
      <c r="A961" s="11" t="s">
        <v>16</v>
      </c>
      <c r="B961" s="12">
        <v>43831</v>
      </c>
      <c r="C961">
        <v>6000</v>
      </c>
      <c r="D961">
        <v>5</v>
      </c>
      <c r="E961">
        <v>0.03</v>
      </c>
      <c r="F961">
        <v>60</v>
      </c>
      <c r="G961" s="13">
        <v>44926</v>
      </c>
      <c r="H961">
        <v>960</v>
      </c>
      <c r="I961">
        <v>36</v>
      </c>
      <c r="J961">
        <v>2.5000000000000001E-3</v>
      </c>
      <c r="K961" s="14">
        <v>5484.2030235155926</v>
      </c>
      <c r="L961" s="14">
        <v>333914.14612083195</v>
      </c>
      <c r="M961" s="36">
        <f>IF(Output[[#This Row],[Index]]=1,Output[[#This Row],[Droit Utilisation]],P960)</f>
        <v>145232.79545785231</v>
      </c>
      <c r="N961" s="15">
        <f>Output[[#This Row],[Capital Debut Period]]*Output[[#This Row],[Tx_interet_M]]</f>
        <v>363.08198864463077</v>
      </c>
      <c r="O961" s="15">
        <f>Output[[#This Row],[Mensualité initial]]-Output[[#This Row],[Interet]]</f>
        <v>5636.9180113553693</v>
      </c>
      <c r="P961" s="15">
        <f>Output[[#This Row],[Capital Debut Period]]-Output[[#This Row],[Paiement Principal]]</f>
        <v>139595.87744649695</v>
      </c>
      <c r="Q961" s="15">
        <f>Output[[#This Row],[Droit Utilisation]]/Output[[#This Row],[Duree_Mois]]</f>
        <v>5565.2357686805326</v>
      </c>
    </row>
    <row r="962" spans="1:17" x14ac:dyDescent="0.25">
      <c r="A962" s="11" t="s">
        <v>16</v>
      </c>
      <c r="B962" s="12">
        <v>43831</v>
      </c>
      <c r="C962">
        <v>6000</v>
      </c>
      <c r="D962">
        <v>5</v>
      </c>
      <c r="E962">
        <v>0.03</v>
      </c>
      <c r="F962">
        <v>60</v>
      </c>
      <c r="G962" s="13">
        <v>44957</v>
      </c>
      <c r="H962">
        <v>961</v>
      </c>
      <c r="I962">
        <v>37</v>
      </c>
      <c r="J962">
        <v>2.5000000000000001E-3</v>
      </c>
      <c r="K962" s="14">
        <v>5470.5267067487212</v>
      </c>
      <c r="L962" s="14">
        <v>333914.14612083195</v>
      </c>
      <c r="M962" s="36">
        <f>IF(Output[[#This Row],[Index]]=1,Output[[#This Row],[Droit Utilisation]],P961)</f>
        <v>139595.87744649695</v>
      </c>
      <c r="N962" s="15">
        <f>Output[[#This Row],[Capital Debut Period]]*Output[[#This Row],[Tx_interet_M]]</f>
        <v>348.98969361624239</v>
      </c>
      <c r="O962" s="15">
        <f>Output[[#This Row],[Mensualité initial]]-Output[[#This Row],[Interet]]</f>
        <v>5651.0103063837578</v>
      </c>
      <c r="P962" s="15">
        <f>Output[[#This Row],[Capital Debut Period]]-Output[[#This Row],[Paiement Principal]]</f>
        <v>133944.8671401132</v>
      </c>
      <c r="Q962" s="15">
        <f>Output[[#This Row],[Droit Utilisation]]/Output[[#This Row],[Duree_Mois]]</f>
        <v>5565.2357686805326</v>
      </c>
    </row>
    <row r="963" spans="1:17" x14ac:dyDescent="0.25">
      <c r="A963" s="11" t="s">
        <v>16</v>
      </c>
      <c r="B963" s="12">
        <v>43831</v>
      </c>
      <c r="C963">
        <v>6000</v>
      </c>
      <c r="D963">
        <v>5</v>
      </c>
      <c r="E963">
        <v>0.03</v>
      </c>
      <c r="F963">
        <v>60</v>
      </c>
      <c r="G963" s="13">
        <v>44985</v>
      </c>
      <c r="H963">
        <v>962</v>
      </c>
      <c r="I963">
        <v>38</v>
      </c>
      <c r="J963">
        <v>2.5000000000000001E-3</v>
      </c>
      <c r="K963" s="14">
        <v>5456.8844955099466</v>
      </c>
      <c r="L963" s="14">
        <v>333914.14612083195</v>
      </c>
      <c r="M963" s="36">
        <f>IF(Output[[#This Row],[Index]]=1,Output[[#This Row],[Droit Utilisation]],P962)</f>
        <v>133944.8671401132</v>
      </c>
      <c r="N963" s="15">
        <f>Output[[#This Row],[Capital Debut Period]]*Output[[#This Row],[Tx_interet_M]]</f>
        <v>334.86216785028302</v>
      </c>
      <c r="O963" s="15">
        <f>Output[[#This Row],[Mensualité initial]]-Output[[#This Row],[Interet]]</f>
        <v>5665.1378321497168</v>
      </c>
      <c r="P963" s="15">
        <f>Output[[#This Row],[Capital Debut Period]]-Output[[#This Row],[Paiement Principal]]</f>
        <v>128279.72930796348</v>
      </c>
      <c r="Q963" s="15">
        <f>Output[[#This Row],[Droit Utilisation]]/Output[[#This Row],[Duree_Mois]]</f>
        <v>5565.2357686805326</v>
      </c>
    </row>
    <row r="964" spans="1:17" x14ac:dyDescent="0.25">
      <c r="A964" s="11" t="s">
        <v>16</v>
      </c>
      <c r="B964" s="12">
        <v>43831</v>
      </c>
      <c r="C964">
        <v>6000</v>
      </c>
      <c r="D964">
        <v>5</v>
      </c>
      <c r="E964">
        <v>0.03</v>
      </c>
      <c r="F964">
        <v>60</v>
      </c>
      <c r="G964" s="13">
        <v>45016</v>
      </c>
      <c r="H964">
        <v>963</v>
      </c>
      <c r="I964">
        <v>39</v>
      </c>
      <c r="J964">
        <v>2.5000000000000001E-3</v>
      </c>
      <c r="K964" s="14">
        <v>5443.2763047480767</v>
      </c>
      <c r="L964" s="14">
        <v>333914.14612083195</v>
      </c>
      <c r="M964" s="36">
        <f>IF(Output[[#This Row],[Index]]=1,Output[[#This Row],[Droit Utilisation]],P963)</f>
        <v>128279.72930796348</v>
      </c>
      <c r="N964" s="15">
        <f>Output[[#This Row],[Capital Debut Period]]*Output[[#This Row],[Tx_interet_M]]</f>
        <v>320.69932326990869</v>
      </c>
      <c r="O964" s="15">
        <f>Output[[#This Row],[Mensualité initial]]-Output[[#This Row],[Interet]]</f>
        <v>5679.3006767300913</v>
      </c>
      <c r="P964" s="15">
        <f>Output[[#This Row],[Capital Debut Period]]-Output[[#This Row],[Paiement Principal]]</f>
        <v>122600.42863123339</v>
      </c>
      <c r="Q964" s="15">
        <f>Output[[#This Row],[Droit Utilisation]]/Output[[#This Row],[Duree_Mois]]</f>
        <v>5565.2357686805326</v>
      </c>
    </row>
    <row r="965" spans="1:17" x14ac:dyDescent="0.25">
      <c r="A965" s="11" t="s">
        <v>16</v>
      </c>
      <c r="B965" s="12">
        <v>43831</v>
      </c>
      <c r="C965">
        <v>6000</v>
      </c>
      <c r="D965">
        <v>5</v>
      </c>
      <c r="E965">
        <v>0.03</v>
      </c>
      <c r="F965">
        <v>60</v>
      </c>
      <c r="G965" s="13">
        <v>45046</v>
      </c>
      <c r="H965">
        <v>964</v>
      </c>
      <c r="I965">
        <v>40</v>
      </c>
      <c r="J965">
        <v>2.5000000000000001E-3</v>
      </c>
      <c r="K965" s="14">
        <v>5429.7020496240175</v>
      </c>
      <c r="L965" s="14">
        <v>333914.14612083195</v>
      </c>
      <c r="M965" s="36">
        <f>IF(Output[[#This Row],[Index]]=1,Output[[#This Row],[Droit Utilisation]],P964)</f>
        <v>122600.42863123339</v>
      </c>
      <c r="N965" s="15">
        <f>Output[[#This Row],[Capital Debut Period]]*Output[[#This Row],[Tx_interet_M]]</f>
        <v>306.5010715780835</v>
      </c>
      <c r="O965" s="15">
        <f>Output[[#This Row],[Mensualité initial]]-Output[[#This Row],[Interet]]</f>
        <v>5693.4989284219164</v>
      </c>
      <c r="P965" s="15">
        <f>Output[[#This Row],[Capital Debut Period]]-Output[[#This Row],[Paiement Principal]]</f>
        <v>116906.92970281147</v>
      </c>
      <c r="Q965" s="15">
        <f>Output[[#This Row],[Droit Utilisation]]/Output[[#This Row],[Duree_Mois]]</f>
        <v>5565.2357686805326</v>
      </c>
    </row>
    <row r="966" spans="1:17" x14ac:dyDescent="0.25">
      <c r="A966" s="11" t="s">
        <v>16</v>
      </c>
      <c r="B966" s="12">
        <v>43831</v>
      </c>
      <c r="C966">
        <v>6000</v>
      </c>
      <c r="D966">
        <v>5</v>
      </c>
      <c r="E966">
        <v>0.03</v>
      </c>
      <c r="F966">
        <v>60</v>
      </c>
      <c r="G966" s="13">
        <v>45077</v>
      </c>
      <c r="H966">
        <v>965</v>
      </c>
      <c r="I966">
        <v>41</v>
      </c>
      <c r="J966">
        <v>2.5000000000000001E-3</v>
      </c>
      <c r="K966" s="14">
        <v>5416.1616455102412</v>
      </c>
      <c r="L966" s="14">
        <v>333914.14612083195</v>
      </c>
      <c r="M966" s="36">
        <f>IF(Output[[#This Row],[Index]]=1,Output[[#This Row],[Droit Utilisation]],P965)</f>
        <v>116906.92970281147</v>
      </c>
      <c r="N966" s="15">
        <f>Output[[#This Row],[Capital Debut Period]]*Output[[#This Row],[Tx_interet_M]]</f>
        <v>292.26732425702869</v>
      </c>
      <c r="O966" s="15">
        <f>Output[[#This Row],[Mensualité initial]]-Output[[#This Row],[Interet]]</f>
        <v>5707.732675742971</v>
      </c>
      <c r="P966" s="15">
        <f>Output[[#This Row],[Capital Debut Period]]-Output[[#This Row],[Paiement Principal]]</f>
        <v>111199.1970270685</v>
      </c>
      <c r="Q966" s="15">
        <f>Output[[#This Row],[Droit Utilisation]]/Output[[#This Row],[Duree_Mois]]</f>
        <v>5565.2357686805326</v>
      </c>
    </row>
    <row r="967" spans="1:17" x14ac:dyDescent="0.25">
      <c r="A967" s="11" t="s">
        <v>16</v>
      </c>
      <c r="B967" s="12">
        <v>43831</v>
      </c>
      <c r="C967">
        <v>6000</v>
      </c>
      <c r="D967">
        <v>5</v>
      </c>
      <c r="E967">
        <v>0.03</v>
      </c>
      <c r="F967">
        <v>60</v>
      </c>
      <c r="G967" s="13">
        <v>45107</v>
      </c>
      <c r="H967">
        <v>966</v>
      </c>
      <c r="I967">
        <v>42</v>
      </c>
      <c r="J967">
        <v>2.5000000000000001E-3</v>
      </c>
      <c r="K967" s="14">
        <v>5402.6550079902663</v>
      </c>
      <c r="L967" s="14">
        <v>333914.14612083195</v>
      </c>
      <c r="M967" s="36">
        <f>IF(Output[[#This Row],[Index]]=1,Output[[#This Row],[Droit Utilisation]],P966)</f>
        <v>111199.1970270685</v>
      </c>
      <c r="N967" s="15">
        <f>Output[[#This Row],[Capital Debut Period]]*Output[[#This Row],[Tx_interet_M]]</f>
        <v>277.99799256767125</v>
      </c>
      <c r="O967" s="15">
        <f>Output[[#This Row],[Mensualité initial]]-Output[[#This Row],[Interet]]</f>
        <v>5722.0020074323284</v>
      </c>
      <c r="P967" s="15">
        <f>Output[[#This Row],[Capital Debut Period]]-Output[[#This Row],[Paiement Principal]]</f>
        <v>105477.19501963617</v>
      </c>
      <c r="Q967" s="15">
        <f>Output[[#This Row],[Droit Utilisation]]/Output[[#This Row],[Duree_Mois]]</f>
        <v>5565.2357686805326</v>
      </c>
    </row>
    <row r="968" spans="1:17" x14ac:dyDescent="0.25">
      <c r="A968" s="11" t="s">
        <v>16</v>
      </c>
      <c r="B968" s="12">
        <v>43831</v>
      </c>
      <c r="C968">
        <v>6000</v>
      </c>
      <c r="D968">
        <v>5</v>
      </c>
      <c r="E968">
        <v>0.03</v>
      </c>
      <c r="F968">
        <v>60</v>
      </c>
      <c r="G968" s="13">
        <v>45138</v>
      </c>
      <c r="H968">
        <v>967</v>
      </c>
      <c r="I968">
        <v>43</v>
      </c>
      <c r="J968">
        <v>2.5000000000000001E-3</v>
      </c>
      <c r="K968" s="14">
        <v>5389.1820528581211</v>
      </c>
      <c r="L968" s="14">
        <v>333914.14612083195</v>
      </c>
      <c r="M968" s="36">
        <f>IF(Output[[#This Row],[Index]]=1,Output[[#This Row],[Droit Utilisation]],P967)</f>
        <v>105477.19501963617</v>
      </c>
      <c r="N968" s="15">
        <f>Output[[#This Row],[Capital Debut Period]]*Output[[#This Row],[Tx_interet_M]]</f>
        <v>263.69298754909045</v>
      </c>
      <c r="O968" s="15">
        <f>Output[[#This Row],[Mensualité initial]]-Output[[#This Row],[Interet]]</f>
        <v>5736.3070124509095</v>
      </c>
      <c r="P968" s="15">
        <f>Output[[#This Row],[Capital Debut Period]]-Output[[#This Row],[Paiement Principal]]</f>
        <v>99740.888007185262</v>
      </c>
      <c r="Q968" s="15">
        <f>Output[[#This Row],[Droit Utilisation]]/Output[[#This Row],[Duree_Mois]]</f>
        <v>5565.2357686805326</v>
      </c>
    </row>
    <row r="969" spans="1:17" x14ac:dyDescent="0.25">
      <c r="A969" s="11" t="s">
        <v>16</v>
      </c>
      <c r="B969" s="12">
        <v>43831</v>
      </c>
      <c r="C969">
        <v>6000</v>
      </c>
      <c r="D969">
        <v>5</v>
      </c>
      <c r="E969">
        <v>0.03</v>
      </c>
      <c r="F969">
        <v>60</v>
      </c>
      <c r="G969" s="13">
        <v>45169</v>
      </c>
      <c r="H969">
        <v>968</v>
      </c>
      <c r="I969">
        <v>44</v>
      </c>
      <c r="J969">
        <v>2.5000000000000001E-3</v>
      </c>
      <c r="K969" s="14">
        <v>5375.7426961178271</v>
      </c>
      <c r="L969" s="14">
        <v>333914.14612083195</v>
      </c>
      <c r="M969" s="36">
        <f>IF(Output[[#This Row],[Index]]=1,Output[[#This Row],[Droit Utilisation]],P968)</f>
        <v>99740.888007185262</v>
      </c>
      <c r="N969" s="15">
        <f>Output[[#This Row],[Capital Debut Period]]*Output[[#This Row],[Tx_interet_M]]</f>
        <v>249.35222001796316</v>
      </c>
      <c r="O969" s="15">
        <f>Output[[#This Row],[Mensualité initial]]-Output[[#This Row],[Interet]]</f>
        <v>5750.6477799820368</v>
      </c>
      <c r="P969" s="15">
        <f>Output[[#This Row],[Capital Debut Period]]-Output[[#This Row],[Paiement Principal]]</f>
        <v>93990.24022720322</v>
      </c>
      <c r="Q969" s="15">
        <f>Output[[#This Row],[Droit Utilisation]]/Output[[#This Row],[Duree_Mois]]</f>
        <v>5565.2357686805326</v>
      </c>
    </row>
    <row r="970" spans="1:17" x14ac:dyDescent="0.25">
      <c r="A970" s="11" t="s">
        <v>16</v>
      </c>
      <c r="B970" s="12">
        <v>43831</v>
      </c>
      <c r="C970">
        <v>6000</v>
      </c>
      <c r="D970">
        <v>5</v>
      </c>
      <c r="E970">
        <v>0.03</v>
      </c>
      <c r="F970">
        <v>60</v>
      </c>
      <c r="G970" s="13">
        <v>45199</v>
      </c>
      <c r="H970">
        <v>969</v>
      </c>
      <c r="I970">
        <v>45</v>
      </c>
      <c r="J970">
        <v>2.5000000000000001E-3</v>
      </c>
      <c r="K970" s="14">
        <v>5362.3368539828707</v>
      </c>
      <c r="L970" s="14">
        <v>333914.14612083195</v>
      </c>
      <c r="M970" s="36">
        <f>IF(Output[[#This Row],[Index]]=1,Output[[#This Row],[Droit Utilisation]],P969)</f>
        <v>93990.24022720322</v>
      </c>
      <c r="N970" s="15">
        <f>Output[[#This Row],[Capital Debut Period]]*Output[[#This Row],[Tx_interet_M]]</f>
        <v>234.97560056800805</v>
      </c>
      <c r="O970" s="15">
        <f>Output[[#This Row],[Mensualité initial]]-Output[[#This Row],[Interet]]</f>
        <v>5765.0243994319917</v>
      </c>
      <c r="P970" s="15">
        <f>Output[[#This Row],[Capital Debut Period]]-Output[[#This Row],[Paiement Principal]]</f>
        <v>88225.21582777123</v>
      </c>
      <c r="Q970" s="15">
        <f>Output[[#This Row],[Droit Utilisation]]/Output[[#This Row],[Duree_Mois]]</f>
        <v>5565.2357686805326</v>
      </c>
    </row>
    <row r="971" spans="1:17" x14ac:dyDescent="0.25">
      <c r="A971" s="11" t="s">
        <v>16</v>
      </c>
      <c r="B971" s="12">
        <v>43831</v>
      </c>
      <c r="C971">
        <v>6000</v>
      </c>
      <c r="D971">
        <v>5</v>
      </c>
      <c r="E971">
        <v>0.03</v>
      </c>
      <c r="F971">
        <v>60</v>
      </c>
      <c r="G971" s="13">
        <v>45230</v>
      </c>
      <c r="H971">
        <v>970</v>
      </c>
      <c r="I971">
        <v>46</v>
      </c>
      <c r="J971">
        <v>2.5000000000000001E-3</v>
      </c>
      <c r="K971" s="14">
        <v>5348.9644428756819</v>
      </c>
      <c r="L971" s="14">
        <v>333914.14612083195</v>
      </c>
      <c r="M971" s="36">
        <f>IF(Output[[#This Row],[Index]]=1,Output[[#This Row],[Droit Utilisation]],P970)</f>
        <v>88225.21582777123</v>
      </c>
      <c r="N971" s="15">
        <f>Output[[#This Row],[Capital Debut Period]]*Output[[#This Row],[Tx_interet_M]]</f>
        <v>220.56303956942807</v>
      </c>
      <c r="O971" s="15">
        <f>Output[[#This Row],[Mensualité initial]]-Output[[#This Row],[Interet]]</f>
        <v>5779.4369604305721</v>
      </c>
      <c r="P971" s="15">
        <f>Output[[#This Row],[Capital Debut Period]]-Output[[#This Row],[Paiement Principal]]</f>
        <v>82445.778867340661</v>
      </c>
      <c r="Q971" s="15">
        <f>Output[[#This Row],[Droit Utilisation]]/Output[[#This Row],[Duree_Mois]]</f>
        <v>5565.2357686805326</v>
      </c>
    </row>
    <row r="972" spans="1:17" x14ac:dyDescent="0.25">
      <c r="A972" s="11" t="s">
        <v>16</v>
      </c>
      <c r="B972" s="12">
        <v>43831</v>
      </c>
      <c r="C972">
        <v>6000</v>
      </c>
      <c r="D972">
        <v>5</v>
      </c>
      <c r="E972">
        <v>0.03</v>
      </c>
      <c r="F972">
        <v>60</v>
      </c>
      <c r="G972" s="13">
        <v>45260</v>
      </c>
      <c r="H972">
        <v>971</v>
      </c>
      <c r="I972">
        <v>47</v>
      </c>
      <c r="J972">
        <v>2.5000000000000001E-3</v>
      </c>
      <c r="K972" s="14">
        <v>5335.6253794271142</v>
      </c>
      <c r="L972" s="14">
        <v>333914.14612083195</v>
      </c>
      <c r="M972" s="36">
        <f>IF(Output[[#This Row],[Index]]=1,Output[[#This Row],[Droit Utilisation]],P971)</f>
        <v>82445.778867340661</v>
      </c>
      <c r="N972" s="15">
        <f>Output[[#This Row],[Capital Debut Period]]*Output[[#This Row],[Tx_interet_M]]</f>
        <v>206.11444716835166</v>
      </c>
      <c r="O972" s="15">
        <f>Output[[#This Row],[Mensualité initial]]-Output[[#This Row],[Interet]]</f>
        <v>5793.8855528316481</v>
      </c>
      <c r="P972" s="15">
        <f>Output[[#This Row],[Capital Debut Period]]-Output[[#This Row],[Paiement Principal]]</f>
        <v>76651.893314509012</v>
      </c>
      <c r="Q972" s="15">
        <f>Output[[#This Row],[Droit Utilisation]]/Output[[#This Row],[Duree_Mois]]</f>
        <v>5565.2357686805326</v>
      </c>
    </row>
    <row r="973" spans="1:17" x14ac:dyDescent="0.25">
      <c r="A973" s="11" t="s">
        <v>16</v>
      </c>
      <c r="B973" s="12">
        <v>43831</v>
      </c>
      <c r="C973">
        <v>6000</v>
      </c>
      <c r="D973">
        <v>5</v>
      </c>
      <c r="E973">
        <v>0.03</v>
      </c>
      <c r="F973">
        <v>60</v>
      </c>
      <c r="G973" s="13">
        <v>45291</v>
      </c>
      <c r="H973">
        <v>972</v>
      </c>
      <c r="I973">
        <v>48</v>
      </c>
      <c r="J973">
        <v>2.5000000000000001E-3</v>
      </c>
      <c r="K973" s="14">
        <v>5322.3195804759243</v>
      </c>
      <c r="L973" s="14">
        <v>333914.14612083195</v>
      </c>
      <c r="M973" s="36">
        <f>IF(Output[[#This Row],[Index]]=1,Output[[#This Row],[Droit Utilisation]],P972)</f>
        <v>76651.893314509012</v>
      </c>
      <c r="N973" s="15">
        <f>Output[[#This Row],[Capital Debut Period]]*Output[[#This Row],[Tx_interet_M]]</f>
        <v>191.62973328627254</v>
      </c>
      <c r="O973" s="15">
        <f>Output[[#This Row],[Mensualité initial]]-Output[[#This Row],[Interet]]</f>
        <v>5808.3702667137277</v>
      </c>
      <c r="P973" s="15">
        <f>Output[[#This Row],[Capital Debut Period]]-Output[[#This Row],[Paiement Principal]]</f>
        <v>70843.523047795286</v>
      </c>
      <c r="Q973" s="15">
        <f>Output[[#This Row],[Droit Utilisation]]/Output[[#This Row],[Duree_Mois]]</f>
        <v>5565.2357686805326</v>
      </c>
    </row>
    <row r="974" spans="1:17" x14ac:dyDescent="0.25">
      <c r="A974" s="11" t="s">
        <v>16</v>
      </c>
      <c r="B974" s="12">
        <v>43831</v>
      </c>
      <c r="C974">
        <v>6000</v>
      </c>
      <c r="D974">
        <v>5</v>
      </c>
      <c r="E974">
        <v>0.03</v>
      </c>
      <c r="F974">
        <v>60</v>
      </c>
      <c r="G974" s="13">
        <v>45322</v>
      </c>
      <c r="H974">
        <v>973</v>
      </c>
      <c r="I974">
        <v>49</v>
      </c>
      <c r="J974">
        <v>2.5000000000000001E-3</v>
      </c>
      <c r="K974" s="14">
        <v>5309.0469630682537</v>
      </c>
      <c r="L974" s="14">
        <v>333914.14612083195</v>
      </c>
      <c r="M974" s="36">
        <f>IF(Output[[#This Row],[Index]]=1,Output[[#This Row],[Droit Utilisation]],P973)</f>
        <v>70843.523047795286</v>
      </c>
      <c r="N974" s="15">
        <f>Output[[#This Row],[Capital Debut Period]]*Output[[#This Row],[Tx_interet_M]]</f>
        <v>177.10880761948823</v>
      </c>
      <c r="O974" s="15">
        <f>Output[[#This Row],[Mensualité initial]]-Output[[#This Row],[Interet]]</f>
        <v>5822.8911923805117</v>
      </c>
      <c r="P974" s="15">
        <f>Output[[#This Row],[Capital Debut Period]]-Output[[#This Row],[Paiement Principal]]</f>
        <v>65020.631855414773</v>
      </c>
      <c r="Q974" s="15">
        <f>Output[[#This Row],[Droit Utilisation]]/Output[[#This Row],[Duree_Mois]]</f>
        <v>5565.2357686805326</v>
      </c>
    </row>
    <row r="975" spans="1:17" x14ac:dyDescent="0.25">
      <c r="A975" s="11" t="s">
        <v>16</v>
      </c>
      <c r="B975" s="12">
        <v>43831</v>
      </c>
      <c r="C975">
        <v>6000</v>
      </c>
      <c r="D975">
        <v>5</v>
      </c>
      <c r="E975">
        <v>0.03</v>
      </c>
      <c r="F975">
        <v>60</v>
      </c>
      <c r="G975" s="13">
        <v>45351</v>
      </c>
      <c r="H975">
        <v>974</v>
      </c>
      <c r="I975">
        <v>50</v>
      </c>
      <c r="J975">
        <v>2.5000000000000001E-3</v>
      </c>
      <c r="K975" s="14">
        <v>5295.8074444571121</v>
      </c>
      <c r="L975" s="14">
        <v>333914.14612083195</v>
      </c>
      <c r="M975" s="36">
        <f>IF(Output[[#This Row],[Index]]=1,Output[[#This Row],[Droit Utilisation]],P974)</f>
        <v>65020.631855414773</v>
      </c>
      <c r="N975" s="15">
        <f>Output[[#This Row],[Capital Debut Period]]*Output[[#This Row],[Tx_interet_M]]</f>
        <v>162.55157963853694</v>
      </c>
      <c r="O975" s="15">
        <f>Output[[#This Row],[Mensualité initial]]-Output[[#This Row],[Interet]]</f>
        <v>5837.4484203614629</v>
      </c>
      <c r="P975" s="15">
        <f>Output[[#This Row],[Capital Debut Period]]-Output[[#This Row],[Paiement Principal]]</f>
        <v>59183.18343505331</v>
      </c>
      <c r="Q975" s="15">
        <f>Output[[#This Row],[Droit Utilisation]]/Output[[#This Row],[Duree_Mois]]</f>
        <v>5565.2357686805326</v>
      </c>
    </row>
    <row r="976" spans="1:17" x14ac:dyDescent="0.25">
      <c r="A976" s="11" t="s">
        <v>16</v>
      </c>
      <c r="B976" s="12">
        <v>43831</v>
      </c>
      <c r="C976">
        <v>6000</v>
      </c>
      <c r="D976">
        <v>5</v>
      </c>
      <c r="E976">
        <v>0.03</v>
      </c>
      <c r="F976">
        <v>60</v>
      </c>
      <c r="G976" s="13">
        <v>45382</v>
      </c>
      <c r="H976">
        <v>975</v>
      </c>
      <c r="I976">
        <v>51</v>
      </c>
      <c r="J976">
        <v>2.5000000000000001E-3</v>
      </c>
      <c r="K976" s="14">
        <v>5282.6009421018571</v>
      </c>
      <c r="L976" s="14">
        <v>333914.14612083195</v>
      </c>
      <c r="M976" s="36">
        <f>IF(Output[[#This Row],[Index]]=1,Output[[#This Row],[Droit Utilisation]],P975)</f>
        <v>59183.18343505331</v>
      </c>
      <c r="N976" s="15">
        <f>Output[[#This Row],[Capital Debut Period]]*Output[[#This Row],[Tx_interet_M]]</f>
        <v>147.95795858763327</v>
      </c>
      <c r="O976" s="15">
        <f>Output[[#This Row],[Mensualité initial]]-Output[[#This Row],[Interet]]</f>
        <v>5852.0420414123664</v>
      </c>
      <c r="P976" s="15">
        <f>Output[[#This Row],[Capital Debut Period]]-Output[[#This Row],[Paiement Principal]]</f>
        <v>53331.141393640944</v>
      </c>
      <c r="Q976" s="15">
        <f>Output[[#This Row],[Droit Utilisation]]/Output[[#This Row],[Duree_Mois]]</f>
        <v>5565.2357686805326</v>
      </c>
    </row>
    <row r="977" spans="1:17" x14ac:dyDescent="0.25">
      <c r="A977" s="11" t="s">
        <v>16</v>
      </c>
      <c r="B977" s="12">
        <v>43831</v>
      </c>
      <c r="C977">
        <v>6000</v>
      </c>
      <c r="D977">
        <v>5</v>
      </c>
      <c r="E977">
        <v>0.03</v>
      </c>
      <c r="F977">
        <v>60</v>
      </c>
      <c r="G977" s="13">
        <v>45412</v>
      </c>
      <c r="H977">
        <v>976</v>
      </c>
      <c r="I977">
        <v>52</v>
      </c>
      <c r="J977">
        <v>2.5000000000000001E-3</v>
      </c>
      <c r="K977" s="14">
        <v>5269.4273736676878</v>
      </c>
      <c r="L977" s="14">
        <v>333914.14612083195</v>
      </c>
      <c r="M977" s="36">
        <f>IF(Output[[#This Row],[Index]]=1,Output[[#This Row],[Droit Utilisation]],P976)</f>
        <v>53331.141393640944</v>
      </c>
      <c r="N977" s="15">
        <f>Output[[#This Row],[Capital Debut Period]]*Output[[#This Row],[Tx_interet_M]]</f>
        <v>133.32785348410238</v>
      </c>
      <c r="O977" s="15">
        <f>Output[[#This Row],[Mensualité initial]]-Output[[#This Row],[Interet]]</f>
        <v>5866.672146515898</v>
      </c>
      <c r="P977" s="15">
        <f>Output[[#This Row],[Capital Debut Period]]-Output[[#This Row],[Paiement Principal]]</f>
        <v>47464.469247125046</v>
      </c>
      <c r="Q977" s="15">
        <f>Output[[#This Row],[Droit Utilisation]]/Output[[#This Row],[Duree_Mois]]</f>
        <v>5565.2357686805326</v>
      </c>
    </row>
    <row r="978" spans="1:17" x14ac:dyDescent="0.25">
      <c r="A978" s="11" t="s">
        <v>16</v>
      </c>
      <c r="B978" s="12">
        <v>43831</v>
      </c>
      <c r="C978">
        <v>6000</v>
      </c>
      <c r="D978">
        <v>5</v>
      </c>
      <c r="E978">
        <v>0.03</v>
      </c>
      <c r="F978">
        <v>60</v>
      </c>
      <c r="G978" s="13">
        <v>45443</v>
      </c>
      <c r="H978">
        <v>977</v>
      </c>
      <c r="I978">
        <v>53</v>
      </c>
      <c r="J978">
        <v>2.5000000000000001E-3</v>
      </c>
      <c r="K978" s="14">
        <v>5256.2866570251254</v>
      </c>
      <c r="L978" s="14">
        <v>333914.14612083195</v>
      </c>
      <c r="M978" s="36">
        <f>IF(Output[[#This Row],[Index]]=1,Output[[#This Row],[Droit Utilisation]],P977)</f>
        <v>47464.469247125046</v>
      </c>
      <c r="N978" s="15">
        <f>Output[[#This Row],[Capital Debut Period]]*Output[[#This Row],[Tx_interet_M]]</f>
        <v>118.66117311781261</v>
      </c>
      <c r="O978" s="15">
        <f>Output[[#This Row],[Mensualité initial]]-Output[[#This Row],[Interet]]</f>
        <v>5881.3388268821873</v>
      </c>
      <c r="P978" s="15">
        <f>Output[[#This Row],[Capital Debut Period]]-Output[[#This Row],[Paiement Principal]]</f>
        <v>41583.130420242858</v>
      </c>
      <c r="Q978" s="15">
        <f>Output[[#This Row],[Droit Utilisation]]/Output[[#This Row],[Duree_Mois]]</f>
        <v>5565.2357686805326</v>
      </c>
    </row>
    <row r="979" spans="1:17" x14ac:dyDescent="0.25">
      <c r="A979" s="11" t="s">
        <v>16</v>
      </c>
      <c r="B979" s="12">
        <v>43831</v>
      </c>
      <c r="C979">
        <v>6000</v>
      </c>
      <c r="D979">
        <v>5</v>
      </c>
      <c r="E979">
        <v>0.03</v>
      </c>
      <c r="F979">
        <v>60</v>
      </c>
      <c r="G979" s="13">
        <v>45473</v>
      </c>
      <c r="H979">
        <v>978</v>
      </c>
      <c r="I979">
        <v>54</v>
      </c>
      <c r="J979">
        <v>2.5000000000000001E-3</v>
      </c>
      <c r="K979" s="14">
        <v>5243.1787102495018</v>
      </c>
      <c r="L979" s="14">
        <v>333914.14612083195</v>
      </c>
      <c r="M979" s="36">
        <f>IF(Output[[#This Row],[Index]]=1,Output[[#This Row],[Droit Utilisation]],P978)</f>
        <v>41583.130420242858</v>
      </c>
      <c r="N979" s="15">
        <f>Output[[#This Row],[Capital Debut Period]]*Output[[#This Row],[Tx_interet_M]]</f>
        <v>103.95782605060715</v>
      </c>
      <c r="O979" s="15">
        <f>Output[[#This Row],[Mensualité initial]]-Output[[#This Row],[Interet]]</f>
        <v>5896.0421739493931</v>
      </c>
      <c r="P979" s="15">
        <f>Output[[#This Row],[Capital Debut Period]]-Output[[#This Row],[Paiement Principal]]</f>
        <v>35687.088246293468</v>
      </c>
      <c r="Q979" s="15">
        <f>Output[[#This Row],[Droit Utilisation]]/Output[[#This Row],[Duree_Mois]]</f>
        <v>5565.2357686805326</v>
      </c>
    </row>
    <row r="980" spans="1:17" x14ac:dyDescent="0.25">
      <c r="A980" s="11" t="s">
        <v>16</v>
      </c>
      <c r="B980" s="12">
        <v>43831</v>
      </c>
      <c r="C980">
        <v>6000</v>
      </c>
      <c r="D980">
        <v>5</v>
      </c>
      <c r="E980">
        <v>0.03</v>
      </c>
      <c r="F980">
        <v>60</v>
      </c>
      <c r="G980" s="13">
        <v>45504</v>
      </c>
      <c r="H980">
        <v>979</v>
      </c>
      <c r="I980">
        <v>55</v>
      </c>
      <c r="J980">
        <v>2.5000000000000001E-3</v>
      </c>
      <c r="K980" s="14">
        <v>5230.1034516204509</v>
      </c>
      <c r="L980" s="14">
        <v>333914.14612083195</v>
      </c>
      <c r="M980" s="36">
        <f>IF(Output[[#This Row],[Index]]=1,Output[[#This Row],[Droit Utilisation]],P979)</f>
        <v>35687.088246293468</v>
      </c>
      <c r="N980" s="15">
        <f>Output[[#This Row],[Capital Debut Period]]*Output[[#This Row],[Tx_interet_M]]</f>
        <v>89.217720615733668</v>
      </c>
      <c r="O980" s="15">
        <f>Output[[#This Row],[Mensualité initial]]-Output[[#This Row],[Interet]]</f>
        <v>5910.7822793842661</v>
      </c>
      <c r="P980" s="15">
        <f>Output[[#This Row],[Capital Debut Period]]-Output[[#This Row],[Paiement Principal]]</f>
        <v>29776.305966909204</v>
      </c>
      <c r="Q980" s="15">
        <f>Output[[#This Row],[Droit Utilisation]]/Output[[#This Row],[Duree_Mois]]</f>
        <v>5565.2357686805326</v>
      </c>
    </row>
    <row r="981" spans="1:17" x14ac:dyDescent="0.25">
      <c r="A981" s="11" t="s">
        <v>16</v>
      </c>
      <c r="B981" s="12">
        <v>43831</v>
      </c>
      <c r="C981">
        <v>6000</v>
      </c>
      <c r="D981">
        <v>5</v>
      </c>
      <c r="E981">
        <v>0.03</v>
      </c>
      <c r="F981">
        <v>60</v>
      </c>
      <c r="G981" s="13">
        <v>45535</v>
      </c>
      <c r="H981">
        <v>980</v>
      </c>
      <c r="I981">
        <v>56</v>
      </c>
      <c r="J981">
        <v>2.5000000000000001E-3</v>
      </c>
      <c r="K981" s="14">
        <v>5217.0607996213976</v>
      </c>
      <c r="L981" s="14">
        <v>333914.14612083195</v>
      </c>
      <c r="M981" s="36">
        <f>IF(Output[[#This Row],[Index]]=1,Output[[#This Row],[Droit Utilisation]],P980)</f>
        <v>29776.305966909204</v>
      </c>
      <c r="N981" s="15">
        <f>Output[[#This Row],[Capital Debut Period]]*Output[[#This Row],[Tx_interet_M]]</f>
        <v>74.440764917273015</v>
      </c>
      <c r="O981" s="15">
        <f>Output[[#This Row],[Mensualité initial]]-Output[[#This Row],[Interet]]</f>
        <v>5925.5592350827274</v>
      </c>
      <c r="P981" s="15">
        <f>Output[[#This Row],[Capital Debut Period]]-Output[[#This Row],[Paiement Principal]]</f>
        <v>23850.746731826475</v>
      </c>
      <c r="Q981" s="15">
        <f>Output[[#This Row],[Droit Utilisation]]/Output[[#This Row],[Duree_Mois]]</f>
        <v>5565.2357686805326</v>
      </c>
    </row>
    <row r="982" spans="1:17" x14ac:dyDescent="0.25">
      <c r="A982" s="11" t="s">
        <v>16</v>
      </c>
      <c r="B982" s="12">
        <v>43831</v>
      </c>
      <c r="C982">
        <v>6000</v>
      </c>
      <c r="D982">
        <v>5</v>
      </c>
      <c r="E982">
        <v>0.03</v>
      </c>
      <c r="F982">
        <v>60</v>
      </c>
      <c r="G982" s="13">
        <v>45565</v>
      </c>
      <c r="H982">
        <v>981</v>
      </c>
      <c r="I982">
        <v>57</v>
      </c>
      <c r="J982">
        <v>2.5000000000000001E-3</v>
      </c>
      <c r="K982" s="14">
        <v>5204.0506729390509</v>
      </c>
      <c r="L982" s="14">
        <v>333914.14612083195</v>
      </c>
      <c r="M982" s="36">
        <f>IF(Output[[#This Row],[Index]]=1,Output[[#This Row],[Droit Utilisation]],P981)</f>
        <v>23850.746731826475</v>
      </c>
      <c r="N982" s="15">
        <f>Output[[#This Row],[Capital Debut Period]]*Output[[#This Row],[Tx_interet_M]]</f>
        <v>59.62686682956619</v>
      </c>
      <c r="O982" s="15">
        <f>Output[[#This Row],[Mensualité initial]]-Output[[#This Row],[Interet]]</f>
        <v>5940.3731331704339</v>
      </c>
      <c r="P982" s="15">
        <f>Output[[#This Row],[Capital Debut Period]]-Output[[#This Row],[Paiement Principal]]</f>
        <v>17910.373598656042</v>
      </c>
      <c r="Q982" s="15">
        <f>Output[[#This Row],[Droit Utilisation]]/Output[[#This Row],[Duree_Mois]]</f>
        <v>5565.2357686805326</v>
      </c>
    </row>
    <row r="983" spans="1:17" x14ac:dyDescent="0.25">
      <c r="A983" s="11" t="s">
        <v>16</v>
      </c>
      <c r="B983" s="12">
        <v>43831</v>
      </c>
      <c r="C983">
        <v>6000</v>
      </c>
      <c r="D983">
        <v>5</v>
      </c>
      <c r="E983">
        <v>0.03</v>
      </c>
      <c r="F983">
        <v>60</v>
      </c>
      <c r="G983" s="13">
        <v>45596</v>
      </c>
      <c r="H983">
        <v>982</v>
      </c>
      <c r="I983">
        <v>58</v>
      </c>
      <c r="J983">
        <v>2.5000000000000001E-3</v>
      </c>
      <c r="K983" s="14">
        <v>5191.0729904628934</v>
      </c>
      <c r="L983" s="14">
        <v>333914.14612083195</v>
      </c>
      <c r="M983" s="36">
        <f>IF(Output[[#This Row],[Index]]=1,Output[[#This Row],[Droit Utilisation]],P982)</f>
        <v>17910.373598656042</v>
      </c>
      <c r="N983" s="15">
        <f>Output[[#This Row],[Capital Debut Period]]*Output[[#This Row],[Tx_interet_M]]</f>
        <v>44.775933996640106</v>
      </c>
      <c r="O983" s="15">
        <f>Output[[#This Row],[Mensualité initial]]-Output[[#This Row],[Interet]]</f>
        <v>5955.2240660033603</v>
      </c>
      <c r="P983" s="15">
        <f>Output[[#This Row],[Capital Debut Period]]-Output[[#This Row],[Paiement Principal]]</f>
        <v>11955.149532652682</v>
      </c>
      <c r="Q983" s="15">
        <f>Output[[#This Row],[Droit Utilisation]]/Output[[#This Row],[Duree_Mois]]</f>
        <v>5565.2357686805326</v>
      </c>
    </row>
    <row r="984" spans="1:17" x14ac:dyDescent="0.25">
      <c r="A984" s="11" t="s">
        <v>16</v>
      </c>
      <c r="B984" s="12">
        <v>43831</v>
      </c>
      <c r="C984">
        <v>6000</v>
      </c>
      <c r="D984">
        <v>5</v>
      </c>
      <c r="E984">
        <v>0.03</v>
      </c>
      <c r="F984">
        <v>60</v>
      </c>
      <c r="G984" s="13">
        <v>45626</v>
      </c>
      <c r="H984">
        <v>983</v>
      </c>
      <c r="I984">
        <v>59</v>
      </c>
      <c r="J984">
        <v>2.5000000000000001E-3</v>
      </c>
      <c r="K984" s="14">
        <v>5178.127671284682</v>
      </c>
      <c r="L984" s="14">
        <v>333914.14612083195</v>
      </c>
      <c r="M984" s="36">
        <f>IF(Output[[#This Row],[Index]]=1,Output[[#This Row],[Droit Utilisation]],P983)</f>
        <v>11955.149532652682</v>
      </c>
      <c r="N984" s="15">
        <f>Output[[#This Row],[Capital Debut Period]]*Output[[#This Row],[Tx_interet_M]]</f>
        <v>29.887873831631705</v>
      </c>
      <c r="O984" s="15">
        <f>Output[[#This Row],[Mensualité initial]]-Output[[#This Row],[Interet]]</f>
        <v>5970.1121261683684</v>
      </c>
      <c r="P984" s="15">
        <f>Output[[#This Row],[Capital Debut Period]]-Output[[#This Row],[Paiement Principal]]</f>
        <v>5985.0374064843136</v>
      </c>
      <c r="Q984" s="15">
        <f>Output[[#This Row],[Droit Utilisation]]/Output[[#This Row],[Duree_Mois]]</f>
        <v>5565.2357686805326</v>
      </c>
    </row>
    <row r="985" spans="1:17" x14ac:dyDescent="0.25">
      <c r="A985" s="11" t="s">
        <v>16</v>
      </c>
      <c r="B985" s="12">
        <v>43831</v>
      </c>
      <c r="C985">
        <v>6000</v>
      </c>
      <c r="D985">
        <v>5</v>
      </c>
      <c r="E985">
        <v>0.03</v>
      </c>
      <c r="F985">
        <v>60</v>
      </c>
      <c r="G985" s="13">
        <v>45657</v>
      </c>
      <c r="H985">
        <v>984</v>
      </c>
      <c r="I985">
        <v>60</v>
      </c>
      <c r="J985">
        <v>2.5000000000000001E-3</v>
      </c>
      <c r="K985" s="14">
        <v>5165.2146346979371</v>
      </c>
      <c r="L985" s="14">
        <v>333914.14612083195</v>
      </c>
      <c r="M985" s="36">
        <f>IF(Output[[#This Row],[Index]]=1,Output[[#This Row],[Droit Utilisation]],P984)</f>
        <v>5985.0374064843136</v>
      </c>
      <c r="N985" s="15">
        <f>Output[[#This Row],[Capital Debut Period]]*Output[[#This Row],[Tx_interet_M]]</f>
        <v>14.962593516210784</v>
      </c>
      <c r="O985" s="15">
        <f>Output[[#This Row],[Mensualité initial]]-Output[[#This Row],[Interet]]</f>
        <v>5985.0374064837888</v>
      </c>
      <c r="P985" s="15">
        <f>Output[[#This Row],[Capital Debut Period]]-Output[[#This Row],[Paiement Principal]]</f>
        <v>5.2477844292297959E-10</v>
      </c>
      <c r="Q985" s="15">
        <f>Output[[#This Row],[Droit Utilisation]]/Output[[#This Row],[Duree_Mois]]</f>
        <v>5565.2357686805326</v>
      </c>
    </row>
    <row r="986" spans="1:17" x14ac:dyDescent="0.25">
      <c r="A986" s="11" t="s">
        <v>17</v>
      </c>
      <c r="B986" s="12">
        <v>43831</v>
      </c>
      <c r="C986">
        <v>6000</v>
      </c>
      <c r="D986">
        <v>5</v>
      </c>
      <c r="E986">
        <v>0.03</v>
      </c>
      <c r="F986">
        <v>60</v>
      </c>
      <c r="G986" s="13">
        <v>43861</v>
      </c>
      <c r="H986">
        <v>985</v>
      </c>
      <c r="I986">
        <v>1</v>
      </c>
      <c r="J986">
        <v>2.5000000000000001E-3</v>
      </c>
      <c r="K986" s="14">
        <v>5985.0374064837906</v>
      </c>
      <c r="L986" s="14">
        <v>333914.14612083195</v>
      </c>
      <c r="M986" s="36">
        <f>IF(Output[[#This Row],[Index]]=1,Output[[#This Row],[Droit Utilisation]],P985)</f>
        <v>333914.14612083195</v>
      </c>
      <c r="N986" s="15">
        <f>Output[[#This Row],[Capital Debut Period]]*Output[[#This Row],[Tx_interet_M]]</f>
        <v>834.78536530207987</v>
      </c>
      <c r="O986" s="15">
        <f>Output[[#This Row],[Mensualité initial]]-Output[[#This Row],[Interet]]</f>
        <v>5165.2146346979198</v>
      </c>
      <c r="P986" s="15">
        <f>Output[[#This Row],[Capital Debut Period]]-Output[[#This Row],[Paiement Principal]]</f>
        <v>328748.93148613401</v>
      </c>
      <c r="Q986" s="15">
        <f>Output[[#This Row],[Droit Utilisation]]/Output[[#This Row],[Duree_Mois]]</f>
        <v>5565.2357686805326</v>
      </c>
    </row>
    <row r="987" spans="1:17" x14ac:dyDescent="0.25">
      <c r="A987" s="11" t="s">
        <v>17</v>
      </c>
      <c r="B987" s="12">
        <v>43831</v>
      </c>
      <c r="C987">
        <v>6000</v>
      </c>
      <c r="D987">
        <v>5</v>
      </c>
      <c r="E987">
        <v>0.03</v>
      </c>
      <c r="F987">
        <v>60</v>
      </c>
      <c r="G987" s="13">
        <v>43890</v>
      </c>
      <c r="H987">
        <v>986</v>
      </c>
      <c r="I987">
        <v>2</v>
      </c>
      <c r="J987">
        <v>2.5000000000000001E-3</v>
      </c>
      <c r="K987" s="14">
        <v>5970.1121261683702</v>
      </c>
      <c r="L987" s="14">
        <v>333914.14612083195</v>
      </c>
      <c r="M987" s="36">
        <f>IF(Output[[#This Row],[Index]]=1,Output[[#This Row],[Droit Utilisation]],P986)</f>
        <v>328748.93148613401</v>
      </c>
      <c r="N987" s="15">
        <f>Output[[#This Row],[Capital Debut Period]]*Output[[#This Row],[Tx_interet_M]]</f>
        <v>821.87232871533502</v>
      </c>
      <c r="O987" s="15">
        <f>Output[[#This Row],[Mensualité initial]]-Output[[#This Row],[Interet]]</f>
        <v>5178.1276712846648</v>
      </c>
      <c r="P987" s="15">
        <f>Output[[#This Row],[Capital Debut Period]]-Output[[#This Row],[Paiement Principal]]</f>
        <v>323570.80381484935</v>
      </c>
      <c r="Q987" s="15">
        <f>Output[[#This Row],[Droit Utilisation]]/Output[[#This Row],[Duree_Mois]]</f>
        <v>5565.2357686805326</v>
      </c>
    </row>
    <row r="988" spans="1:17" x14ac:dyDescent="0.25">
      <c r="A988" s="11" t="s">
        <v>17</v>
      </c>
      <c r="B988" s="12">
        <v>43831</v>
      </c>
      <c r="C988">
        <v>6000</v>
      </c>
      <c r="D988">
        <v>5</v>
      </c>
      <c r="E988">
        <v>0.03</v>
      </c>
      <c r="F988">
        <v>60</v>
      </c>
      <c r="G988" s="13">
        <v>43921</v>
      </c>
      <c r="H988">
        <v>987</v>
      </c>
      <c r="I988">
        <v>3</v>
      </c>
      <c r="J988">
        <v>2.5000000000000001E-3</v>
      </c>
      <c r="K988" s="14">
        <v>5955.2240660033622</v>
      </c>
      <c r="L988" s="14">
        <v>333914.14612083195</v>
      </c>
      <c r="M988" s="36">
        <f>IF(Output[[#This Row],[Index]]=1,Output[[#This Row],[Droit Utilisation]],P987)</f>
        <v>323570.80381484935</v>
      </c>
      <c r="N988" s="15">
        <f>Output[[#This Row],[Capital Debut Period]]*Output[[#This Row],[Tx_interet_M]]</f>
        <v>808.92700953712335</v>
      </c>
      <c r="O988" s="15">
        <f>Output[[#This Row],[Mensualité initial]]-Output[[#This Row],[Interet]]</f>
        <v>5191.072990462877</v>
      </c>
      <c r="P988" s="15">
        <f>Output[[#This Row],[Capital Debut Period]]-Output[[#This Row],[Paiement Principal]]</f>
        <v>318379.73082438647</v>
      </c>
      <c r="Q988" s="15">
        <f>Output[[#This Row],[Droit Utilisation]]/Output[[#This Row],[Duree_Mois]]</f>
        <v>5565.2357686805326</v>
      </c>
    </row>
    <row r="989" spans="1:17" x14ac:dyDescent="0.25">
      <c r="A989" s="11" t="s">
        <v>17</v>
      </c>
      <c r="B989" s="12">
        <v>43831</v>
      </c>
      <c r="C989">
        <v>6000</v>
      </c>
      <c r="D989">
        <v>5</v>
      </c>
      <c r="E989">
        <v>0.03</v>
      </c>
      <c r="F989">
        <v>60</v>
      </c>
      <c r="G989" s="13">
        <v>43951</v>
      </c>
      <c r="H989">
        <v>988</v>
      </c>
      <c r="I989">
        <v>4</v>
      </c>
      <c r="J989">
        <v>2.5000000000000001E-3</v>
      </c>
      <c r="K989" s="14">
        <v>5940.3731331704357</v>
      </c>
      <c r="L989" s="14">
        <v>333914.14612083195</v>
      </c>
      <c r="M989" s="36">
        <f>IF(Output[[#This Row],[Index]]=1,Output[[#This Row],[Droit Utilisation]],P988)</f>
        <v>318379.73082438647</v>
      </c>
      <c r="N989" s="15">
        <f>Output[[#This Row],[Capital Debut Period]]*Output[[#This Row],[Tx_interet_M]]</f>
        <v>795.9493270609662</v>
      </c>
      <c r="O989" s="15">
        <f>Output[[#This Row],[Mensualité initial]]-Output[[#This Row],[Interet]]</f>
        <v>5204.0506729390336</v>
      </c>
      <c r="P989" s="15">
        <f>Output[[#This Row],[Capital Debut Period]]-Output[[#This Row],[Paiement Principal]]</f>
        <v>313175.68015144742</v>
      </c>
      <c r="Q989" s="15">
        <f>Output[[#This Row],[Droit Utilisation]]/Output[[#This Row],[Duree_Mois]]</f>
        <v>5565.2357686805326</v>
      </c>
    </row>
    <row r="990" spans="1:17" x14ac:dyDescent="0.25">
      <c r="A990" s="11" t="s">
        <v>17</v>
      </c>
      <c r="B990" s="12">
        <v>43831</v>
      </c>
      <c r="C990">
        <v>6000</v>
      </c>
      <c r="D990">
        <v>5</v>
      </c>
      <c r="E990">
        <v>0.03</v>
      </c>
      <c r="F990">
        <v>60</v>
      </c>
      <c r="G990" s="13">
        <v>43982</v>
      </c>
      <c r="H990">
        <v>989</v>
      </c>
      <c r="I990">
        <v>5</v>
      </c>
      <c r="J990">
        <v>2.5000000000000001E-3</v>
      </c>
      <c r="K990" s="14">
        <v>5925.5592350827301</v>
      </c>
      <c r="L990" s="14">
        <v>333914.14612083195</v>
      </c>
      <c r="M990" s="36">
        <f>IF(Output[[#This Row],[Index]]=1,Output[[#This Row],[Droit Utilisation]],P989)</f>
        <v>313175.68015144742</v>
      </c>
      <c r="N990" s="15">
        <f>Output[[#This Row],[Capital Debut Period]]*Output[[#This Row],[Tx_interet_M]]</f>
        <v>782.93920037861858</v>
      </c>
      <c r="O990" s="15">
        <f>Output[[#This Row],[Mensualité initial]]-Output[[#This Row],[Interet]]</f>
        <v>5217.0607996213812</v>
      </c>
      <c r="P990" s="15">
        <f>Output[[#This Row],[Capital Debut Period]]-Output[[#This Row],[Paiement Principal]]</f>
        <v>307958.61935182603</v>
      </c>
      <c r="Q990" s="15">
        <f>Output[[#This Row],[Droit Utilisation]]/Output[[#This Row],[Duree_Mois]]</f>
        <v>5565.2357686805326</v>
      </c>
    </row>
    <row r="991" spans="1:17" x14ac:dyDescent="0.25">
      <c r="A991" s="11" t="s">
        <v>17</v>
      </c>
      <c r="B991" s="12">
        <v>43831</v>
      </c>
      <c r="C991">
        <v>6000</v>
      </c>
      <c r="D991">
        <v>5</v>
      </c>
      <c r="E991">
        <v>0.03</v>
      </c>
      <c r="F991">
        <v>60</v>
      </c>
      <c r="G991" s="13">
        <v>44012</v>
      </c>
      <c r="H991">
        <v>990</v>
      </c>
      <c r="I991">
        <v>6</v>
      </c>
      <c r="J991">
        <v>2.5000000000000001E-3</v>
      </c>
      <c r="K991" s="14">
        <v>5910.7822793842697</v>
      </c>
      <c r="L991" s="14">
        <v>333914.14612083195</v>
      </c>
      <c r="M991" s="36">
        <f>IF(Output[[#This Row],[Index]]=1,Output[[#This Row],[Droit Utilisation]],P990)</f>
        <v>307958.61935182603</v>
      </c>
      <c r="N991" s="15">
        <f>Output[[#This Row],[Capital Debut Period]]*Output[[#This Row],[Tx_interet_M]]</f>
        <v>769.89654837956505</v>
      </c>
      <c r="O991" s="15">
        <f>Output[[#This Row],[Mensualité initial]]-Output[[#This Row],[Interet]]</f>
        <v>5230.1034516204345</v>
      </c>
      <c r="P991" s="15">
        <f>Output[[#This Row],[Capital Debut Period]]-Output[[#This Row],[Paiement Principal]]</f>
        <v>302728.51590020559</v>
      </c>
      <c r="Q991" s="15">
        <f>Output[[#This Row],[Droit Utilisation]]/Output[[#This Row],[Duree_Mois]]</f>
        <v>5565.2357686805326</v>
      </c>
    </row>
    <row r="992" spans="1:17" x14ac:dyDescent="0.25">
      <c r="A992" s="11" t="s">
        <v>17</v>
      </c>
      <c r="B992" s="12">
        <v>43831</v>
      </c>
      <c r="C992">
        <v>6000</v>
      </c>
      <c r="D992">
        <v>5</v>
      </c>
      <c r="E992">
        <v>0.03</v>
      </c>
      <c r="F992">
        <v>60</v>
      </c>
      <c r="G992" s="13">
        <v>44043</v>
      </c>
      <c r="H992">
        <v>991</v>
      </c>
      <c r="I992">
        <v>7</v>
      </c>
      <c r="J992">
        <v>2.5000000000000001E-3</v>
      </c>
      <c r="K992" s="14">
        <v>5896.0421739493959</v>
      </c>
      <c r="L992" s="14">
        <v>333914.14612083195</v>
      </c>
      <c r="M992" s="36">
        <f>IF(Output[[#This Row],[Index]]=1,Output[[#This Row],[Droit Utilisation]],P991)</f>
        <v>302728.51590020559</v>
      </c>
      <c r="N992" s="15">
        <f>Output[[#This Row],[Capital Debut Period]]*Output[[#This Row],[Tx_interet_M]]</f>
        <v>756.82128975051398</v>
      </c>
      <c r="O992" s="15">
        <f>Output[[#This Row],[Mensualité initial]]-Output[[#This Row],[Interet]]</f>
        <v>5243.1787102494864</v>
      </c>
      <c r="P992" s="15">
        <f>Output[[#This Row],[Capital Debut Period]]-Output[[#This Row],[Paiement Principal]]</f>
        <v>297485.3371899561</v>
      </c>
      <c r="Q992" s="15">
        <f>Output[[#This Row],[Droit Utilisation]]/Output[[#This Row],[Duree_Mois]]</f>
        <v>5565.2357686805326</v>
      </c>
    </row>
    <row r="993" spans="1:17" x14ac:dyDescent="0.25">
      <c r="A993" s="11" t="s">
        <v>17</v>
      </c>
      <c r="B993" s="12">
        <v>43831</v>
      </c>
      <c r="C993">
        <v>6000</v>
      </c>
      <c r="D993">
        <v>5</v>
      </c>
      <c r="E993">
        <v>0.03</v>
      </c>
      <c r="F993">
        <v>60</v>
      </c>
      <c r="G993" s="13">
        <v>44074</v>
      </c>
      <c r="H993">
        <v>992</v>
      </c>
      <c r="I993">
        <v>8</v>
      </c>
      <c r="J993">
        <v>2.5000000000000001E-3</v>
      </c>
      <c r="K993" s="14">
        <v>5881.3388268821909</v>
      </c>
      <c r="L993" s="14">
        <v>333914.14612083195</v>
      </c>
      <c r="M993" s="36">
        <f>IF(Output[[#This Row],[Index]]=1,Output[[#This Row],[Droit Utilisation]],P992)</f>
        <v>297485.3371899561</v>
      </c>
      <c r="N993" s="15">
        <f>Output[[#This Row],[Capital Debut Period]]*Output[[#This Row],[Tx_interet_M]]</f>
        <v>743.71334297489022</v>
      </c>
      <c r="O993" s="15">
        <f>Output[[#This Row],[Mensualité initial]]-Output[[#This Row],[Interet]]</f>
        <v>5256.2866570251099</v>
      </c>
      <c r="P993" s="15">
        <f>Output[[#This Row],[Capital Debut Period]]-Output[[#This Row],[Paiement Principal]]</f>
        <v>292229.050532931</v>
      </c>
      <c r="Q993" s="15">
        <f>Output[[#This Row],[Droit Utilisation]]/Output[[#This Row],[Duree_Mois]]</f>
        <v>5565.2357686805326</v>
      </c>
    </row>
    <row r="994" spans="1:17" x14ac:dyDescent="0.25">
      <c r="A994" s="11" t="s">
        <v>17</v>
      </c>
      <c r="B994" s="12">
        <v>43831</v>
      </c>
      <c r="C994">
        <v>6000</v>
      </c>
      <c r="D994">
        <v>5</v>
      </c>
      <c r="E994">
        <v>0.03</v>
      </c>
      <c r="F994">
        <v>60</v>
      </c>
      <c r="G994" s="13">
        <v>44104</v>
      </c>
      <c r="H994">
        <v>993</v>
      </c>
      <c r="I994">
        <v>9</v>
      </c>
      <c r="J994">
        <v>2.5000000000000001E-3</v>
      </c>
      <c r="K994" s="14">
        <v>5866.6721465159017</v>
      </c>
      <c r="L994" s="14">
        <v>333914.14612083195</v>
      </c>
      <c r="M994" s="36">
        <f>IF(Output[[#This Row],[Index]]=1,Output[[#This Row],[Droit Utilisation]],P993)</f>
        <v>292229.050532931</v>
      </c>
      <c r="N994" s="15">
        <f>Output[[#This Row],[Capital Debut Period]]*Output[[#This Row],[Tx_interet_M]]</f>
        <v>730.57262633232756</v>
      </c>
      <c r="O994" s="15">
        <f>Output[[#This Row],[Mensualité initial]]-Output[[#This Row],[Interet]]</f>
        <v>5269.4273736676723</v>
      </c>
      <c r="P994" s="15">
        <f>Output[[#This Row],[Capital Debut Period]]-Output[[#This Row],[Paiement Principal]]</f>
        <v>286959.62315926334</v>
      </c>
      <c r="Q994" s="15">
        <f>Output[[#This Row],[Droit Utilisation]]/Output[[#This Row],[Duree_Mois]]</f>
        <v>5565.2357686805326</v>
      </c>
    </row>
    <row r="995" spans="1:17" x14ac:dyDescent="0.25">
      <c r="A995" s="11" t="s">
        <v>17</v>
      </c>
      <c r="B995" s="12">
        <v>43831</v>
      </c>
      <c r="C995">
        <v>6000</v>
      </c>
      <c r="D995">
        <v>5</v>
      </c>
      <c r="E995">
        <v>0.03</v>
      </c>
      <c r="F995">
        <v>60</v>
      </c>
      <c r="G995" s="13">
        <v>44135</v>
      </c>
      <c r="H995">
        <v>994</v>
      </c>
      <c r="I995">
        <v>10</v>
      </c>
      <c r="J995">
        <v>2.5000000000000001E-3</v>
      </c>
      <c r="K995" s="14">
        <v>5852.042041412371</v>
      </c>
      <c r="L995" s="14">
        <v>333914.14612083195</v>
      </c>
      <c r="M995" s="36">
        <f>IF(Output[[#This Row],[Index]]=1,Output[[#This Row],[Droit Utilisation]],P994)</f>
        <v>286959.62315926334</v>
      </c>
      <c r="N995" s="15">
        <f>Output[[#This Row],[Capital Debut Period]]*Output[[#This Row],[Tx_interet_M]]</f>
        <v>717.39905789815839</v>
      </c>
      <c r="O995" s="15">
        <f>Output[[#This Row],[Mensualité initial]]-Output[[#This Row],[Interet]]</f>
        <v>5282.6009421018416</v>
      </c>
      <c r="P995" s="15">
        <f>Output[[#This Row],[Capital Debut Period]]-Output[[#This Row],[Paiement Principal]]</f>
        <v>281677.02221716149</v>
      </c>
      <c r="Q995" s="15">
        <f>Output[[#This Row],[Droit Utilisation]]/Output[[#This Row],[Duree_Mois]]</f>
        <v>5565.2357686805326</v>
      </c>
    </row>
    <row r="996" spans="1:17" x14ac:dyDescent="0.25">
      <c r="A996" s="11" t="s">
        <v>17</v>
      </c>
      <c r="B996" s="12">
        <v>43831</v>
      </c>
      <c r="C996">
        <v>6000</v>
      </c>
      <c r="D996">
        <v>5</v>
      </c>
      <c r="E996">
        <v>0.03</v>
      </c>
      <c r="F996">
        <v>60</v>
      </c>
      <c r="G996" s="13">
        <v>44165</v>
      </c>
      <c r="H996">
        <v>995</v>
      </c>
      <c r="I996">
        <v>11</v>
      </c>
      <c r="J996">
        <v>2.5000000000000001E-3</v>
      </c>
      <c r="K996" s="14">
        <v>5837.4484203614675</v>
      </c>
      <c r="L996" s="14">
        <v>333914.14612083195</v>
      </c>
      <c r="M996" s="36">
        <f>IF(Output[[#This Row],[Index]]=1,Output[[#This Row],[Droit Utilisation]],P995)</f>
        <v>281677.02221716149</v>
      </c>
      <c r="N996" s="15">
        <f>Output[[#This Row],[Capital Debut Period]]*Output[[#This Row],[Tx_interet_M]]</f>
        <v>704.19255554290373</v>
      </c>
      <c r="O996" s="15">
        <f>Output[[#This Row],[Mensualité initial]]-Output[[#This Row],[Interet]]</f>
        <v>5295.8074444570966</v>
      </c>
      <c r="P996" s="15">
        <f>Output[[#This Row],[Capital Debut Period]]-Output[[#This Row],[Paiement Principal]]</f>
        <v>276381.21477270441</v>
      </c>
      <c r="Q996" s="15">
        <f>Output[[#This Row],[Droit Utilisation]]/Output[[#This Row],[Duree_Mois]]</f>
        <v>5565.2357686805326</v>
      </c>
    </row>
    <row r="997" spans="1:17" x14ac:dyDescent="0.25">
      <c r="A997" s="11" t="s">
        <v>17</v>
      </c>
      <c r="B997" s="12">
        <v>43831</v>
      </c>
      <c r="C997">
        <v>6000</v>
      </c>
      <c r="D997">
        <v>5</v>
      </c>
      <c r="E997">
        <v>0.03</v>
      </c>
      <c r="F997">
        <v>60</v>
      </c>
      <c r="G997" s="13">
        <v>44196</v>
      </c>
      <c r="H997">
        <v>996</v>
      </c>
      <c r="I997">
        <v>12</v>
      </c>
      <c r="J997">
        <v>2.5000000000000001E-3</v>
      </c>
      <c r="K997" s="14">
        <v>5822.8911923805163</v>
      </c>
      <c r="L997" s="14">
        <v>333914.14612083195</v>
      </c>
      <c r="M997" s="36">
        <f>IF(Output[[#This Row],[Index]]=1,Output[[#This Row],[Droit Utilisation]],P996)</f>
        <v>276381.21477270441</v>
      </c>
      <c r="N997" s="15">
        <f>Output[[#This Row],[Capital Debut Period]]*Output[[#This Row],[Tx_interet_M]]</f>
        <v>690.95303693176106</v>
      </c>
      <c r="O997" s="15">
        <f>Output[[#This Row],[Mensualité initial]]-Output[[#This Row],[Interet]]</f>
        <v>5309.0469630682392</v>
      </c>
      <c r="P997" s="15">
        <f>Output[[#This Row],[Capital Debut Period]]-Output[[#This Row],[Paiement Principal]]</f>
        <v>271072.16780963616</v>
      </c>
      <c r="Q997" s="15">
        <f>Output[[#This Row],[Droit Utilisation]]/Output[[#This Row],[Duree_Mois]]</f>
        <v>5565.2357686805326</v>
      </c>
    </row>
    <row r="998" spans="1:17" x14ac:dyDescent="0.25">
      <c r="A998" s="11" t="s">
        <v>17</v>
      </c>
      <c r="B998" s="12">
        <v>43831</v>
      </c>
      <c r="C998">
        <v>6000</v>
      </c>
      <c r="D998">
        <v>5</v>
      </c>
      <c r="E998">
        <v>0.03</v>
      </c>
      <c r="F998">
        <v>60</v>
      </c>
      <c r="G998" s="13">
        <v>44227</v>
      </c>
      <c r="H998">
        <v>997</v>
      </c>
      <c r="I998">
        <v>13</v>
      </c>
      <c r="J998">
        <v>2.5000000000000001E-3</v>
      </c>
      <c r="K998" s="14">
        <v>5808.3702667137322</v>
      </c>
      <c r="L998" s="14">
        <v>333914.14612083195</v>
      </c>
      <c r="M998" s="36">
        <f>IF(Output[[#This Row],[Index]]=1,Output[[#This Row],[Droit Utilisation]],P997)</f>
        <v>271072.16780963616</v>
      </c>
      <c r="N998" s="15">
        <f>Output[[#This Row],[Capital Debut Period]]*Output[[#This Row],[Tx_interet_M]]</f>
        <v>677.68041952409044</v>
      </c>
      <c r="O998" s="15">
        <f>Output[[#This Row],[Mensualité initial]]-Output[[#This Row],[Interet]]</f>
        <v>5322.3195804759098</v>
      </c>
      <c r="P998" s="15">
        <f>Output[[#This Row],[Capital Debut Period]]-Output[[#This Row],[Paiement Principal]]</f>
        <v>265749.84822916024</v>
      </c>
      <c r="Q998" s="15">
        <f>Output[[#This Row],[Droit Utilisation]]/Output[[#This Row],[Duree_Mois]]</f>
        <v>5565.2357686805326</v>
      </c>
    </row>
    <row r="999" spans="1:17" x14ac:dyDescent="0.25">
      <c r="A999" s="11" t="s">
        <v>17</v>
      </c>
      <c r="B999" s="12">
        <v>43831</v>
      </c>
      <c r="C999">
        <v>6000</v>
      </c>
      <c r="D999">
        <v>5</v>
      </c>
      <c r="E999">
        <v>0.03</v>
      </c>
      <c r="F999">
        <v>60</v>
      </c>
      <c r="G999" s="13">
        <v>44255</v>
      </c>
      <c r="H999">
        <v>998</v>
      </c>
      <c r="I999">
        <v>14</v>
      </c>
      <c r="J999">
        <v>2.5000000000000001E-3</v>
      </c>
      <c r="K999" s="14">
        <v>5793.8855528316535</v>
      </c>
      <c r="L999" s="14">
        <v>333914.14612083195</v>
      </c>
      <c r="M999" s="36">
        <f>IF(Output[[#This Row],[Index]]=1,Output[[#This Row],[Droit Utilisation]],P998)</f>
        <v>265749.84822916024</v>
      </c>
      <c r="N999" s="15">
        <f>Output[[#This Row],[Capital Debut Period]]*Output[[#This Row],[Tx_interet_M]]</f>
        <v>664.37462057290065</v>
      </c>
      <c r="O999" s="15">
        <f>Output[[#This Row],[Mensualité initial]]-Output[[#This Row],[Interet]]</f>
        <v>5335.6253794270997</v>
      </c>
      <c r="P999" s="15">
        <f>Output[[#This Row],[Capital Debut Period]]-Output[[#This Row],[Paiement Principal]]</f>
        <v>260414.22284973314</v>
      </c>
      <c r="Q999" s="15">
        <f>Output[[#This Row],[Droit Utilisation]]/Output[[#This Row],[Duree_Mois]]</f>
        <v>5565.2357686805326</v>
      </c>
    </row>
    <row r="1000" spans="1:17" x14ac:dyDescent="0.25">
      <c r="A1000" s="11" t="s">
        <v>17</v>
      </c>
      <c r="B1000" s="12">
        <v>43831</v>
      </c>
      <c r="C1000">
        <v>6000</v>
      </c>
      <c r="D1000">
        <v>5</v>
      </c>
      <c r="E1000">
        <v>0.03</v>
      </c>
      <c r="F1000">
        <v>60</v>
      </c>
      <c r="G1000" s="13">
        <v>44286</v>
      </c>
      <c r="H1000">
        <v>999</v>
      </c>
      <c r="I1000">
        <v>15</v>
      </c>
      <c r="J1000">
        <v>2.5000000000000001E-3</v>
      </c>
      <c r="K1000" s="14">
        <v>5779.4369604305775</v>
      </c>
      <c r="L1000" s="14">
        <v>333914.14612083195</v>
      </c>
      <c r="M1000" s="36">
        <f>IF(Output[[#This Row],[Index]]=1,Output[[#This Row],[Droit Utilisation]],P999)</f>
        <v>260414.22284973314</v>
      </c>
      <c r="N1000" s="15">
        <f>Output[[#This Row],[Capital Debut Period]]*Output[[#This Row],[Tx_interet_M]]</f>
        <v>651.03555712433285</v>
      </c>
      <c r="O1000" s="15">
        <f>Output[[#This Row],[Mensualité initial]]-Output[[#This Row],[Interet]]</f>
        <v>5348.9644428756674</v>
      </c>
      <c r="P1000" s="15">
        <f>Output[[#This Row],[Capital Debut Period]]-Output[[#This Row],[Paiement Principal]]</f>
        <v>255065.25840685747</v>
      </c>
      <c r="Q1000" s="15">
        <f>Output[[#This Row],[Droit Utilisation]]/Output[[#This Row],[Duree_Mois]]</f>
        <v>5565.2357686805326</v>
      </c>
    </row>
    <row r="1001" spans="1:17" x14ac:dyDescent="0.25">
      <c r="A1001" s="11" t="s">
        <v>17</v>
      </c>
      <c r="B1001" s="12">
        <v>43831</v>
      </c>
      <c r="C1001">
        <v>6000</v>
      </c>
      <c r="D1001">
        <v>5</v>
      </c>
      <c r="E1001">
        <v>0.03</v>
      </c>
      <c r="F1001">
        <v>60</v>
      </c>
      <c r="G1001" s="13">
        <v>44316</v>
      </c>
      <c r="H1001">
        <v>1000</v>
      </c>
      <c r="I1001">
        <v>16</v>
      </c>
      <c r="J1001">
        <v>2.5000000000000001E-3</v>
      </c>
      <c r="K1001" s="14">
        <v>5765.0243994319981</v>
      </c>
      <c r="L1001" s="14">
        <v>333914.14612083195</v>
      </c>
      <c r="M1001" s="36">
        <f>IF(Output[[#This Row],[Index]]=1,Output[[#This Row],[Droit Utilisation]],P1000)</f>
        <v>255065.25840685747</v>
      </c>
      <c r="N1001" s="15">
        <f>Output[[#This Row],[Capital Debut Period]]*Output[[#This Row],[Tx_interet_M]]</f>
        <v>637.66314601714373</v>
      </c>
      <c r="O1001" s="15">
        <f>Output[[#This Row],[Mensualité initial]]-Output[[#This Row],[Interet]]</f>
        <v>5362.3368539828562</v>
      </c>
      <c r="P1001" s="15">
        <f>Output[[#This Row],[Capital Debut Period]]-Output[[#This Row],[Paiement Principal]]</f>
        <v>249702.92155287461</v>
      </c>
      <c r="Q1001" s="15">
        <f>Output[[#This Row],[Droit Utilisation]]/Output[[#This Row],[Duree_Mois]]</f>
        <v>5565.2357686805326</v>
      </c>
    </row>
    <row r="1002" spans="1:17" x14ac:dyDescent="0.25">
      <c r="A1002" s="11" t="s">
        <v>17</v>
      </c>
      <c r="B1002" s="12">
        <v>43831</v>
      </c>
      <c r="C1002">
        <v>6000</v>
      </c>
      <c r="D1002">
        <v>5</v>
      </c>
      <c r="E1002">
        <v>0.03</v>
      </c>
      <c r="F1002">
        <v>60</v>
      </c>
      <c r="G1002" s="13">
        <v>44347</v>
      </c>
      <c r="H1002">
        <v>1001</v>
      </c>
      <c r="I1002">
        <v>17</v>
      </c>
      <c r="J1002">
        <v>2.5000000000000001E-3</v>
      </c>
      <c r="K1002" s="14">
        <v>5750.6477799820432</v>
      </c>
      <c r="L1002" s="14">
        <v>333914.14612083195</v>
      </c>
      <c r="M1002" s="36">
        <f>IF(Output[[#This Row],[Index]]=1,Output[[#This Row],[Droit Utilisation]],P1001)</f>
        <v>249702.92155287461</v>
      </c>
      <c r="N1002" s="15">
        <f>Output[[#This Row],[Capital Debut Period]]*Output[[#This Row],[Tx_interet_M]]</f>
        <v>624.25730388218653</v>
      </c>
      <c r="O1002" s="15">
        <f>Output[[#This Row],[Mensualité initial]]-Output[[#This Row],[Interet]]</f>
        <v>5375.7426961178135</v>
      </c>
      <c r="P1002" s="15">
        <f>Output[[#This Row],[Capital Debut Period]]-Output[[#This Row],[Paiement Principal]]</f>
        <v>244327.1788567568</v>
      </c>
      <c r="Q1002" s="15">
        <f>Output[[#This Row],[Droit Utilisation]]/Output[[#This Row],[Duree_Mois]]</f>
        <v>5565.2357686805326</v>
      </c>
    </row>
    <row r="1003" spans="1:17" x14ac:dyDescent="0.25">
      <c r="A1003" s="11" t="s">
        <v>17</v>
      </c>
      <c r="B1003" s="12">
        <v>43831</v>
      </c>
      <c r="C1003">
        <v>6000</v>
      </c>
      <c r="D1003">
        <v>5</v>
      </c>
      <c r="E1003">
        <v>0.03</v>
      </c>
      <c r="F1003">
        <v>60</v>
      </c>
      <c r="G1003" s="13">
        <v>44377</v>
      </c>
      <c r="H1003">
        <v>1002</v>
      </c>
      <c r="I1003">
        <v>18</v>
      </c>
      <c r="J1003">
        <v>2.5000000000000001E-3</v>
      </c>
      <c r="K1003" s="14">
        <v>5736.3070124509168</v>
      </c>
      <c r="L1003" s="14">
        <v>333914.14612083195</v>
      </c>
      <c r="M1003" s="36">
        <f>IF(Output[[#This Row],[Index]]=1,Output[[#This Row],[Droit Utilisation]],P1002)</f>
        <v>244327.1788567568</v>
      </c>
      <c r="N1003" s="15">
        <f>Output[[#This Row],[Capital Debut Period]]*Output[[#This Row],[Tx_interet_M]]</f>
        <v>610.81794714189198</v>
      </c>
      <c r="O1003" s="15">
        <f>Output[[#This Row],[Mensualité initial]]-Output[[#This Row],[Interet]]</f>
        <v>5389.1820528581084</v>
      </c>
      <c r="P1003" s="15">
        <f>Output[[#This Row],[Capital Debut Period]]-Output[[#This Row],[Paiement Principal]]</f>
        <v>238937.99680389868</v>
      </c>
      <c r="Q1003" s="15">
        <f>Output[[#This Row],[Droit Utilisation]]/Output[[#This Row],[Duree_Mois]]</f>
        <v>5565.2357686805326</v>
      </c>
    </row>
    <row r="1004" spans="1:17" x14ac:dyDescent="0.25">
      <c r="A1004" s="11" t="s">
        <v>17</v>
      </c>
      <c r="B1004" s="12">
        <v>43831</v>
      </c>
      <c r="C1004">
        <v>6000</v>
      </c>
      <c r="D1004">
        <v>5</v>
      </c>
      <c r="E1004">
        <v>0.03</v>
      </c>
      <c r="F1004">
        <v>60</v>
      </c>
      <c r="G1004" s="13">
        <v>44408</v>
      </c>
      <c r="H1004">
        <v>1003</v>
      </c>
      <c r="I1004">
        <v>19</v>
      </c>
      <c r="J1004">
        <v>2.5000000000000001E-3</v>
      </c>
      <c r="K1004" s="14">
        <v>5722.0020074323356</v>
      </c>
      <c r="L1004" s="14">
        <v>333914.14612083195</v>
      </c>
      <c r="M1004" s="36">
        <f>IF(Output[[#This Row],[Index]]=1,Output[[#This Row],[Droit Utilisation]],P1003)</f>
        <v>238937.99680389868</v>
      </c>
      <c r="N1004" s="15">
        <f>Output[[#This Row],[Capital Debut Period]]*Output[[#This Row],[Tx_interet_M]]</f>
        <v>597.34499200974676</v>
      </c>
      <c r="O1004" s="15">
        <f>Output[[#This Row],[Mensualité initial]]-Output[[#This Row],[Interet]]</f>
        <v>5402.6550079902536</v>
      </c>
      <c r="P1004" s="15">
        <f>Output[[#This Row],[Capital Debut Period]]-Output[[#This Row],[Paiement Principal]]</f>
        <v>233535.34179590843</v>
      </c>
      <c r="Q1004" s="15">
        <f>Output[[#This Row],[Droit Utilisation]]/Output[[#This Row],[Duree_Mois]]</f>
        <v>5565.2357686805326</v>
      </c>
    </row>
    <row r="1005" spans="1:17" x14ac:dyDescent="0.25">
      <c r="A1005" s="11" t="s">
        <v>17</v>
      </c>
      <c r="B1005" s="12">
        <v>43831</v>
      </c>
      <c r="C1005">
        <v>6000</v>
      </c>
      <c r="D1005">
        <v>5</v>
      </c>
      <c r="E1005">
        <v>0.03</v>
      </c>
      <c r="F1005">
        <v>60</v>
      </c>
      <c r="G1005" s="13">
        <v>44439</v>
      </c>
      <c r="H1005">
        <v>1004</v>
      </c>
      <c r="I1005">
        <v>20</v>
      </c>
      <c r="J1005">
        <v>2.5000000000000001E-3</v>
      </c>
      <c r="K1005" s="14">
        <v>5707.7326757429792</v>
      </c>
      <c r="L1005" s="14">
        <v>333914.14612083195</v>
      </c>
      <c r="M1005" s="36">
        <f>IF(Output[[#This Row],[Index]]=1,Output[[#This Row],[Droit Utilisation]],P1004)</f>
        <v>233535.34179590843</v>
      </c>
      <c r="N1005" s="15">
        <f>Output[[#This Row],[Capital Debut Period]]*Output[[#This Row],[Tx_interet_M]]</f>
        <v>583.83835448977106</v>
      </c>
      <c r="O1005" s="15">
        <f>Output[[#This Row],[Mensualité initial]]-Output[[#This Row],[Interet]]</f>
        <v>5416.1616455102285</v>
      </c>
      <c r="P1005" s="15">
        <f>Output[[#This Row],[Capital Debut Period]]-Output[[#This Row],[Paiement Principal]]</f>
        <v>228119.1801503982</v>
      </c>
      <c r="Q1005" s="15">
        <f>Output[[#This Row],[Droit Utilisation]]/Output[[#This Row],[Duree_Mois]]</f>
        <v>5565.2357686805326</v>
      </c>
    </row>
    <row r="1006" spans="1:17" x14ac:dyDescent="0.25">
      <c r="A1006" s="11" t="s">
        <v>17</v>
      </c>
      <c r="B1006" s="12">
        <v>43831</v>
      </c>
      <c r="C1006">
        <v>6000</v>
      </c>
      <c r="D1006">
        <v>5</v>
      </c>
      <c r="E1006">
        <v>0.03</v>
      </c>
      <c r="F1006">
        <v>60</v>
      </c>
      <c r="G1006" s="13">
        <v>44469</v>
      </c>
      <c r="H1006">
        <v>1005</v>
      </c>
      <c r="I1006">
        <v>21</v>
      </c>
      <c r="J1006">
        <v>2.5000000000000001E-3</v>
      </c>
      <c r="K1006" s="14">
        <v>5693.4989284219246</v>
      </c>
      <c r="L1006" s="14">
        <v>333914.14612083195</v>
      </c>
      <c r="M1006" s="36">
        <f>IF(Output[[#This Row],[Index]]=1,Output[[#This Row],[Droit Utilisation]],P1005)</f>
        <v>228119.1801503982</v>
      </c>
      <c r="N1006" s="15">
        <f>Output[[#This Row],[Capital Debut Period]]*Output[[#This Row],[Tx_interet_M]]</f>
        <v>570.29795037599547</v>
      </c>
      <c r="O1006" s="15">
        <f>Output[[#This Row],[Mensualité initial]]-Output[[#This Row],[Interet]]</f>
        <v>5429.7020496240048</v>
      </c>
      <c r="P1006" s="15">
        <f>Output[[#This Row],[Capital Debut Period]]-Output[[#This Row],[Paiement Principal]]</f>
        <v>222689.4781007742</v>
      </c>
      <c r="Q1006" s="15">
        <f>Output[[#This Row],[Droit Utilisation]]/Output[[#This Row],[Duree_Mois]]</f>
        <v>5565.2357686805326</v>
      </c>
    </row>
    <row r="1007" spans="1:17" x14ac:dyDescent="0.25">
      <c r="A1007" s="11" t="s">
        <v>17</v>
      </c>
      <c r="B1007" s="12">
        <v>43831</v>
      </c>
      <c r="C1007">
        <v>6000</v>
      </c>
      <c r="D1007">
        <v>5</v>
      </c>
      <c r="E1007">
        <v>0.03</v>
      </c>
      <c r="F1007">
        <v>60</v>
      </c>
      <c r="G1007" s="13">
        <v>44500</v>
      </c>
      <c r="H1007">
        <v>1006</v>
      </c>
      <c r="I1007">
        <v>22</v>
      </c>
      <c r="J1007">
        <v>2.5000000000000001E-3</v>
      </c>
      <c r="K1007" s="14">
        <v>5679.3006767300994</v>
      </c>
      <c r="L1007" s="14">
        <v>333914.14612083195</v>
      </c>
      <c r="M1007" s="36">
        <f>IF(Output[[#This Row],[Index]]=1,Output[[#This Row],[Droit Utilisation]],P1006)</f>
        <v>222689.4781007742</v>
      </c>
      <c r="N1007" s="15">
        <f>Output[[#This Row],[Capital Debut Period]]*Output[[#This Row],[Tx_interet_M]]</f>
        <v>556.72369525193551</v>
      </c>
      <c r="O1007" s="15">
        <f>Output[[#This Row],[Mensualité initial]]-Output[[#This Row],[Interet]]</f>
        <v>5443.2763047480648</v>
      </c>
      <c r="P1007" s="15">
        <f>Output[[#This Row],[Capital Debut Period]]-Output[[#This Row],[Paiement Principal]]</f>
        <v>217246.20179602614</v>
      </c>
      <c r="Q1007" s="15">
        <f>Output[[#This Row],[Droit Utilisation]]/Output[[#This Row],[Duree_Mois]]</f>
        <v>5565.2357686805326</v>
      </c>
    </row>
    <row r="1008" spans="1:17" x14ac:dyDescent="0.25">
      <c r="A1008" s="11" t="s">
        <v>17</v>
      </c>
      <c r="B1008" s="12">
        <v>43831</v>
      </c>
      <c r="C1008">
        <v>6000</v>
      </c>
      <c r="D1008">
        <v>5</v>
      </c>
      <c r="E1008">
        <v>0.03</v>
      </c>
      <c r="F1008">
        <v>60</v>
      </c>
      <c r="G1008" s="13">
        <v>44530</v>
      </c>
      <c r="H1008">
        <v>1007</v>
      </c>
      <c r="I1008">
        <v>23</v>
      </c>
      <c r="J1008">
        <v>2.5000000000000001E-3</v>
      </c>
      <c r="K1008" s="14">
        <v>5665.137832149725</v>
      </c>
      <c r="L1008" s="14">
        <v>333914.14612083195</v>
      </c>
      <c r="M1008" s="36">
        <f>IF(Output[[#This Row],[Index]]=1,Output[[#This Row],[Droit Utilisation]],P1007)</f>
        <v>217246.20179602614</v>
      </c>
      <c r="N1008" s="15">
        <f>Output[[#This Row],[Capital Debut Period]]*Output[[#This Row],[Tx_interet_M]]</f>
        <v>543.1155044900654</v>
      </c>
      <c r="O1008" s="15">
        <f>Output[[#This Row],[Mensualité initial]]-Output[[#This Row],[Interet]]</f>
        <v>5456.8844955099348</v>
      </c>
      <c r="P1008" s="15">
        <f>Output[[#This Row],[Capital Debut Period]]-Output[[#This Row],[Paiement Principal]]</f>
        <v>211789.31730051621</v>
      </c>
      <c r="Q1008" s="15">
        <f>Output[[#This Row],[Droit Utilisation]]/Output[[#This Row],[Duree_Mois]]</f>
        <v>5565.2357686805326</v>
      </c>
    </row>
    <row r="1009" spans="1:17" x14ac:dyDescent="0.25">
      <c r="A1009" s="11" t="s">
        <v>17</v>
      </c>
      <c r="B1009" s="12">
        <v>43831</v>
      </c>
      <c r="C1009">
        <v>6000</v>
      </c>
      <c r="D1009">
        <v>5</v>
      </c>
      <c r="E1009">
        <v>0.03</v>
      </c>
      <c r="F1009">
        <v>60</v>
      </c>
      <c r="G1009" s="13">
        <v>44561</v>
      </c>
      <c r="H1009">
        <v>1008</v>
      </c>
      <c r="I1009">
        <v>24</v>
      </c>
      <c r="J1009">
        <v>2.5000000000000001E-3</v>
      </c>
      <c r="K1009" s="14">
        <v>5651.010306383766</v>
      </c>
      <c r="L1009" s="14">
        <v>333914.14612083195</v>
      </c>
      <c r="M1009" s="36">
        <f>IF(Output[[#This Row],[Index]]=1,Output[[#This Row],[Droit Utilisation]],P1008)</f>
        <v>211789.31730051621</v>
      </c>
      <c r="N1009" s="15">
        <f>Output[[#This Row],[Capital Debut Period]]*Output[[#This Row],[Tx_interet_M]]</f>
        <v>529.47329325129056</v>
      </c>
      <c r="O1009" s="15">
        <f>Output[[#This Row],[Mensualité initial]]-Output[[#This Row],[Interet]]</f>
        <v>5470.5267067487093</v>
      </c>
      <c r="P1009" s="15">
        <f>Output[[#This Row],[Capital Debut Period]]-Output[[#This Row],[Paiement Principal]]</f>
        <v>206318.79059376751</v>
      </c>
      <c r="Q1009" s="15">
        <f>Output[[#This Row],[Droit Utilisation]]/Output[[#This Row],[Duree_Mois]]</f>
        <v>5565.2357686805326</v>
      </c>
    </row>
    <row r="1010" spans="1:17" x14ac:dyDescent="0.25">
      <c r="A1010" s="11" t="s">
        <v>17</v>
      </c>
      <c r="B1010" s="12">
        <v>43831</v>
      </c>
      <c r="C1010">
        <v>6000</v>
      </c>
      <c r="D1010">
        <v>5</v>
      </c>
      <c r="E1010">
        <v>0.03</v>
      </c>
      <c r="F1010">
        <v>60</v>
      </c>
      <c r="G1010" s="13">
        <v>44592</v>
      </c>
      <c r="H1010">
        <v>1009</v>
      </c>
      <c r="I1010">
        <v>25</v>
      </c>
      <c r="J1010">
        <v>2.5000000000000001E-3</v>
      </c>
      <c r="K1010" s="14">
        <v>5636.9180113553775</v>
      </c>
      <c r="L1010" s="14">
        <v>333914.14612083195</v>
      </c>
      <c r="M1010" s="36">
        <f>IF(Output[[#This Row],[Index]]=1,Output[[#This Row],[Droit Utilisation]],P1009)</f>
        <v>206318.79059376751</v>
      </c>
      <c r="N1010" s="15">
        <f>Output[[#This Row],[Capital Debut Period]]*Output[[#This Row],[Tx_interet_M]]</f>
        <v>515.79697648441879</v>
      </c>
      <c r="O1010" s="15">
        <f>Output[[#This Row],[Mensualité initial]]-Output[[#This Row],[Interet]]</f>
        <v>5484.2030235155817</v>
      </c>
      <c r="P1010" s="15">
        <f>Output[[#This Row],[Capital Debut Period]]-Output[[#This Row],[Paiement Principal]]</f>
        <v>200834.58757025193</v>
      </c>
      <c r="Q1010" s="15">
        <f>Output[[#This Row],[Droit Utilisation]]/Output[[#This Row],[Duree_Mois]]</f>
        <v>5565.2357686805326</v>
      </c>
    </row>
    <row r="1011" spans="1:17" x14ac:dyDescent="0.25">
      <c r="A1011" s="11" t="s">
        <v>17</v>
      </c>
      <c r="B1011" s="12">
        <v>43831</v>
      </c>
      <c r="C1011">
        <v>6000</v>
      </c>
      <c r="D1011">
        <v>5</v>
      </c>
      <c r="E1011">
        <v>0.03</v>
      </c>
      <c r="F1011">
        <v>60</v>
      </c>
      <c r="G1011" s="13">
        <v>44620</v>
      </c>
      <c r="H1011">
        <v>1010</v>
      </c>
      <c r="I1011">
        <v>26</v>
      </c>
      <c r="J1011">
        <v>2.5000000000000001E-3</v>
      </c>
      <c r="K1011" s="14">
        <v>5622.8608592073597</v>
      </c>
      <c r="L1011" s="14">
        <v>333914.14612083195</v>
      </c>
      <c r="M1011" s="36">
        <f>IF(Output[[#This Row],[Index]]=1,Output[[#This Row],[Droit Utilisation]],P1010)</f>
        <v>200834.58757025193</v>
      </c>
      <c r="N1011" s="15">
        <f>Output[[#This Row],[Capital Debut Period]]*Output[[#This Row],[Tx_interet_M]]</f>
        <v>502.08646892562984</v>
      </c>
      <c r="O1011" s="15">
        <f>Output[[#This Row],[Mensualité initial]]-Output[[#This Row],[Interet]]</f>
        <v>5497.9135310743704</v>
      </c>
      <c r="P1011" s="15">
        <f>Output[[#This Row],[Capital Debut Period]]-Output[[#This Row],[Paiement Principal]]</f>
        <v>195336.67403917757</v>
      </c>
      <c r="Q1011" s="15">
        <f>Output[[#This Row],[Droit Utilisation]]/Output[[#This Row],[Duree_Mois]]</f>
        <v>5565.2357686805326</v>
      </c>
    </row>
    <row r="1012" spans="1:17" x14ac:dyDescent="0.25">
      <c r="A1012" s="11" t="s">
        <v>17</v>
      </c>
      <c r="B1012" s="12">
        <v>43831</v>
      </c>
      <c r="C1012">
        <v>6000</v>
      </c>
      <c r="D1012">
        <v>5</v>
      </c>
      <c r="E1012">
        <v>0.03</v>
      </c>
      <c r="F1012">
        <v>60</v>
      </c>
      <c r="G1012" s="13">
        <v>44651</v>
      </c>
      <c r="H1012">
        <v>1011</v>
      </c>
      <c r="I1012">
        <v>27</v>
      </c>
      <c r="J1012">
        <v>2.5000000000000001E-3</v>
      </c>
      <c r="K1012" s="14">
        <v>5608.838762301606</v>
      </c>
      <c r="L1012" s="14">
        <v>333914.14612083195</v>
      </c>
      <c r="M1012" s="36">
        <f>IF(Output[[#This Row],[Index]]=1,Output[[#This Row],[Droit Utilisation]],P1011)</f>
        <v>195336.67403917757</v>
      </c>
      <c r="N1012" s="15">
        <f>Output[[#This Row],[Capital Debut Period]]*Output[[#This Row],[Tx_interet_M]]</f>
        <v>488.34168509794392</v>
      </c>
      <c r="O1012" s="15">
        <f>Output[[#This Row],[Mensualité initial]]-Output[[#This Row],[Interet]]</f>
        <v>5511.6583149020562</v>
      </c>
      <c r="P1012" s="15">
        <f>Output[[#This Row],[Capital Debut Period]]-Output[[#This Row],[Paiement Principal]]</f>
        <v>189825.01572427552</v>
      </c>
      <c r="Q1012" s="15">
        <f>Output[[#This Row],[Droit Utilisation]]/Output[[#This Row],[Duree_Mois]]</f>
        <v>5565.2357686805326</v>
      </c>
    </row>
    <row r="1013" spans="1:17" x14ac:dyDescent="0.25">
      <c r="A1013" s="11" t="s">
        <v>17</v>
      </c>
      <c r="B1013" s="12">
        <v>43831</v>
      </c>
      <c r="C1013">
        <v>6000</v>
      </c>
      <c r="D1013">
        <v>5</v>
      </c>
      <c r="E1013">
        <v>0.03</v>
      </c>
      <c r="F1013">
        <v>60</v>
      </c>
      <c r="G1013" s="13">
        <v>44681</v>
      </c>
      <c r="H1013">
        <v>1012</v>
      </c>
      <c r="I1013">
        <v>28</v>
      </c>
      <c r="J1013">
        <v>2.5000000000000001E-3</v>
      </c>
      <c r="K1013" s="14">
        <v>5594.85163321856</v>
      </c>
      <c r="L1013" s="14">
        <v>333914.14612083195</v>
      </c>
      <c r="M1013" s="36">
        <f>IF(Output[[#This Row],[Index]]=1,Output[[#This Row],[Droit Utilisation]],P1012)</f>
        <v>189825.01572427552</v>
      </c>
      <c r="N1013" s="15">
        <f>Output[[#This Row],[Capital Debut Period]]*Output[[#This Row],[Tx_interet_M]]</f>
        <v>474.56253931068881</v>
      </c>
      <c r="O1013" s="15">
        <f>Output[[#This Row],[Mensualité initial]]-Output[[#This Row],[Interet]]</f>
        <v>5525.4374606893116</v>
      </c>
      <c r="P1013" s="15">
        <f>Output[[#This Row],[Capital Debut Period]]-Output[[#This Row],[Paiement Principal]]</f>
        <v>184299.57826358621</v>
      </c>
      <c r="Q1013" s="15">
        <f>Output[[#This Row],[Droit Utilisation]]/Output[[#This Row],[Duree_Mois]]</f>
        <v>5565.2357686805326</v>
      </c>
    </row>
    <row r="1014" spans="1:17" x14ac:dyDescent="0.25">
      <c r="A1014" s="11" t="s">
        <v>17</v>
      </c>
      <c r="B1014" s="12">
        <v>43831</v>
      </c>
      <c r="C1014">
        <v>6000</v>
      </c>
      <c r="D1014">
        <v>5</v>
      </c>
      <c r="E1014">
        <v>0.03</v>
      </c>
      <c r="F1014">
        <v>60</v>
      </c>
      <c r="G1014" s="13">
        <v>44712</v>
      </c>
      <c r="H1014">
        <v>1013</v>
      </c>
      <c r="I1014">
        <v>29</v>
      </c>
      <c r="J1014">
        <v>2.5000000000000001E-3</v>
      </c>
      <c r="K1014" s="14">
        <v>5580.899384756669</v>
      </c>
      <c r="L1014" s="14">
        <v>333914.14612083195</v>
      </c>
      <c r="M1014" s="36">
        <f>IF(Output[[#This Row],[Index]]=1,Output[[#This Row],[Droit Utilisation]],P1013)</f>
        <v>184299.57826358621</v>
      </c>
      <c r="N1014" s="15">
        <f>Output[[#This Row],[Capital Debut Period]]*Output[[#This Row],[Tx_interet_M]]</f>
        <v>460.74894565896557</v>
      </c>
      <c r="O1014" s="15">
        <f>Output[[#This Row],[Mensualité initial]]-Output[[#This Row],[Interet]]</f>
        <v>5539.2510543410344</v>
      </c>
      <c r="P1014" s="15">
        <f>Output[[#This Row],[Capital Debut Period]]-Output[[#This Row],[Paiement Principal]]</f>
        <v>178760.32720924518</v>
      </c>
      <c r="Q1014" s="15">
        <f>Output[[#This Row],[Droit Utilisation]]/Output[[#This Row],[Duree_Mois]]</f>
        <v>5565.2357686805326</v>
      </c>
    </row>
    <row r="1015" spans="1:17" x14ac:dyDescent="0.25">
      <c r="A1015" s="11" t="s">
        <v>17</v>
      </c>
      <c r="B1015" s="12">
        <v>43831</v>
      </c>
      <c r="C1015">
        <v>6000</v>
      </c>
      <c r="D1015">
        <v>5</v>
      </c>
      <c r="E1015">
        <v>0.03</v>
      </c>
      <c r="F1015">
        <v>60</v>
      </c>
      <c r="G1015" s="13">
        <v>44742</v>
      </c>
      <c r="H1015">
        <v>1014</v>
      </c>
      <c r="I1015">
        <v>30</v>
      </c>
      <c r="J1015">
        <v>2.5000000000000001E-3</v>
      </c>
      <c r="K1015" s="14">
        <v>5566.9819299318397</v>
      </c>
      <c r="L1015" s="14">
        <v>333914.14612083195</v>
      </c>
      <c r="M1015" s="36">
        <f>IF(Output[[#This Row],[Index]]=1,Output[[#This Row],[Droit Utilisation]],P1014)</f>
        <v>178760.32720924518</v>
      </c>
      <c r="N1015" s="15">
        <f>Output[[#This Row],[Capital Debut Period]]*Output[[#This Row],[Tx_interet_M]]</f>
        <v>446.90081802311295</v>
      </c>
      <c r="O1015" s="15">
        <f>Output[[#This Row],[Mensualité initial]]-Output[[#This Row],[Interet]]</f>
        <v>5553.0991819768869</v>
      </c>
      <c r="P1015" s="15">
        <f>Output[[#This Row],[Capital Debut Period]]-Output[[#This Row],[Paiement Principal]]</f>
        <v>173207.22802726828</v>
      </c>
      <c r="Q1015" s="15">
        <f>Output[[#This Row],[Droit Utilisation]]/Output[[#This Row],[Duree_Mois]]</f>
        <v>5565.2357686805326</v>
      </c>
    </row>
    <row r="1016" spans="1:17" x14ac:dyDescent="0.25">
      <c r="A1016" s="11" t="s">
        <v>17</v>
      </c>
      <c r="B1016" s="12">
        <v>43831</v>
      </c>
      <c r="C1016">
        <v>6000</v>
      </c>
      <c r="D1016">
        <v>5</v>
      </c>
      <c r="E1016">
        <v>0.03</v>
      </c>
      <c r="F1016">
        <v>60</v>
      </c>
      <c r="G1016" s="13">
        <v>44773</v>
      </c>
      <c r="H1016">
        <v>1015</v>
      </c>
      <c r="I1016">
        <v>31</v>
      </c>
      <c r="J1016">
        <v>2.5000000000000001E-3</v>
      </c>
      <c r="K1016" s="14">
        <v>5553.0991819768969</v>
      </c>
      <c r="L1016" s="14">
        <v>333914.14612083195</v>
      </c>
      <c r="M1016" s="36">
        <f>IF(Output[[#This Row],[Index]]=1,Output[[#This Row],[Droit Utilisation]],P1015)</f>
        <v>173207.22802726828</v>
      </c>
      <c r="N1016" s="15">
        <f>Output[[#This Row],[Capital Debut Period]]*Output[[#This Row],[Tx_interet_M]]</f>
        <v>433.01807006817074</v>
      </c>
      <c r="O1016" s="15">
        <f>Output[[#This Row],[Mensualité initial]]-Output[[#This Row],[Interet]]</f>
        <v>5566.9819299318297</v>
      </c>
      <c r="P1016" s="15">
        <f>Output[[#This Row],[Capital Debut Period]]-Output[[#This Row],[Paiement Principal]]</f>
        <v>167640.24609733647</v>
      </c>
      <c r="Q1016" s="15">
        <f>Output[[#This Row],[Droit Utilisation]]/Output[[#This Row],[Duree_Mois]]</f>
        <v>5565.2357686805326</v>
      </c>
    </row>
    <row r="1017" spans="1:17" x14ac:dyDescent="0.25">
      <c r="A1017" s="11" t="s">
        <v>17</v>
      </c>
      <c r="B1017" s="12">
        <v>43831</v>
      </c>
      <c r="C1017">
        <v>6000</v>
      </c>
      <c r="D1017">
        <v>5</v>
      </c>
      <c r="E1017">
        <v>0.03</v>
      </c>
      <c r="F1017">
        <v>60</v>
      </c>
      <c r="G1017" s="13">
        <v>44804</v>
      </c>
      <c r="H1017">
        <v>1016</v>
      </c>
      <c r="I1017">
        <v>32</v>
      </c>
      <c r="J1017">
        <v>2.5000000000000001E-3</v>
      </c>
      <c r="K1017" s="14">
        <v>5539.2510543410453</v>
      </c>
      <c r="L1017" s="14">
        <v>333914.14612083195</v>
      </c>
      <c r="M1017" s="36">
        <f>IF(Output[[#This Row],[Index]]=1,Output[[#This Row],[Droit Utilisation]],P1016)</f>
        <v>167640.24609733647</v>
      </c>
      <c r="N1017" s="15">
        <f>Output[[#This Row],[Capital Debut Period]]*Output[[#This Row],[Tx_interet_M]]</f>
        <v>419.10061524334117</v>
      </c>
      <c r="O1017" s="15">
        <f>Output[[#This Row],[Mensualité initial]]-Output[[#This Row],[Interet]]</f>
        <v>5580.8993847566589</v>
      </c>
      <c r="P1017" s="15">
        <f>Output[[#This Row],[Capital Debut Period]]-Output[[#This Row],[Paiement Principal]]</f>
        <v>162059.34671257981</v>
      </c>
      <c r="Q1017" s="15">
        <f>Output[[#This Row],[Droit Utilisation]]/Output[[#This Row],[Duree_Mois]]</f>
        <v>5565.2357686805326</v>
      </c>
    </row>
    <row r="1018" spans="1:17" x14ac:dyDescent="0.25">
      <c r="A1018" s="11" t="s">
        <v>17</v>
      </c>
      <c r="B1018" s="12">
        <v>43831</v>
      </c>
      <c r="C1018">
        <v>6000</v>
      </c>
      <c r="D1018">
        <v>5</v>
      </c>
      <c r="E1018">
        <v>0.03</v>
      </c>
      <c r="F1018">
        <v>60</v>
      </c>
      <c r="G1018" s="13">
        <v>44834</v>
      </c>
      <c r="H1018">
        <v>1017</v>
      </c>
      <c r="I1018">
        <v>33</v>
      </c>
      <c r="J1018">
        <v>2.5000000000000001E-3</v>
      </c>
      <c r="K1018" s="14">
        <v>5525.4374606893225</v>
      </c>
      <c r="L1018" s="14">
        <v>333914.14612083195</v>
      </c>
      <c r="M1018" s="36">
        <f>IF(Output[[#This Row],[Index]]=1,Output[[#This Row],[Droit Utilisation]],P1017)</f>
        <v>162059.34671257981</v>
      </c>
      <c r="N1018" s="15">
        <f>Output[[#This Row],[Capital Debut Period]]*Output[[#This Row],[Tx_interet_M]]</f>
        <v>405.14836678144951</v>
      </c>
      <c r="O1018" s="15">
        <f>Output[[#This Row],[Mensualité initial]]-Output[[#This Row],[Interet]]</f>
        <v>5594.8516332185509</v>
      </c>
      <c r="P1018" s="15">
        <f>Output[[#This Row],[Capital Debut Period]]-Output[[#This Row],[Paiement Principal]]</f>
        <v>156464.49507936125</v>
      </c>
      <c r="Q1018" s="15">
        <f>Output[[#This Row],[Droit Utilisation]]/Output[[#This Row],[Duree_Mois]]</f>
        <v>5565.2357686805326</v>
      </c>
    </row>
    <row r="1019" spans="1:17" x14ac:dyDescent="0.25">
      <c r="A1019" s="11" t="s">
        <v>17</v>
      </c>
      <c r="B1019" s="12">
        <v>43831</v>
      </c>
      <c r="C1019">
        <v>6000</v>
      </c>
      <c r="D1019">
        <v>5</v>
      </c>
      <c r="E1019">
        <v>0.03</v>
      </c>
      <c r="F1019">
        <v>60</v>
      </c>
      <c r="G1019" s="13">
        <v>44865</v>
      </c>
      <c r="H1019">
        <v>1018</v>
      </c>
      <c r="I1019">
        <v>34</v>
      </c>
      <c r="J1019">
        <v>2.5000000000000001E-3</v>
      </c>
      <c r="K1019" s="14">
        <v>5511.6583149020671</v>
      </c>
      <c r="L1019" s="14">
        <v>333914.14612083195</v>
      </c>
      <c r="M1019" s="36">
        <f>IF(Output[[#This Row],[Index]]=1,Output[[#This Row],[Droit Utilisation]],P1018)</f>
        <v>156464.49507936125</v>
      </c>
      <c r="N1019" s="15">
        <f>Output[[#This Row],[Capital Debut Period]]*Output[[#This Row],[Tx_interet_M]]</f>
        <v>391.16123769840311</v>
      </c>
      <c r="O1019" s="15">
        <f>Output[[#This Row],[Mensualité initial]]-Output[[#This Row],[Interet]]</f>
        <v>5608.8387623015969</v>
      </c>
      <c r="P1019" s="15">
        <f>Output[[#This Row],[Capital Debut Period]]-Output[[#This Row],[Paiement Principal]]</f>
        <v>150855.65631705965</v>
      </c>
      <c r="Q1019" s="15">
        <f>Output[[#This Row],[Droit Utilisation]]/Output[[#This Row],[Duree_Mois]]</f>
        <v>5565.2357686805326</v>
      </c>
    </row>
    <row r="1020" spans="1:17" x14ac:dyDescent="0.25">
      <c r="A1020" s="11" t="s">
        <v>17</v>
      </c>
      <c r="B1020" s="12">
        <v>43831</v>
      </c>
      <c r="C1020">
        <v>6000</v>
      </c>
      <c r="D1020">
        <v>5</v>
      </c>
      <c r="E1020">
        <v>0.03</v>
      </c>
      <c r="F1020">
        <v>60</v>
      </c>
      <c r="G1020" s="13">
        <v>44895</v>
      </c>
      <c r="H1020">
        <v>1019</v>
      </c>
      <c r="I1020">
        <v>35</v>
      </c>
      <c r="J1020">
        <v>2.5000000000000001E-3</v>
      </c>
      <c r="K1020" s="14">
        <v>5497.9135310743814</v>
      </c>
      <c r="L1020" s="14">
        <v>333914.14612083195</v>
      </c>
      <c r="M1020" s="36">
        <f>IF(Output[[#This Row],[Index]]=1,Output[[#This Row],[Droit Utilisation]],P1019)</f>
        <v>150855.65631705965</v>
      </c>
      <c r="N1020" s="15">
        <f>Output[[#This Row],[Capital Debut Period]]*Output[[#This Row],[Tx_interet_M]]</f>
        <v>377.13914079264913</v>
      </c>
      <c r="O1020" s="15">
        <f>Output[[#This Row],[Mensualité initial]]-Output[[#This Row],[Interet]]</f>
        <v>5622.8608592073506</v>
      </c>
      <c r="P1020" s="15">
        <f>Output[[#This Row],[Capital Debut Period]]-Output[[#This Row],[Paiement Principal]]</f>
        <v>145232.79545785231</v>
      </c>
      <c r="Q1020" s="15">
        <f>Output[[#This Row],[Droit Utilisation]]/Output[[#This Row],[Duree_Mois]]</f>
        <v>5565.2357686805326</v>
      </c>
    </row>
    <row r="1021" spans="1:17" x14ac:dyDescent="0.25">
      <c r="A1021" s="11" t="s">
        <v>17</v>
      </c>
      <c r="B1021" s="12">
        <v>43831</v>
      </c>
      <c r="C1021">
        <v>6000</v>
      </c>
      <c r="D1021">
        <v>5</v>
      </c>
      <c r="E1021">
        <v>0.03</v>
      </c>
      <c r="F1021">
        <v>60</v>
      </c>
      <c r="G1021" s="13">
        <v>44926</v>
      </c>
      <c r="H1021">
        <v>1020</v>
      </c>
      <c r="I1021">
        <v>36</v>
      </c>
      <c r="J1021">
        <v>2.5000000000000001E-3</v>
      </c>
      <c r="K1021" s="14">
        <v>5484.2030235155926</v>
      </c>
      <c r="L1021" s="14">
        <v>333914.14612083195</v>
      </c>
      <c r="M1021" s="36">
        <f>IF(Output[[#This Row],[Index]]=1,Output[[#This Row],[Droit Utilisation]],P1020)</f>
        <v>145232.79545785231</v>
      </c>
      <c r="N1021" s="15">
        <f>Output[[#This Row],[Capital Debut Period]]*Output[[#This Row],[Tx_interet_M]]</f>
        <v>363.08198864463077</v>
      </c>
      <c r="O1021" s="15">
        <f>Output[[#This Row],[Mensualité initial]]-Output[[#This Row],[Interet]]</f>
        <v>5636.9180113553693</v>
      </c>
      <c r="P1021" s="15">
        <f>Output[[#This Row],[Capital Debut Period]]-Output[[#This Row],[Paiement Principal]]</f>
        <v>139595.87744649695</v>
      </c>
      <c r="Q1021" s="15">
        <f>Output[[#This Row],[Droit Utilisation]]/Output[[#This Row],[Duree_Mois]]</f>
        <v>5565.2357686805326</v>
      </c>
    </row>
    <row r="1022" spans="1:17" x14ac:dyDescent="0.25">
      <c r="A1022" s="11" t="s">
        <v>17</v>
      </c>
      <c r="B1022" s="12">
        <v>43831</v>
      </c>
      <c r="C1022">
        <v>6000</v>
      </c>
      <c r="D1022">
        <v>5</v>
      </c>
      <c r="E1022">
        <v>0.03</v>
      </c>
      <c r="F1022">
        <v>60</v>
      </c>
      <c r="G1022" s="13">
        <v>44957</v>
      </c>
      <c r="H1022">
        <v>1021</v>
      </c>
      <c r="I1022">
        <v>37</v>
      </c>
      <c r="J1022">
        <v>2.5000000000000001E-3</v>
      </c>
      <c r="K1022" s="14">
        <v>5470.5267067487212</v>
      </c>
      <c r="L1022" s="14">
        <v>333914.14612083195</v>
      </c>
      <c r="M1022" s="36">
        <f>IF(Output[[#This Row],[Index]]=1,Output[[#This Row],[Droit Utilisation]],P1021)</f>
        <v>139595.87744649695</v>
      </c>
      <c r="N1022" s="15">
        <f>Output[[#This Row],[Capital Debut Period]]*Output[[#This Row],[Tx_interet_M]]</f>
        <v>348.98969361624239</v>
      </c>
      <c r="O1022" s="15">
        <f>Output[[#This Row],[Mensualité initial]]-Output[[#This Row],[Interet]]</f>
        <v>5651.0103063837578</v>
      </c>
      <c r="P1022" s="15">
        <f>Output[[#This Row],[Capital Debut Period]]-Output[[#This Row],[Paiement Principal]]</f>
        <v>133944.8671401132</v>
      </c>
      <c r="Q1022" s="15">
        <f>Output[[#This Row],[Droit Utilisation]]/Output[[#This Row],[Duree_Mois]]</f>
        <v>5565.2357686805326</v>
      </c>
    </row>
    <row r="1023" spans="1:17" x14ac:dyDescent="0.25">
      <c r="A1023" s="11" t="s">
        <v>17</v>
      </c>
      <c r="B1023" s="12">
        <v>43831</v>
      </c>
      <c r="C1023">
        <v>6000</v>
      </c>
      <c r="D1023">
        <v>5</v>
      </c>
      <c r="E1023">
        <v>0.03</v>
      </c>
      <c r="F1023">
        <v>60</v>
      </c>
      <c r="G1023" s="13">
        <v>44985</v>
      </c>
      <c r="H1023">
        <v>1022</v>
      </c>
      <c r="I1023">
        <v>38</v>
      </c>
      <c r="J1023">
        <v>2.5000000000000001E-3</v>
      </c>
      <c r="K1023" s="14">
        <v>5456.8844955099466</v>
      </c>
      <c r="L1023" s="14">
        <v>333914.14612083195</v>
      </c>
      <c r="M1023" s="36">
        <f>IF(Output[[#This Row],[Index]]=1,Output[[#This Row],[Droit Utilisation]],P1022)</f>
        <v>133944.8671401132</v>
      </c>
      <c r="N1023" s="15">
        <f>Output[[#This Row],[Capital Debut Period]]*Output[[#This Row],[Tx_interet_M]]</f>
        <v>334.86216785028302</v>
      </c>
      <c r="O1023" s="15">
        <f>Output[[#This Row],[Mensualité initial]]-Output[[#This Row],[Interet]]</f>
        <v>5665.1378321497168</v>
      </c>
      <c r="P1023" s="15">
        <f>Output[[#This Row],[Capital Debut Period]]-Output[[#This Row],[Paiement Principal]]</f>
        <v>128279.72930796348</v>
      </c>
      <c r="Q1023" s="15">
        <f>Output[[#This Row],[Droit Utilisation]]/Output[[#This Row],[Duree_Mois]]</f>
        <v>5565.2357686805326</v>
      </c>
    </row>
    <row r="1024" spans="1:17" x14ac:dyDescent="0.25">
      <c r="A1024" s="11" t="s">
        <v>17</v>
      </c>
      <c r="B1024" s="12">
        <v>43831</v>
      </c>
      <c r="C1024">
        <v>6000</v>
      </c>
      <c r="D1024">
        <v>5</v>
      </c>
      <c r="E1024">
        <v>0.03</v>
      </c>
      <c r="F1024">
        <v>60</v>
      </c>
      <c r="G1024" s="13">
        <v>45016</v>
      </c>
      <c r="H1024">
        <v>1023</v>
      </c>
      <c r="I1024">
        <v>39</v>
      </c>
      <c r="J1024">
        <v>2.5000000000000001E-3</v>
      </c>
      <c r="K1024" s="14">
        <v>5443.2763047480767</v>
      </c>
      <c r="L1024" s="14">
        <v>333914.14612083195</v>
      </c>
      <c r="M1024" s="36">
        <f>IF(Output[[#This Row],[Index]]=1,Output[[#This Row],[Droit Utilisation]],P1023)</f>
        <v>128279.72930796348</v>
      </c>
      <c r="N1024" s="15">
        <f>Output[[#This Row],[Capital Debut Period]]*Output[[#This Row],[Tx_interet_M]]</f>
        <v>320.69932326990869</v>
      </c>
      <c r="O1024" s="15">
        <f>Output[[#This Row],[Mensualité initial]]-Output[[#This Row],[Interet]]</f>
        <v>5679.3006767300913</v>
      </c>
      <c r="P1024" s="15">
        <f>Output[[#This Row],[Capital Debut Period]]-Output[[#This Row],[Paiement Principal]]</f>
        <v>122600.42863123339</v>
      </c>
      <c r="Q1024" s="15">
        <f>Output[[#This Row],[Droit Utilisation]]/Output[[#This Row],[Duree_Mois]]</f>
        <v>5565.2357686805326</v>
      </c>
    </row>
    <row r="1025" spans="1:17" x14ac:dyDescent="0.25">
      <c r="A1025" s="11" t="s">
        <v>17</v>
      </c>
      <c r="B1025" s="12">
        <v>43831</v>
      </c>
      <c r="C1025">
        <v>6000</v>
      </c>
      <c r="D1025">
        <v>5</v>
      </c>
      <c r="E1025">
        <v>0.03</v>
      </c>
      <c r="F1025">
        <v>60</v>
      </c>
      <c r="G1025" s="13">
        <v>45046</v>
      </c>
      <c r="H1025">
        <v>1024</v>
      </c>
      <c r="I1025">
        <v>40</v>
      </c>
      <c r="J1025">
        <v>2.5000000000000001E-3</v>
      </c>
      <c r="K1025" s="14">
        <v>5429.7020496240175</v>
      </c>
      <c r="L1025" s="14">
        <v>333914.14612083195</v>
      </c>
      <c r="M1025" s="36">
        <f>IF(Output[[#This Row],[Index]]=1,Output[[#This Row],[Droit Utilisation]],P1024)</f>
        <v>122600.42863123339</v>
      </c>
      <c r="N1025" s="15">
        <f>Output[[#This Row],[Capital Debut Period]]*Output[[#This Row],[Tx_interet_M]]</f>
        <v>306.5010715780835</v>
      </c>
      <c r="O1025" s="15">
        <f>Output[[#This Row],[Mensualité initial]]-Output[[#This Row],[Interet]]</f>
        <v>5693.4989284219164</v>
      </c>
      <c r="P1025" s="15">
        <f>Output[[#This Row],[Capital Debut Period]]-Output[[#This Row],[Paiement Principal]]</f>
        <v>116906.92970281147</v>
      </c>
      <c r="Q1025" s="15">
        <f>Output[[#This Row],[Droit Utilisation]]/Output[[#This Row],[Duree_Mois]]</f>
        <v>5565.2357686805326</v>
      </c>
    </row>
    <row r="1026" spans="1:17" x14ac:dyDescent="0.25">
      <c r="A1026" s="11" t="s">
        <v>17</v>
      </c>
      <c r="B1026" s="12">
        <v>43831</v>
      </c>
      <c r="C1026">
        <v>6000</v>
      </c>
      <c r="D1026">
        <v>5</v>
      </c>
      <c r="E1026">
        <v>0.03</v>
      </c>
      <c r="F1026">
        <v>60</v>
      </c>
      <c r="G1026" s="13">
        <v>45077</v>
      </c>
      <c r="H1026">
        <v>1025</v>
      </c>
      <c r="I1026">
        <v>41</v>
      </c>
      <c r="J1026">
        <v>2.5000000000000001E-3</v>
      </c>
      <c r="K1026" s="14">
        <v>5416.1616455102412</v>
      </c>
      <c r="L1026" s="14">
        <v>333914.14612083195</v>
      </c>
      <c r="M1026" s="36">
        <f>IF(Output[[#This Row],[Index]]=1,Output[[#This Row],[Droit Utilisation]],P1025)</f>
        <v>116906.92970281147</v>
      </c>
      <c r="N1026" s="15">
        <f>Output[[#This Row],[Capital Debut Period]]*Output[[#This Row],[Tx_interet_M]]</f>
        <v>292.26732425702869</v>
      </c>
      <c r="O1026" s="15">
        <f>Output[[#This Row],[Mensualité initial]]-Output[[#This Row],[Interet]]</f>
        <v>5707.732675742971</v>
      </c>
      <c r="P1026" s="15">
        <f>Output[[#This Row],[Capital Debut Period]]-Output[[#This Row],[Paiement Principal]]</f>
        <v>111199.1970270685</v>
      </c>
      <c r="Q1026" s="15">
        <f>Output[[#This Row],[Droit Utilisation]]/Output[[#This Row],[Duree_Mois]]</f>
        <v>5565.2357686805326</v>
      </c>
    </row>
    <row r="1027" spans="1:17" x14ac:dyDescent="0.25">
      <c r="A1027" s="11" t="s">
        <v>17</v>
      </c>
      <c r="B1027" s="12">
        <v>43831</v>
      </c>
      <c r="C1027">
        <v>6000</v>
      </c>
      <c r="D1027">
        <v>5</v>
      </c>
      <c r="E1027">
        <v>0.03</v>
      </c>
      <c r="F1027">
        <v>60</v>
      </c>
      <c r="G1027" s="13">
        <v>45107</v>
      </c>
      <c r="H1027">
        <v>1026</v>
      </c>
      <c r="I1027">
        <v>42</v>
      </c>
      <c r="J1027">
        <v>2.5000000000000001E-3</v>
      </c>
      <c r="K1027" s="14">
        <v>5402.6550079902663</v>
      </c>
      <c r="L1027" s="14">
        <v>333914.14612083195</v>
      </c>
      <c r="M1027" s="36">
        <f>IF(Output[[#This Row],[Index]]=1,Output[[#This Row],[Droit Utilisation]],P1026)</f>
        <v>111199.1970270685</v>
      </c>
      <c r="N1027" s="15">
        <f>Output[[#This Row],[Capital Debut Period]]*Output[[#This Row],[Tx_interet_M]]</f>
        <v>277.99799256767125</v>
      </c>
      <c r="O1027" s="15">
        <f>Output[[#This Row],[Mensualité initial]]-Output[[#This Row],[Interet]]</f>
        <v>5722.0020074323284</v>
      </c>
      <c r="P1027" s="15">
        <f>Output[[#This Row],[Capital Debut Period]]-Output[[#This Row],[Paiement Principal]]</f>
        <v>105477.19501963617</v>
      </c>
      <c r="Q1027" s="15">
        <f>Output[[#This Row],[Droit Utilisation]]/Output[[#This Row],[Duree_Mois]]</f>
        <v>5565.2357686805326</v>
      </c>
    </row>
    <row r="1028" spans="1:17" x14ac:dyDescent="0.25">
      <c r="A1028" s="11" t="s">
        <v>17</v>
      </c>
      <c r="B1028" s="12">
        <v>43831</v>
      </c>
      <c r="C1028">
        <v>6000</v>
      </c>
      <c r="D1028">
        <v>5</v>
      </c>
      <c r="E1028">
        <v>0.03</v>
      </c>
      <c r="F1028">
        <v>60</v>
      </c>
      <c r="G1028" s="13">
        <v>45138</v>
      </c>
      <c r="H1028">
        <v>1027</v>
      </c>
      <c r="I1028">
        <v>43</v>
      </c>
      <c r="J1028">
        <v>2.5000000000000001E-3</v>
      </c>
      <c r="K1028" s="14">
        <v>5389.1820528581211</v>
      </c>
      <c r="L1028" s="14">
        <v>333914.14612083195</v>
      </c>
      <c r="M1028" s="36">
        <f>IF(Output[[#This Row],[Index]]=1,Output[[#This Row],[Droit Utilisation]],P1027)</f>
        <v>105477.19501963617</v>
      </c>
      <c r="N1028" s="15">
        <f>Output[[#This Row],[Capital Debut Period]]*Output[[#This Row],[Tx_interet_M]]</f>
        <v>263.69298754909045</v>
      </c>
      <c r="O1028" s="15">
        <f>Output[[#This Row],[Mensualité initial]]-Output[[#This Row],[Interet]]</f>
        <v>5736.3070124509095</v>
      </c>
      <c r="P1028" s="15">
        <f>Output[[#This Row],[Capital Debut Period]]-Output[[#This Row],[Paiement Principal]]</f>
        <v>99740.888007185262</v>
      </c>
      <c r="Q1028" s="15">
        <f>Output[[#This Row],[Droit Utilisation]]/Output[[#This Row],[Duree_Mois]]</f>
        <v>5565.2357686805326</v>
      </c>
    </row>
    <row r="1029" spans="1:17" x14ac:dyDescent="0.25">
      <c r="A1029" s="11" t="s">
        <v>17</v>
      </c>
      <c r="B1029" s="12">
        <v>43831</v>
      </c>
      <c r="C1029">
        <v>6000</v>
      </c>
      <c r="D1029">
        <v>5</v>
      </c>
      <c r="E1029">
        <v>0.03</v>
      </c>
      <c r="F1029">
        <v>60</v>
      </c>
      <c r="G1029" s="13">
        <v>45169</v>
      </c>
      <c r="H1029">
        <v>1028</v>
      </c>
      <c r="I1029">
        <v>44</v>
      </c>
      <c r="J1029">
        <v>2.5000000000000001E-3</v>
      </c>
      <c r="K1029" s="14">
        <v>5375.7426961178271</v>
      </c>
      <c r="L1029" s="14">
        <v>333914.14612083195</v>
      </c>
      <c r="M1029" s="36">
        <f>IF(Output[[#This Row],[Index]]=1,Output[[#This Row],[Droit Utilisation]],P1028)</f>
        <v>99740.888007185262</v>
      </c>
      <c r="N1029" s="15">
        <f>Output[[#This Row],[Capital Debut Period]]*Output[[#This Row],[Tx_interet_M]]</f>
        <v>249.35222001796316</v>
      </c>
      <c r="O1029" s="15">
        <f>Output[[#This Row],[Mensualité initial]]-Output[[#This Row],[Interet]]</f>
        <v>5750.6477799820368</v>
      </c>
      <c r="P1029" s="15">
        <f>Output[[#This Row],[Capital Debut Period]]-Output[[#This Row],[Paiement Principal]]</f>
        <v>93990.24022720322</v>
      </c>
      <c r="Q1029" s="15">
        <f>Output[[#This Row],[Droit Utilisation]]/Output[[#This Row],[Duree_Mois]]</f>
        <v>5565.2357686805326</v>
      </c>
    </row>
    <row r="1030" spans="1:17" x14ac:dyDescent="0.25">
      <c r="A1030" s="11" t="s">
        <v>17</v>
      </c>
      <c r="B1030" s="12">
        <v>43831</v>
      </c>
      <c r="C1030">
        <v>6000</v>
      </c>
      <c r="D1030">
        <v>5</v>
      </c>
      <c r="E1030">
        <v>0.03</v>
      </c>
      <c r="F1030">
        <v>60</v>
      </c>
      <c r="G1030" s="13">
        <v>45199</v>
      </c>
      <c r="H1030">
        <v>1029</v>
      </c>
      <c r="I1030">
        <v>45</v>
      </c>
      <c r="J1030">
        <v>2.5000000000000001E-3</v>
      </c>
      <c r="K1030" s="14">
        <v>5362.3368539828707</v>
      </c>
      <c r="L1030" s="14">
        <v>333914.14612083195</v>
      </c>
      <c r="M1030" s="36">
        <f>IF(Output[[#This Row],[Index]]=1,Output[[#This Row],[Droit Utilisation]],P1029)</f>
        <v>93990.24022720322</v>
      </c>
      <c r="N1030" s="15">
        <f>Output[[#This Row],[Capital Debut Period]]*Output[[#This Row],[Tx_interet_M]]</f>
        <v>234.97560056800805</v>
      </c>
      <c r="O1030" s="15">
        <f>Output[[#This Row],[Mensualité initial]]-Output[[#This Row],[Interet]]</f>
        <v>5765.0243994319917</v>
      </c>
      <c r="P1030" s="15">
        <f>Output[[#This Row],[Capital Debut Period]]-Output[[#This Row],[Paiement Principal]]</f>
        <v>88225.21582777123</v>
      </c>
      <c r="Q1030" s="15">
        <f>Output[[#This Row],[Droit Utilisation]]/Output[[#This Row],[Duree_Mois]]</f>
        <v>5565.2357686805326</v>
      </c>
    </row>
    <row r="1031" spans="1:17" x14ac:dyDescent="0.25">
      <c r="A1031" s="11" t="s">
        <v>17</v>
      </c>
      <c r="B1031" s="12">
        <v>43831</v>
      </c>
      <c r="C1031">
        <v>6000</v>
      </c>
      <c r="D1031">
        <v>5</v>
      </c>
      <c r="E1031">
        <v>0.03</v>
      </c>
      <c r="F1031">
        <v>60</v>
      </c>
      <c r="G1031" s="13">
        <v>45230</v>
      </c>
      <c r="H1031">
        <v>1030</v>
      </c>
      <c r="I1031">
        <v>46</v>
      </c>
      <c r="J1031">
        <v>2.5000000000000001E-3</v>
      </c>
      <c r="K1031" s="14">
        <v>5348.9644428756819</v>
      </c>
      <c r="L1031" s="14">
        <v>333914.14612083195</v>
      </c>
      <c r="M1031" s="36">
        <f>IF(Output[[#This Row],[Index]]=1,Output[[#This Row],[Droit Utilisation]],P1030)</f>
        <v>88225.21582777123</v>
      </c>
      <c r="N1031" s="15">
        <f>Output[[#This Row],[Capital Debut Period]]*Output[[#This Row],[Tx_interet_M]]</f>
        <v>220.56303956942807</v>
      </c>
      <c r="O1031" s="15">
        <f>Output[[#This Row],[Mensualité initial]]-Output[[#This Row],[Interet]]</f>
        <v>5779.4369604305721</v>
      </c>
      <c r="P1031" s="15">
        <f>Output[[#This Row],[Capital Debut Period]]-Output[[#This Row],[Paiement Principal]]</f>
        <v>82445.778867340661</v>
      </c>
      <c r="Q1031" s="15">
        <f>Output[[#This Row],[Droit Utilisation]]/Output[[#This Row],[Duree_Mois]]</f>
        <v>5565.2357686805326</v>
      </c>
    </row>
    <row r="1032" spans="1:17" x14ac:dyDescent="0.25">
      <c r="A1032" s="11" t="s">
        <v>17</v>
      </c>
      <c r="B1032" s="12">
        <v>43831</v>
      </c>
      <c r="C1032">
        <v>6000</v>
      </c>
      <c r="D1032">
        <v>5</v>
      </c>
      <c r="E1032">
        <v>0.03</v>
      </c>
      <c r="F1032">
        <v>60</v>
      </c>
      <c r="G1032" s="13">
        <v>45260</v>
      </c>
      <c r="H1032">
        <v>1031</v>
      </c>
      <c r="I1032">
        <v>47</v>
      </c>
      <c r="J1032">
        <v>2.5000000000000001E-3</v>
      </c>
      <c r="K1032" s="14">
        <v>5335.6253794271142</v>
      </c>
      <c r="L1032" s="14">
        <v>333914.14612083195</v>
      </c>
      <c r="M1032" s="36">
        <f>IF(Output[[#This Row],[Index]]=1,Output[[#This Row],[Droit Utilisation]],P1031)</f>
        <v>82445.778867340661</v>
      </c>
      <c r="N1032" s="15">
        <f>Output[[#This Row],[Capital Debut Period]]*Output[[#This Row],[Tx_interet_M]]</f>
        <v>206.11444716835166</v>
      </c>
      <c r="O1032" s="15">
        <f>Output[[#This Row],[Mensualité initial]]-Output[[#This Row],[Interet]]</f>
        <v>5793.8855528316481</v>
      </c>
      <c r="P1032" s="15">
        <f>Output[[#This Row],[Capital Debut Period]]-Output[[#This Row],[Paiement Principal]]</f>
        <v>76651.893314509012</v>
      </c>
      <c r="Q1032" s="15">
        <f>Output[[#This Row],[Droit Utilisation]]/Output[[#This Row],[Duree_Mois]]</f>
        <v>5565.2357686805326</v>
      </c>
    </row>
    <row r="1033" spans="1:17" x14ac:dyDescent="0.25">
      <c r="A1033" s="11" t="s">
        <v>17</v>
      </c>
      <c r="B1033" s="12">
        <v>43831</v>
      </c>
      <c r="C1033">
        <v>6000</v>
      </c>
      <c r="D1033">
        <v>5</v>
      </c>
      <c r="E1033">
        <v>0.03</v>
      </c>
      <c r="F1033">
        <v>60</v>
      </c>
      <c r="G1033" s="13">
        <v>45291</v>
      </c>
      <c r="H1033">
        <v>1032</v>
      </c>
      <c r="I1033">
        <v>48</v>
      </c>
      <c r="J1033">
        <v>2.5000000000000001E-3</v>
      </c>
      <c r="K1033" s="14">
        <v>5322.3195804759243</v>
      </c>
      <c r="L1033" s="14">
        <v>333914.14612083195</v>
      </c>
      <c r="M1033" s="36">
        <f>IF(Output[[#This Row],[Index]]=1,Output[[#This Row],[Droit Utilisation]],P1032)</f>
        <v>76651.893314509012</v>
      </c>
      <c r="N1033" s="15">
        <f>Output[[#This Row],[Capital Debut Period]]*Output[[#This Row],[Tx_interet_M]]</f>
        <v>191.62973328627254</v>
      </c>
      <c r="O1033" s="15">
        <f>Output[[#This Row],[Mensualité initial]]-Output[[#This Row],[Interet]]</f>
        <v>5808.3702667137277</v>
      </c>
      <c r="P1033" s="15">
        <f>Output[[#This Row],[Capital Debut Period]]-Output[[#This Row],[Paiement Principal]]</f>
        <v>70843.523047795286</v>
      </c>
      <c r="Q1033" s="15">
        <f>Output[[#This Row],[Droit Utilisation]]/Output[[#This Row],[Duree_Mois]]</f>
        <v>5565.2357686805326</v>
      </c>
    </row>
    <row r="1034" spans="1:17" x14ac:dyDescent="0.25">
      <c r="A1034" s="11" t="s">
        <v>17</v>
      </c>
      <c r="B1034" s="12">
        <v>43831</v>
      </c>
      <c r="C1034">
        <v>6000</v>
      </c>
      <c r="D1034">
        <v>5</v>
      </c>
      <c r="E1034">
        <v>0.03</v>
      </c>
      <c r="F1034">
        <v>60</v>
      </c>
      <c r="G1034" s="13">
        <v>45322</v>
      </c>
      <c r="H1034">
        <v>1033</v>
      </c>
      <c r="I1034">
        <v>49</v>
      </c>
      <c r="J1034">
        <v>2.5000000000000001E-3</v>
      </c>
      <c r="K1034" s="14">
        <v>5309.0469630682537</v>
      </c>
      <c r="L1034" s="14">
        <v>333914.14612083195</v>
      </c>
      <c r="M1034" s="36">
        <f>IF(Output[[#This Row],[Index]]=1,Output[[#This Row],[Droit Utilisation]],P1033)</f>
        <v>70843.523047795286</v>
      </c>
      <c r="N1034" s="15">
        <f>Output[[#This Row],[Capital Debut Period]]*Output[[#This Row],[Tx_interet_M]]</f>
        <v>177.10880761948823</v>
      </c>
      <c r="O1034" s="15">
        <f>Output[[#This Row],[Mensualité initial]]-Output[[#This Row],[Interet]]</f>
        <v>5822.8911923805117</v>
      </c>
      <c r="P1034" s="15">
        <f>Output[[#This Row],[Capital Debut Period]]-Output[[#This Row],[Paiement Principal]]</f>
        <v>65020.631855414773</v>
      </c>
      <c r="Q1034" s="15">
        <f>Output[[#This Row],[Droit Utilisation]]/Output[[#This Row],[Duree_Mois]]</f>
        <v>5565.2357686805326</v>
      </c>
    </row>
    <row r="1035" spans="1:17" x14ac:dyDescent="0.25">
      <c r="A1035" s="11" t="s">
        <v>17</v>
      </c>
      <c r="B1035" s="12">
        <v>43831</v>
      </c>
      <c r="C1035">
        <v>6000</v>
      </c>
      <c r="D1035">
        <v>5</v>
      </c>
      <c r="E1035">
        <v>0.03</v>
      </c>
      <c r="F1035">
        <v>60</v>
      </c>
      <c r="G1035" s="13">
        <v>45351</v>
      </c>
      <c r="H1035">
        <v>1034</v>
      </c>
      <c r="I1035">
        <v>50</v>
      </c>
      <c r="J1035">
        <v>2.5000000000000001E-3</v>
      </c>
      <c r="K1035" s="14">
        <v>5295.8074444571121</v>
      </c>
      <c r="L1035" s="14">
        <v>333914.14612083195</v>
      </c>
      <c r="M1035" s="36">
        <f>IF(Output[[#This Row],[Index]]=1,Output[[#This Row],[Droit Utilisation]],P1034)</f>
        <v>65020.631855414773</v>
      </c>
      <c r="N1035" s="15">
        <f>Output[[#This Row],[Capital Debut Period]]*Output[[#This Row],[Tx_interet_M]]</f>
        <v>162.55157963853694</v>
      </c>
      <c r="O1035" s="15">
        <f>Output[[#This Row],[Mensualité initial]]-Output[[#This Row],[Interet]]</f>
        <v>5837.4484203614629</v>
      </c>
      <c r="P1035" s="15">
        <f>Output[[#This Row],[Capital Debut Period]]-Output[[#This Row],[Paiement Principal]]</f>
        <v>59183.18343505331</v>
      </c>
      <c r="Q1035" s="15">
        <f>Output[[#This Row],[Droit Utilisation]]/Output[[#This Row],[Duree_Mois]]</f>
        <v>5565.2357686805326</v>
      </c>
    </row>
    <row r="1036" spans="1:17" x14ac:dyDescent="0.25">
      <c r="A1036" s="11" t="s">
        <v>17</v>
      </c>
      <c r="B1036" s="12">
        <v>43831</v>
      </c>
      <c r="C1036">
        <v>6000</v>
      </c>
      <c r="D1036">
        <v>5</v>
      </c>
      <c r="E1036">
        <v>0.03</v>
      </c>
      <c r="F1036">
        <v>60</v>
      </c>
      <c r="G1036" s="13">
        <v>45382</v>
      </c>
      <c r="H1036">
        <v>1035</v>
      </c>
      <c r="I1036">
        <v>51</v>
      </c>
      <c r="J1036">
        <v>2.5000000000000001E-3</v>
      </c>
      <c r="K1036" s="14">
        <v>5282.6009421018571</v>
      </c>
      <c r="L1036" s="14">
        <v>333914.14612083195</v>
      </c>
      <c r="M1036" s="36">
        <f>IF(Output[[#This Row],[Index]]=1,Output[[#This Row],[Droit Utilisation]],P1035)</f>
        <v>59183.18343505331</v>
      </c>
      <c r="N1036" s="15">
        <f>Output[[#This Row],[Capital Debut Period]]*Output[[#This Row],[Tx_interet_M]]</f>
        <v>147.95795858763327</v>
      </c>
      <c r="O1036" s="15">
        <f>Output[[#This Row],[Mensualité initial]]-Output[[#This Row],[Interet]]</f>
        <v>5852.0420414123664</v>
      </c>
      <c r="P1036" s="15">
        <f>Output[[#This Row],[Capital Debut Period]]-Output[[#This Row],[Paiement Principal]]</f>
        <v>53331.141393640944</v>
      </c>
      <c r="Q1036" s="15">
        <f>Output[[#This Row],[Droit Utilisation]]/Output[[#This Row],[Duree_Mois]]</f>
        <v>5565.2357686805326</v>
      </c>
    </row>
    <row r="1037" spans="1:17" x14ac:dyDescent="0.25">
      <c r="A1037" s="11" t="s">
        <v>17</v>
      </c>
      <c r="B1037" s="12">
        <v>43831</v>
      </c>
      <c r="C1037">
        <v>6000</v>
      </c>
      <c r="D1037">
        <v>5</v>
      </c>
      <c r="E1037">
        <v>0.03</v>
      </c>
      <c r="F1037">
        <v>60</v>
      </c>
      <c r="G1037" s="13">
        <v>45412</v>
      </c>
      <c r="H1037">
        <v>1036</v>
      </c>
      <c r="I1037">
        <v>52</v>
      </c>
      <c r="J1037">
        <v>2.5000000000000001E-3</v>
      </c>
      <c r="K1037" s="14">
        <v>5269.4273736676878</v>
      </c>
      <c r="L1037" s="14">
        <v>333914.14612083195</v>
      </c>
      <c r="M1037" s="36">
        <f>IF(Output[[#This Row],[Index]]=1,Output[[#This Row],[Droit Utilisation]],P1036)</f>
        <v>53331.141393640944</v>
      </c>
      <c r="N1037" s="15">
        <f>Output[[#This Row],[Capital Debut Period]]*Output[[#This Row],[Tx_interet_M]]</f>
        <v>133.32785348410238</v>
      </c>
      <c r="O1037" s="15">
        <f>Output[[#This Row],[Mensualité initial]]-Output[[#This Row],[Interet]]</f>
        <v>5866.672146515898</v>
      </c>
      <c r="P1037" s="15">
        <f>Output[[#This Row],[Capital Debut Period]]-Output[[#This Row],[Paiement Principal]]</f>
        <v>47464.469247125046</v>
      </c>
      <c r="Q1037" s="15">
        <f>Output[[#This Row],[Droit Utilisation]]/Output[[#This Row],[Duree_Mois]]</f>
        <v>5565.2357686805326</v>
      </c>
    </row>
    <row r="1038" spans="1:17" x14ac:dyDescent="0.25">
      <c r="A1038" s="11" t="s">
        <v>17</v>
      </c>
      <c r="B1038" s="12">
        <v>43831</v>
      </c>
      <c r="C1038">
        <v>6000</v>
      </c>
      <c r="D1038">
        <v>5</v>
      </c>
      <c r="E1038">
        <v>0.03</v>
      </c>
      <c r="F1038">
        <v>60</v>
      </c>
      <c r="G1038" s="13">
        <v>45443</v>
      </c>
      <c r="H1038">
        <v>1037</v>
      </c>
      <c r="I1038">
        <v>53</v>
      </c>
      <c r="J1038">
        <v>2.5000000000000001E-3</v>
      </c>
      <c r="K1038" s="14">
        <v>5256.2866570251254</v>
      </c>
      <c r="L1038" s="14">
        <v>333914.14612083195</v>
      </c>
      <c r="M1038" s="36">
        <f>IF(Output[[#This Row],[Index]]=1,Output[[#This Row],[Droit Utilisation]],P1037)</f>
        <v>47464.469247125046</v>
      </c>
      <c r="N1038" s="15">
        <f>Output[[#This Row],[Capital Debut Period]]*Output[[#This Row],[Tx_interet_M]]</f>
        <v>118.66117311781261</v>
      </c>
      <c r="O1038" s="15">
        <f>Output[[#This Row],[Mensualité initial]]-Output[[#This Row],[Interet]]</f>
        <v>5881.3388268821873</v>
      </c>
      <c r="P1038" s="15">
        <f>Output[[#This Row],[Capital Debut Period]]-Output[[#This Row],[Paiement Principal]]</f>
        <v>41583.130420242858</v>
      </c>
      <c r="Q1038" s="15">
        <f>Output[[#This Row],[Droit Utilisation]]/Output[[#This Row],[Duree_Mois]]</f>
        <v>5565.2357686805326</v>
      </c>
    </row>
    <row r="1039" spans="1:17" x14ac:dyDescent="0.25">
      <c r="A1039" s="11" t="s">
        <v>17</v>
      </c>
      <c r="B1039" s="12">
        <v>43831</v>
      </c>
      <c r="C1039">
        <v>6000</v>
      </c>
      <c r="D1039">
        <v>5</v>
      </c>
      <c r="E1039">
        <v>0.03</v>
      </c>
      <c r="F1039">
        <v>60</v>
      </c>
      <c r="G1039" s="13">
        <v>45473</v>
      </c>
      <c r="H1039">
        <v>1038</v>
      </c>
      <c r="I1039">
        <v>54</v>
      </c>
      <c r="J1039">
        <v>2.5000000000000001E-3</v>
      </c>
      <c r="K1039" s="14">
        <v>5243.1787102495018</v>
      </c>
      <c r="L1039" s="14">
        <v>333914.14612083195</v>
      </c>
      <c r="M1039" s="36">
        <f>IF(Output[[#This Row],[Index]]=1,Output[[#This Row],[Droit Utilisation]],P1038)</f>
        <v>41583.130420242858</v>
      </c>
      <c r="N1039" s="15">
        <f>Output[[#This Row],[Capital Debut Period]]*Output[[#This Row],[Tx_interet_M]]</f>
        <v>103.95782605060715</v>
      </c>
      <c r="O1039" s="15">
        <f>Output[[#This Row],[Mensualité initial]]-Output[[#This Row],[Interet]]</f>
        <v>5896.0421739493931</v>
      </c>
      <c r="P1039" s="15">
        <f>Output[[#This Row],[Capital Debut Period]]-Output[[#This Row],[Paiement Principal]]</f>
        <v>35687.088246293468</v>
      </c>
      <c r="Q1039" s="15">
        <f>Output[[#This Row],[Droit Utilisation]]/Output[[#This Row],[Duree_Mois]]</f>
        <v>5565.2357686805326</v>
      </c>
    </row>
    <row r="1040" spans="1:17" x14ac:dyDescent="0.25">
      <c r="A1040" s="11" t="s">
        <v>17</v>
      </c>
      <c r="B1040" s="12">
        <v>43831</v>
      </c>
      <c r="C1040">
        <v>6000</v>
      </c>
      <c r="D1040">
        <v>5</v>
      </c>
      <c r="E1040">
        <v>0.03</v>
      </c>
      <c r="F1040">
        <v>60</v>
      </c>
      <c r="G1040" s="13">
        <v>45504</v>
      </c>
      <c r="H1040">
        <v>1039</v>
      </c>
      <c r="I1040">
        <v>55</v>
      </c>
      <c r="J1040">
        <v>2.5000000000000001E-3</v>
      </c>
      <c r="K1040" s="14">
        <v>5230.1034516204509</v>
      </c>
      <c r="L1040" s="14">
        <v>333914.14612083195</v>
      </c>
      <c r="M1040" s="36">
        <f>IF(Output[[#This Row],[Index]]=1,Output[[#This Row],[Droit Utilisation]],P1039)</f>
        <v>35687.088246293468</v>
      </c>
      <c r="N1040" s="15">
        <f>Output[[#This Row],[Capital Debut Period]]*Output[[#This Row],[Tx_interet_M]]</f>
        <v>89.217720615733668</v>
      </c>
      <c r="O1040" s="15">
        <f>Output[[#This Row],[Mensualité initial]]-Output[[#This Row],[Interet]]</f>
        <v>5910.7822793842661</v>
      </c>
      <c r="P1040" s="15">
        <f>Output[[#This Row],[Capital Debut Period]]-Output[[#This Row],[Paiement Principal]]</f>
        <v>29776.305966909204</v>
      </c>
      <c r="Q1040" s="15">
        <f>Output[[#This Row],[Droit Utilisation]]/Output[[#This Row],[Duree_Mois]]</f>
        <v>5565.2357686805326</v>
      </c>
    </row>
    <row r="1041" spans="1:17" x14ac:dyDescent="0.25">
      <c r="A1041" s="11" t="s">
        <v>17</v>
      </c>
      <c r="B1041" s="12">
        <v>43831</v>
      </c>
      <c r="C1041">
        <v>6000</v>
      </c>
      <c r="D1041">
        <v>5</v>
      </c>
      <c r="E1041">
        <v>0.03</v>
      </c>
      <c r="F1041">
        <v>60</v>
      </c>
      <c r="G1041" s="13">
        <v>45535</v>
      </c>
      <c r="H1041">
        <v>1040</v>
      </c>
      <c r="I1041">
        <v>56</v>
      </c>
      <c r="J1041">
        <v>2.5000000000000001E-3</v>
      </c>
      <c r="K1041" s="14">
        <v>5217.0607996213976</v>
      </c>
      <c r="L1041" s="14">
        <v>333914.14612083195</v>
      </c>
      <c r="M1041" s="36">
        <f>IF(Output[[#This Row],[Index]]=1,Output[[#This Row],[Droit Utilisation]],P1040)</f>
        <v>29776.305966909204</v>
      </c>
      <c r="N1041" s="15">
        <f>Output[[#This Row],[Capital Debut Period]]*Output[[#This Row],[Tx_interet_M]]</f>
        <v>74.440764917273015</v>
      </c>
      <c r="O1041" s="15">
        <f>Output[[#This Row],[Mensualité initial]]-Output[[#This Row],[Interet]]</f>
        <v>5925.5592350827274</v>
      </c>
      <c r="P1041" s="15">
        <f>Output[[#This Row],[Capital Debut Period]]-Output[[#This Row],[Paiement Principal]]</f>
        <v>23850.746731826475</v>
      </c>
      <c r="Q1041" s="15">
        <f>Output[[#This Row],[Droit Utilisation]]/Output[[#This Row],[Duree_Mois]]</f>
        <v>5565.2357686805326</v>
      </c>
    </row>
    <row r="1042" spans="1:17" x14ac:dyDescent="0.25">
      <c r="A1042" s="11" t="s">
        <v>17</v>
      </c>
      <c r="B1042" s="12">
        <v>43831</v>
      </c>
      <c r="C1042">
        <v>6000</v>
      </c>
      <c r="D1042">
        <v>5</v>
      </c>
      <c r="E1042">
        <v>0.03</v>
      </c>
      <c r="F1042">
        <v>60</v>
      </c>
      <c r="G1042" s="13">
        <v>45565</v>
      </c>
      <c r="H1042">
        <v>1041</v>
      </c>
      <c r="I1042">
        <v>57</v>
      </c>
      <c r="J1042">
        <v>2.5000000000000001E-3</v>
      </c>
      <c r="K1042" s="14">
        <v>5204.0506729390509</v>
      </c>
      <c r="L1042" s="14">
        <v>333914.14612083195</v>
      </c>
      <c r="M1042" s="36">
        <f>IF(Output[[#This Row],[Index]]=1,Output[[#This Row],[Droit Utilisation]],P1041)</f>
        <v>23850.746731826475</v>
      </c>
      <c r="N1042" s="15">
        <f>Output[[#This Row],[Capital Debut Period]]*Output[[#This Row],[Tx_interet_M]]</f>
        <v>59.62686682956619</v>
      </c>
      <c r="O1042" s="15">
        <f>Output[[#This Row],[Mensualité initial]]-Output[[#This Row],[Interet]]</f>
        <v>5940.3731331704339</v>
      </c>
      <c r="P1042" s="15">
        <f>Output[[#This Row],[Capital Debut Period]]-Output[[#This Row],[Paiement Principal]]</f>
        <v>17910.373598656042</v>
      </c>
      <c r="Q1042" s="15">
        <f>Output[[#This Row],[Droit Utilisation]]/Output[[#This Row],[Duree_Mois]]</f>
        <v>5565.2357686805326</v>
      </c>
    </row>
    <row r="1043" spans="1:17" x14ac:dyDescent="0.25">
      <c r="A1043" s="11" t="s">
        <v>17</v>
      </c>
      <c r="B1043" s="12">
        <v>43831</v>
      </c>
      <c r="C1043">
        <v>6000</v>
      </c>
      <c r="D1043">
        <v>5</v>
      </c>
      <c r="E1043">
        <v>0.03</v>
      </c>
      <c r="F1043">
        <v>60</v>
      </c>
      <c r="G1043" s="13">
        <v>45596</v>
      </c>
      <c r="H1043">
        <v>1042</v>
      </c>
      <c r="I1043">
        <v>58</v>
      </c>
      <c r="J1043">
        <v>2.5000000000000001E-3</v>
      </c>
      <c r="K1043" s="14">
        <v>5191.0729904628934</v>
      </c>
      <c r="L1043" s="14">
        <v>333914.14612083195</v>
      </c>
      <c r="M1043" s="36">
        <f>IF(Output[[#This Row],[Index]]=1,Output[[#This Row],[Droit Utilisation]],P1042)</f>
        <v>17910.373598656042</v>
      </c>
      <c r="N1043" s="15">
        <f>Output[[#This Row],[Capital Debut Period]]*Output[[#This Row],[Tx_interet_M]]</f>
        <v>44.775933996640106</v>
      </c>
      <c r="O1043" s="15">
        <f>Output[[#This Row],[Mensualité initial]]-Output[[#This Row],[Interet]]</f>
        <v>5955.2240660033603</v>
      </c>
      <c r="P1043" s="15">
        <f>Output[[#This Row],[Capital Debut Period]]-Output[[#This Row],[Paiement Principal]]</f>
        <v>11955.149532652682</v>
      </c>
      <c r="Q1043" s="15">
        <f>Output[[#This Row],[Droit Utilisation]]/Output[[#This Row],[Duree_Mois]]</f>
        <v>5565.2357686805326</v>
      </c>
    </row>
    <row r="1044" spans="1:17" x14ac:dyDescent="0.25">
      <c r="A1044" s="11" t="s">
        <v>17</v>
      </c>
      <c r="B1044" s="12">
        <v>43831</v>
      </c>
      <c r="C1044">
        <v>6000</v>
      </c>
      <c r="D1044">
        <v>5</v>
      </c>
      <c r="E1044">
        <v>0.03</v>
      </c>
      <c r="F1044">
        <v>60</v>
      </c>
      <c r="G1044" s="13">
        <v>45626</v>
      </c>
      <c r="H1044">
        <v>1043</v>
      </c>
      <c r="I1044">
        <v>59</v>
      </c>
      <c r="J1044">
        <v>2.5000000000000001E-3</v>
      </c>
      <c r="K1044" s="14">
        <v>5178.127671284682</v>
      </c>
      <c r="L1044" s="14">
        <v>333914.14612083195</v>
      </c>
      <c r="M1044" s="36">
        <f>IF(Output[[#This Row],[Index]]=1,Output[[#This Row],[Droit Utilisation]],P1043)</f>
        <v>11955.149532652682</v>
      </c>
      <c r="N1044" s="15">
        <f>Output[[#This Row],[Capital Debut Period]]*Output[[#This Row],[Tx_interet_M]]</f>
        <v>29.887873831631705</v>
      </c>
      <c r="O1044" s="15">
        <f>Output[[#This Row],[Mensualité initial]]-Output[[#This Row],[Interet]]</f>
        <v>5970.1121261683684</v>
      </c>
      <c r="P1044" s="15">
        <f>Output[[#This Row],[Capital Debut Period]]-Output[[#This Row],[Paiement Principal]]</f>
        <v>5985.0374064843136</v>
      </c>
      <c r="Q1044" s="15">
        <f>Output[[#This Row],[Droit Utilisation]]/Output[[#This Row],[Duree_Mois]]</f>
        <v>5565.2357686805326</v>
      </c>
    </row>
    <row r="1045" spans="1:17" x14ac:dyDescent="0.25">
      <c r="A1045" s="11" t="s">
        <v>17</v>
      </c>
      <c r="B1045" s="12">
        <v>43831</v>
      </c>
      <c r="C1045">
        <v>6000</v>
      </c>
      <c r="D1045">
        <v>5</v>
      </c>
      <c r="E1045">
        <v>0.03</v>
      </c>
      <c r="F1045">
        <v>60</v>
      </c>
      <c r="G1045" s="13">
        <v>45657</v>
      </c>
      <c r="H1045">
        <v>1044</v>
      </c>
      <c r="I1045">
        <v>60</v>
      </c>
      <c r="J1045">
        <v>2.5000000000000001E-3</v>
      </c>
      <c r="K1045" s="14">
        <v>5165.2146346979371</v>
      </c>
      <c r="L1045" s="14">
        <v>333914.14612083195</v>
      </c>
      <c r="M1045" s="36">
        <f>IF(Output[[#This Row],[Index]]=1,Output[[#This Row],[Droit Utilisation]],P1044)</f>
        <v>5985.0374064843136</v>
      </c>
      <c r="N1045" s="15">
        <f>Output[[#This Row],[Capital Debut Period]]*Output[[#This Row],[Tx_interet_M]]</f>
        <v>14.962593516210784</v>
      </c>
      <c r="O1045" s="15">
        <f>Output[[#This Row],[Mensualité initial]]-Output[[#This Row],[Interet]]</f>
        <v>5985.0374064837888</v>
      </c>
      <c r="P1045" s="15">
        <f>Output[[#This Row],[Capital Debut Period]]-Output[[#This Row],[Paiement Principal]]</f>
        <v>5.2477844292297959E-10</v>
      </c>
      <c r="Q1045" s="15">
        <f>Output[[#This Row],[Droit Utilisation]]/Output[[#This Row],[Duree_Mois]]</f>
        <v>5565.2357686805326</v>
      </c>
    </row>
    <row r="1046" spans="1:17" x14ac:dyDescent="0.25">
      <c r="A1046" s="11" t="s">
        <v>18</v>
      </c>
      <c r="B1046" s="12">
        <v>43831</v>
      </c>
      <c r="C1046">
        <v>6000</v>
      </c>
      <c r="D1046">
        <v>5</v>
      </c>
      <c r="E1046">
        <v>0.03</v>
      </c>
      <c r="F1046">
        <v>60</v>
      </c>
      <c r="G1046" s="13">
        <v>43861</v>
      </c>
      <c r="H1046">
        <v>1045</v>
      </c>
      <c r="I1046">
        <v>1</v>
      </c>
      <c r="J1046">
        <v>2.5000000000000001E-3</v>
      </c>
      <c r="K1046" s="14">
        <v>5985.0374064837906</v>
      </c>
      <c r="L1046" s="14">
        <v>333914.14612083195</v>
      </c>
      <c r="M1046" s="36">
        <f>IF(Output[[#This Row],[Index]]=1,Output[[#This Row],[Droit Utilisation]],P1045)</f>
        <v>333914.14612083195</v>
      </c>
      <c r="N1046" s="15">
        <f>Output[[#This Row],[Capital Debut Period]]*Output[[#This Row],[Tx_interet_M]]</f>
        <v>834.78536530207987</v>
      </c>
      <c r="O1046" s="15">
        <f>Output[[#This Row],[Mensualité initial]]-Output[[#This Row],[Interet]]</f>
        <v>5165.2146346979198</v>
      </c>
      <c r="P1046" s="15">
        <f>Output[[#This Row],[Capital Debut Period]]-Output[[#This Row],[Paiement Principal]]</f>
        <v>328748.93148613401</v>
      </c>
      <c r="Q1046" s="15">
        <f>Output[[#This Row],[Droit Utilisation]]/Output[[#This Row],[Duree_Mois]]</f>
        <v>5565.2357686805326</v>
      </c>
    </row>
    <row r="1047" spans="1:17" x14ac:dyDescent="0.25">
      <c r="A1047" s="11" t="s">
        <v>18</v>
      </c>
      <c r="B1047" s="12">
        <v>43831</v>
      </c>
      <c r="C1047">
        <v>6000</v>
      </c>
      <c r="D1047">
        <v>5</v>
      </c>
      <c r="E1047">
        <v>0.03</v>
      </c>
      <c r="F1047">
        <v>60</v>
      </c>
      <c r="G1047" s="13">
        <v>43890</v>
      </c>
      <c r="H1047">
        <v>1046</v>
      </c>
      <c r="I1047">
        <v>2</v>
      </c>
      <c r="J1047">
        <v>2.5000000000000001E-3</v>
      </c>
      <c r="K1047" s="14">
        <v>5970.1121261683702</v>
      </c>
      <c r="L1047" s="14">
        <v>333914.14612083195</v>
      </c>
      <c r="M1047" s="36">
        <f>IF(Output[[#This Row],[Index]]=1,Output[[#This Row],[Droit Utilisation]],P1046)</f>
        <v>328748.93148613401</v>
      </c>
      <c r="N1047" s="15">
        <f>Output[[#This Row],[Capital Debut Period]]*Output[[#This Row],[Tx_interet_M]]</f>
        <v>821.87232871533502</v>
      </c>
      <c r="O1047" s="15">
        <f>Output[[#This Row],[Mensualité initial]]-Output[[#This Row],[Interet]]</f>
        <v>5178.1276712846648</v>
      </c>
      <c r="P1047" s="15">
        <f>Output[[#This Row],[Capital Debut Period]]-Output[[#This Row],[Paiement Principal]]</f>
        <v>323570.80381484935</v>
      </c>
      <c r="Q1047" s="15">
        <f>Output[[#This Row],[Droit Utilisation]]/Output[[#This Row],[Duree_Mois]]</f>
        <v>5565.2357686805326</v>
      </c>
    </row>
    <row r="1048" spans="1:17" x14ac:dyDescent="0.25">
      <c r="A1048" s="11" t="s">
        <v>18</v>
      </c>
      <c r="B1048" s="12">
        <v>43831</v>
      </c>
      <c r="C1048">
        <v>6000</v>
      </c>
      <c r="D1048">
        <v>5</v>
      </c>
      <c r="E1048">
        <v>0.03</v>
      </c>
      <c r="F1048">
        <v>60</v>
      </c>
      <c r="G1048" s="13">
        <v>43921</v>
      </c>
      <c r="H1048">
        <v>1047</v>
      </c>
      <c r="I1048">
        <v>3</v>
      </c>
      <c r="J1048">
        <v>2.5000000000000001E-3</v>
      </c>
      <c r="K1048" s="14">
        <v>5955.2240660033622</v>
      </c>
      <c r="L1048" s="14">
        <v>333914.14612083195</v>
      </c>
      <c r="M1048" s="36">
        <f>IF(Output[[#This Row],[Index]]=1,Output[[#This Row],[Droit Utilisation]],P1047)</f>
        <v>323570.80381484935</v>
      </c>
      <c r="N1048" s="15">
        <f>Output[[#This Row],[Capital Debut Period]]*Output[[#This Row],[Tx_interet_M]]</f>
        <v>808.92700953712335</v>
      </c>
      <c r="O1048" s="15">
        <f>Output[[#This Row],[Mensualité initial]]-Output[[#This Row],[Interet]]</f>
        <v>5191.072990462877</v>
      </c>
      <c r="P1048" s="15">
        <f>Output[[#This Row],[Capital Debut Period]]-Output[[#This Row],[Paiement Principal]]</f>
        <v>318379.73082438647</v>
      </c>
      <c r="Q1048" s="15">
        <f>Output[[#This Row],[Droit Utilisation]]/Output[[#This Row],[Duree_Mois]]</f>
        <v>5565.2357686805326</v>
      </c>
    </row>
    <row r="1049" spans="1:17" x14ac:dyDescent="0.25">
      <c r="A1049" s="11" t="s">
        <v>18</v>
      </c>
      <c r="B1049" s="12">
        <v>43831</v>
      </c>
      <c r="C1049">
        <v>6000</v>
      </c>
      <c r="D1049">
        <v>5</v>
      </c>
      <c r="E1049">
        <v>0.03</v>
      </c>
      <c r="F1049">
        <v>60</v>
      </c>
      <c r="G1049" s="13">
        <v>43951</v>
      </c>
      <c r="H1049">
        <v>1048</v>
      </c>
      <c r="I1049">
        <v>4</v>
      </c>
      <c r="J1049">
        <v>2.5000000000000001E-3</v>
      </c>
      <c r="K1049" s="14">
        <v>5940.3731331704357</v>
      </c>
      <c r="L1049" s="14">
        <v>333914.14612083195</v>
      </c>
      <c r="M1049" s="36">
        <f>IF(Output[[#This Row],[Index]]=1,Output[[#This Row],[Droit Utilisation]],P1048)</f>
        <v>318379.73082438647</v>
      </c>
      <c r="N1049" s="15">
        <f>Output[[#This Row],[Capital Debut Period]]*Output[[#This Row],[Tx_interet_M]]</f>
        <v>795.9493270609662</v>
      </c>
      <c r="O1049" s="15">
        <f>Output[[#This Row],[Mensualité initial]]-Output[[#This Row],[Interet]]</f>
        <v>5204.0506729390336</v>
      </c>
      <c r="P1049" s="15">
        <f>Output[[#This Row],[Capital Debut Period]]-Output[[#This Row],[Paiement Principal]]</f>
        <v>313175.68015144742</v>
      </c>
      <c r="Q1049" s="15">
        <f>Output[[#This Row],[Droit Utilisation]]/Output[[#This Row],[Duree_Mois]]</f>
        <v>5565.2357686805326</v>
      </c>
    </row>
    <row r="1050" spans="1:17" x14ac:dyDescent="0.25">
      <c r="A1050" s="11" t="s">
        <v>18</v>
      </c>
      <c r="B1050" s="12">
        <v>43831</v>
      </c>
      <c r="C1050">
        <v>6000</v>
      </c>
      <c r="D1050">
        <v>5</v>
      </c>
      <c r="E1050">
        <v>0.03</v>
      </c>
      <c r="F1050">
        <v>60</v>
      </c>
      <c r="G1050" s="13">
        <v>43982</v>
      </c>
      <c r="H1050">
        <v>1049</v>
      </c>
      <c r="I1050">
        <v>5</v>
      </c>
      <c r="J1050">
        <v>2.5000000000000001E-3</v>
      </c>
      <c r="K1050" s="14">
        <v>5925.5592350827301</v>
      </c>
      <c r="L1050" s="14">
        <v>333914.14612083195</v>
      </c>
      <c r="M1050" s="36">
        <f>IF(Output[[#This Row],[Index]]=1,Output[[#This Row],[Droit Utilisation]],P1049)</f>
        <v>313175.68015144742</v>
      </c>
      <c r="N1050" s="15">
        <f>Output[[#This Row],[Capital Debut Period]]*Output[[#This Row],[Tx_interet_M]]</f>
        <v>782.93920037861858</v>
      </c>
      <c r="O1050" s="15">
        <f>Output[[#This Row],[Mensualité initial]]-Output[[#This Row],[Interet]]</f>
        <v>5217.0607996213812</v>
      </c>
      <c r="P1050" s="15">
        <f>Output[[#This Row],[Capital Debut Period]]-Output[[#This Row],[Paiement Principal]]</f>
        <v>307958.61935182603</v>
      </c>
      <c r="Q1050" s="15">
        <f>Output[[#This Row],[Droit Utilisation]]/Output[[#This Row],[Duree_Mois]]</f>
        <v>5565.2357686805326</v>
      </c>
    </row>
    <row r="1051" spans="1:17" x14ac:dyDescent="0.25">
      <c r="A1051" s="11" t="s">
        <v>18</v>
      </c>
      <c r="B1051" s="12">
        <v>43831</v>
      </c>
      <c r="C1051">
        <v>6000</v>
      </c>
      <c r="D1051">
        <v>5</v>
      </c>
      <c r="E1051">
        <v>0.03</v>
      </c>
      <c r="F1051">
        <v>60</v>
      </c>
      <c r="G1051" s="13">
        <v>44012</v>
      </c>
      <c r="H1051">
        <v>1050</v>
      </c>
      <c r="I1051">
        <v>6</v>
      </c>
      <c r="J1051">
        <v>2.5000000000000001E-3</v>
      </c>
      <c r="K1051" s="14">
        <v>5910.7822793842697</v>
      </c>
      <c r="L1051" s="14">
        <v>333914.14612083195</v>
      </c>
      <c r="M1051" s="36">
        <f>IF(Output[[#This Row],[Index]]=1,Output[[#This Row],[Droit Utilisation]],P1050)</f>
        <v>307958.61935182603</v>
      </c>
      <c r="N1051" s="15">
        <f>Output[[#This Row],[Capital Debut Period]]*Output[[#This Row],[Tx_interet_M]]</f>
        <v>769.89654837956505</v>
      </c>
      <c r="O1051" s="15">
        <f>Output[[#This Row],[Mensualité initial]]-Output[[#This Row],[Interet]]</f>
        <v>5230.1034516204345</v>
      </c>
      <c r="P1051" s="15">
        <f>Output[[#This Row],[Capital Debut Period]]-Output[[#This Row],[Paiement Principal]]</f>
        <v>302728.51590020559</v>
      </c>
      <c r="Q1051" s="15">
        <f>Output[[#This Row],[Droit Utilisation]]/Output[[#This Row],[Duree_Mois]]</f>
        <v>5565.2357686805326</v>
      </c>
    </row>
    <row r="1052" spans="1:17" x14ac:dyDescent="0.25">
      <c r="A1052" s="11" t="s">
        <v>18</v>
      </c>
      <c r="B1052" s="12">
        <v>43831</v>
      </c>
      <c r="C1052">
        <v>6000</v>
      </c>
      <c r="D1052">
        <v>5</v>
      </c>
      <c r="E1052">
        <v>0.03</v>
      </c>
      <c r="F1052">
        <v>60</v>
      </c>
      <c r="G1052" s="13">
        <v>44043</v>
      </c>
      <c r="H1052">
        <v>1051</v>
      </c>
      <c r="I1052">
        <v>7</v>
      </c>
      <c r="J1052">
        <v>2.5000000000000001E-3</v>
      </c>
      <c r="K1052" s="14">
        <v>5896.0421739493959</v>
      </c>
      <c r="L1052" s="14">
        <v>333914.14612083195</v>
      </c>
      <c r="M1052" s="36">
        <f>IF(Output[[#This Row],[Index]]=1,Output[[#This Row],[Droit Utilisation]],P1051)</f>
        <v>302728.51590020559</v>
      </c>
      <c r="N1052" s="15">
        <f>Output[[#This Row],[Capital Debut Period]]*Output[[#This Row],[Tx_interet_M]]</f>
        <v>756.82128975051398</v>
      </c>
      <c r="O1052" s="15">
        <f>Output[[#This Row],[Mensualité initial]]-Output[[#This Row],[Interet]]</f>
        <v>5243.1787102494864</v>
      </c>
      <c r="P1052" s="15">
        <f>Output[[#This Row],[Capital Debut Period]]-Output[[#This Row],[Paiement Principal]]</f>
        <v>297485.3371899561</v>
      </c>
      <c r="Q1052" s="15">
        <f>Output[[#This Row],[Droit Utilisation]]/Output[[#This Row],[Duree_Mois]]</f>
        <v>5565.2357686805326</v>
      </c>
    </row>
    <row r="1053" spans="1:17" x14ac:dyDescent="0.25">
      <c r="A1053" s="11" t="s">
        <v>18</v>
      </c>
      <c r="B1053" s="12">
        <v>43831</v>
      </c>
      <c r="C1053">
        <v>6000</v>
      </c>
      <c r="D1053">
        <v>5</v>
      </c>
      <c r="E1053">
        <v>0.03</v>
      </c>
      <c r="F1053">
        <v>60</v>
      </c>
      <c r="G1053" s="13">
        <v>44074</v>
      </c>
      <c r="H1053">
        <v>1052</v>
      </c>
      <c r="I1053">
        <v>8</v>
      </c>
      <c r="J1053">
        <v>2.5000000000000001E-3</v>
      </c>
      <c r="K1053" s="14">
        <v>5881.3388268821909</v>
      </c>
      <c r="L1053" s="14">
        <v>333914.14612083195</v>
      </c>
      <c r="M1053" s="36">
        <f>IF(Output[[#This Row],[Index]]=1,Output[[#This Row],[Droit Utilisation]],P1052)</f>
        <v>297485.3371899561</v>
      </c>
      <c r="N1053" s="15">
        <f>Output[[#This Row],[Capital Debut Period]]*Output[[#This Row],[Tx_interet_M]]</f>
        <v>743.71334297489022</v>
      </c>
      <c r="O1053" s="15">
        <f>Output[[#This Row],[Mensualité initial]]-Output[[#This Row],[Interet]]</f>
        <v>5256.2866570251099</v>
      </c>
      <c r="P1053" s="15">
        <f>Output[[#This Row],[Capital Debut Period]]-Output[[#This Row],[Paiement Principal]]</f>
        <v>292229.050532931</v>
      </c>
      <c r="Q1053" s="15">
        <f>Output[[#This Row],[Droit Utilisation]]/Output[[#This Row],[Duree_Mois]]</f>
        <v>5565.2357686805326</v>
      </c>
    </row>
    <row r="1054" spans="1:17" x14ac:dyDescent="0.25">
      <c r="A1054" s="11" t="s">
        <v>18</v>
      </c>
      <c r="B1054" s="12">
        <v>43831</v>
      </c>
      <c r="C1054">
        <v>6000</v>
      </c>
      <c r="D1054">
        <v>5</v>
      </c>
      <c r="E1054">
        <v>0.03</v>
      </c>
      <c r="F1054">
        <v>60</v>
      </c>
      <c r="G1054" s="13">
        <v>44104</v>
      </c>
      <c r="H1054">
        <v>1053</v>
      </c>
      <c r="I1054">
        <v>9</v>
      </c>
      <c r="J1054">
        <v>2.5000000000000001E-3</v>
      </c>
      <c r="K1054" s="14">
        <v>5866.6721465159017</v>
      </c>
      <c r="L1054" s="14">
        <v>333914.14612083195</v>
      </c>
      <c r="M1054" s="36">
        <f>IF(Output[[#This Row],[Index]]=1,Output[[#This Row],[Droit Utilisation]],P1053)</f>
        <v>292229.050532931</v>
      </c>
      <c r="N1054" s="15">
        <f>Output[[#This Row],[Capital Debut Period]]*Output[[#This Row],[Tx_interet_M]]</f>
        <v>730.57262633232756</v>
      </c>
      <c r="O1054" s="15">
        <f>Output[[#This Row],[Mensualité initial]]-Output[[#This Row],[Interet]]</f>
        <v>5269.4273736676723</v>
      </c>
      <c r="P1054" s="15">
        <f>Output[[#This Row],[Capital Debut Period]]-Output[[#This Row],[Paiement Principal]]</f>
        <v>286959.62315926334</v>
      </c>
      <c r="Q1054" s="15">
        <f>Output[[#This Row],[Droit Utilisation]]/Output[[#This Row],[Duree_Mois]]</f>
        <v>5565.2357686805326</v>
      </c>
    </row>
    <row r="1055" spans="1:17" x14ac:dyDescent="0.25">
      <c r="A1055" s="11" t="s">
        <v>18</v>
      </c>
      <c r="B1055" s="12">
        <v>43831</v>
      </c>
      <c r="C1055">
        <v>6000</v>
      </c>
      <c r="D1055">
        <v>5</v>
      </c>
      <c r="E1055">
        <v>0.03</v>
      </c>
      <c r="F1055">
        <v>60</v>
      </c>
      <c r="G1055" s="13">
        <v>44135</v>
      </c>
      <c r="H1055">
        <v>1054</v>
      </c>
      <c r="I1055">
        <v>10</v>
      </c>
      <c r="J1055">
        <v>2.5000000000000001E-3</v>
      </c>
      <c r="K1055" s="14">
        <v>5852.042041412371</v>
      </c>
      <c r="L1055" s="14">
        <v>333914.14612083195</v>
      </c>
      <c r="M1055" s="36">
        <f>IF(Output[[#This Row],[Index]]=1,Output[[#This Row],[Droit Utilisation]],P1054)</f>
        <v>286959.62315926334</v>
      </c>
      <c r="N1055" s="15">
        <f>Output[[#This Row],[Capital Debut Period]]*Output[[#This Row],[Tx_interet_M]]</f>
        <v>717.39905789815839</v>
      </c>
      <c r="O1055" s="15">
        <f>Output[[#This Row],[Mensualité initial]]-Output[[#This Row],[Interet]]</f>
        <v>5282.6009421018416</v>
      </c>
      <c r="P1055" s="15">
        <f>Output[[#This Row],[Capital Debut Period]]-Output[[#This Row],[Paiement Principal]]</f>
        <v>281677.02221716149</v>
      </c>
      <c r="Q1055" s="15">
        <f>Output[[#This Row],[Droit Utilisation]]/Output[[#This Row],[Duree_Mois]]</f>
        <v>5565.2357686805326</v>
      </c>
    </row>
    <row r="1056" spans="1:17" x14ac:dyDescent="0.25">
      <c r="A1056" s="11" t="s">
        <v>18</v>
      </c>
      <c r="B1056" s="12">
        <v>43831</v>
      </c>
      <c r="C1056">
        <v>6000</v>
      </c>
      <c r="D1056">
        <v>5</v>
      </c>
      <c r="E1056">
        <v>0.03</v>
      </c>
      <c r="F1056">
        <v>60</v>
      </c>
      <c r="G1056" s="13">
        <v>44165</v>
      </c>
      <c r="H1056">
        <v>1055</v>
      </c>
      <c r="I1056">
        <v>11</v>
      </c>
      <c r="J1056">
        <v>2.5000000000000001E-3</v>
      </c>
      <c r="K1056" s="14">
        <v>5837.4484203614675</v>
      </c>
      <c r="L1056" s="14">
        <v>333914.14612083195</v>
      </c>
      <c r="M1056" s="36">
        <f>IF(Output[[#This Row],[Index]]=1,Output[[#This Row],[Droit Utilisation]],P1055)</f>
        <v>281677.02221716149</v>
      </c>
      <c r="N1056" s="15">
        <f>Output[[#This Row],[Capital Debut Period]]*Output[[#This Row],[Tx_interet_M]]</f>
        <v>704.19255554290373</v>
      </c>
      <c r="O1056" s="15">
        <f>Output[[#This Row],[Mensualité initial]]-Output[[#This Row],[Interet]]</f>
        <v>5295.8074444570966</v>
      </c>
      <c r="P1056" s="15">
        <f>Output[[#This Row],[Capital Debut Period]]-Output[[#This Row],[Paiement Principal]]</f>
        <v>276381.21477270441</v>
      </c>
      <c r="Q1056" s="15">
        <f>Output[[#This Row],[Droit Utilisation]]/Output[[#This Row],[Duree_Mois]]</f>
        <v>5565.2357686805326</v>
      </c>
    </row>
    <row r="1057" spans="1:17" x14ac:dyDescent="0.25">
      <c r="A1057" s="11" t="s">
        <v>18</v>
      </c>
      <c r="B1057" s="12">
        <v>43831</v>
      </c>
      <c r="C1057">
        <v>6000</v>
      </c>
      <c r="D1057">
        <v>5</v>
      </c>
      <c r="E1057">
        <v>0.03</v>
      </c>
      <c r="F1057">
        <v>60</v>
      </c>
      <c r="G1057" s="13">
        <v>44196</v>
      </c>
      <c r="H1057">
        <v>1056</v>
      </c>
      <c r="I1057">
        <v>12</v>
      </c>
      <c r="J1057">
        <v>2.5000000000000001E-3</v>
      </c>
      <c r="K1057" s="14">
        <v>5822.8911923805163</v>
      </c>
      <c r="L1057" s="14">
        <v>333914.14612083195</v>
      </c>
      <c r="M1057" s="36">
        <f>IF(Output[[#This Row],[Index]]=1,Output[[#This Row],[Droit Utilisation]],P1056)</f>
        <v>276381.21477270441</v>
      </c>
      <c r="N1057" s="15">
        <f>Output[[#This Row],[Capital Debut Period]]*Output[[#This Row],[Tx_interet_M]]</f>
        <v>690.95303693176106</v>
      </c>
      <c r="O1057" s="15">
        <f>Output[[#This Row],[Mensualité initial]]-Output[[#This Row],[Interet]]</f>
        <v>5309.0469630682392</v>
      </c>
      <c r="P1057" s="15">
        <f>Output[[#This Row],[Capital Debut Period]]-Output[[#This Row],[Paiement Principal]]</f>
        <v>271072.16780963616</v>
      </c>
      <c r="Q1057" s="15">
        <f>Output[[#This Row],[Droit Utilisation]]/Output[[#This Row],[Duree_Mois]]</f>
        <v>5565.2357686805326</v>
      </c>
    </row>
    <row r="1058" spans="1:17" x14ac:dyDescent="0.25">
      <c r="A1058" s="11" t="s">
        <v>18</v>
      </c>
      <c r="B1058" s="12">
        <v>43831</v>
      </c>
      <c r="C1058">
        <v>6000</v>
      </c>
      <c r="D1058">
        <v>5</v>
      </c>
      <c r="E1058">
        <v>0.03</v>
      </c>
      <c r="F1058">
        <v>60</v>
      </c>
      <c r="G1058" s="13">
        <v>44227</v>
      </c>
      <c r="H1058">
        <v>1057</v>
      </c>
      <c r="I1058">
        <v>13</v>
      </c>
      <c r="J1058">
        <v>2.5000000000000001E-3</v>
      </c>
      <c r="K1058" s="14">
        <v>5808.3702667137322</v>
      </c>
      <c r="L1058" s="14">
        <v>333914.14612083195</v>
      </c>
      <c r="M1058" s="36">
        <f>IF(Output[[#This Row],[Index]]=1,Output[[#This Row],[Droit Utilisation]],P1057)</f>
        <v>271072.16780963616</v>
      </c>
      <c r="N1058" s="15">
        <f>Output[[#This Row],[Capital Debut Period]]*Output[[#This Row],[Tx_interet_M]]</f>
        <v>677.68041952409044</v>
      </c>
      <c r="O1058" s="15">
        <f>Output[[#This Row],[Mensualité initial]]-Output[[#This Row],[Interet]]</f>
        <v>5322.3195804759098</v>
      </c>
      <c r="P1058" s="15">
        <f>Output[[#This Row],[Capital Debut Period]]-Output[[#This Row],[Paiement Principal]]</f>
        <v>265749.84822916024</v>
      </c>
      <c r="Q1058" s="15">
        <f>Output[[#This Row],[Droit Utilisation]]/Output[[#This Row],[Duree_Mois]]</f>
        <v>5565.2357686805326</v>
      </c>
    </row>
    <row r="1059" spans="1:17" x14ac:dyDescent="0.25">
      <c r="A1059" s="11" t="s">
        <v>18</v>
      </c>
      <c r="B1059" s="12">
        <v>43831</v>
      </c>
      <c r="C1059">
        <v>6000</v>
      </c>
      <c r="D1059">
        <v>5</v>
      </c>
      <c r="E1059">
        <v>0.03</v>
      </c>
      <c r="F1059">
        <v>60</v>
      </c>
      <c r="G1059" s="13">
        <v>44255</v>
      </c>
      <c r="H1059">
        <v>1058</v>
      </c>
      <c r="I1059">
        <v>14</v>
      </c>
      <c r="J1059">
        <v>2.5000000000000001E-3</v>
      </c>
      <c r="K1059" s="14">
        <v>5793.8855528316535</v>
      </c>
      <c r="L1059" s="14">
        <v>333914.14612083195</v>
      </c>
      <c r="M1059" s="36">
        <f>IF(Output[[#This Row],[Index]]=1,Output[[#This Row],[Droit Utilisation]],P1058)</f>
        <v>265749.84822916024</v>
      </c>
      <c r="N1059" s="15">
        <f>Output[[#This Row],[Capital Debut Period]]*Output[[#This Row],[Tx_interet_M]]</f>
        <v>664.37462057290065</v>
      </c>
      <c r="O1059" s="15">
        <f>Output[[#This Row],[Mensualité initial]]-Output[[#This Row],[Interet]]</f>
        <v>5335.6253794270997</v>
      </c>
      <c r="P1059" s="15">
        <f>Output[[#This Row],[Capital Debut Period]]-Output[[#This Row],[Paiement Principal]]</f>
        <v>260414.22284973314</v>
      </c>
      <c r="Q1059" s="15">
        <f>Output[[#This Row],[Droit Utilisation]]/Output[[#This Row],[Duree_Mois]]</f>
        <v>5565.2357686805326</v>
      </c>
    </row>
    <row r="1060" spans="1:17" x14ac:dyDescent="0.25">
      <c r="A1060" s="11" t="s">
        <v>18</v>
      </c>
      <c r="B1060" s="12">
        <v>43831</v>
      </c>
      <c r="C1060">
        <v>6000</v>
      </c>
      <c r="D1060">
        <v>5</v>
      </c>
      <c r="E1060">
        <v>0.03</v>
      </c>
      <c r="F1060">
        <v>60</v>
      </c>
      <c r="G1060" s="13">
        <v>44286</v>
      </c>
      <c r="H1060">
        <v>1059</v>
      </c>
      <c r="I1060">
        <v>15</v>
      </c>
      <c r="J1060">
        <v>2.5000000000000001E-3</v>
      </c>
      <c r="K1060" s="14">
        <v>5779.4369604305775</v>
      </c>
      <c r="L1060" s="14">
        <v>333914.14612083195</v>
      </c>
      <c r="M1060" s="36">
        <f>IF(Output[[#This Row],[Index]]=1,Output[[#This Row],[Droit Utilisation]],P1059)</f>
        <v>260414.22284973314</v>
      </c>
      <c r="N1060" s="15">
        <f>Output[[#This Row],[Capital Debut Period]]*Output[[#This Row],[Tx_interet_M]]</f>
        <v>651.03555712433285</v>
      </c>
      <c r="O1060" s="15">
        <f>Output[[#This Row],[Mensualité initial]]-Output[[#This Row],[Interet]]</f>
        <v>5348.9644428756674</v>
      </c>
      <c r="P1060" s="15">
        <f>Output[[#This Row],[Capital Debut Period]]-Output[[#This Row],[Paiement Principal]]</f>
        <v>255065.25840685747</v>
      </c>
      <c r="Q1060" s="15">
        <f>Output[[#This Row],[Droit Utilisation]]/Output[[#This Row],[Duree_Mois]]</f>
        <v>5565.2357686805326</v>
      </c>
    </row>
    <row r="1061" spans="1:17" x14ac:dyDescent="0.25">
      <c r="A1061" s="11" t="s">
        <v>18</v>
      </c>
      <c r="B1061" s="12">
        <v>43831</v>
      </c>
      <c r="C1061">
        <v>6000</v>
      </c>
      <c r="D1061">
        <v>5</v>
      </c>
      <c r="E1061">
        <v>0.03</v>
      </c>
      <c r="F1061">
        <v>60</v>
      </c>
      <c r="G1061" s="13">
        <v>44316</v>
      </c>
      <c r="H1061">
        <v>1060</v>
      </c>
      <c r="I1061">
        <v>16</v>
      </c>
      <c r="J1061">
        <v>2.5000000000000001E-3</v>
      </c>
      <c r="K1061" s="14">
        <v>5765.0243994319981</v>
      </c>
      <c r="L1061" s="14">
        <v>333914.14612083195</v>
      </c>
      <c r="M1061" s="36">
        <f>IF(Output[[#This Row],[Index]]=1,Output[[#This Row],[Droit Utilisation]],P1060)</f>
        <v>255065.25840685747</v>
      </c>
      <c r="N1061" s="15">
        <f>Output[[#This Row],[Capital Debut Period]]*Output[[#This Row],[Tx_interet_M]]</f>
        <v>637.66314601714373</v>
      </c>
      <c r="O1061" s="15">
        <f>Output[[#This Row],[Mensualité initial]]-Output[[#This Row],[Interet]]</f>
        <v>5362.3368539828562</v>
      </c>
      <c r="P1061" s="15">
        <f>Output[[#This Row],[Capital Debut Period]]-Output[[#This Row],[Paiement Principal]]</f>
        <v>249702.92155287461</v>
      </c>
      <c r="Q1061" s="15">
        <f>Output[[#This Row],[Droit Utilisation]]/Output[[#This Row],[Duree_Mois]]</f>
        <v>5565.2357686805326</v>
      </c>
    </row>
    <row r="1062" spans="1:17" x14ac:dyDescent="0.25">
      <c r="A1062" s="11" t="s">
        <v>18</v>
      </c>
      <c r="B1062" s="12">
        <v>43831</v>
      </c>
      <c r="C1062">
        <v>6000</v>
      </c>
      <c r="D1062">
        <v>5</v>
      </c>
      <c r="E1062">
        <v>0.03</v>
      </c>
      <c r="F1062">
        <v>60</v>
      </c>
      <c r="G1062" s="13">
        <v>44347</v>
      </c>
      <c r="H1062">
        <v>1061</v>
      </c>
      <c r="I1062">
        <v>17</v>
      </c>
      <c r="J1062">
        <v>2.5000000000000001E-3</v>
      </c>
      <c r="K1062" s="14">
        <v>5750.6477799820432</v>
      </c>
      <c r="L1062" s="14">
        <v>333914.14612083195</v>
      </c>
      <c r="M1062" s="36">
        <f>IF(Output[[#This Row],[Index]]=1,Output[[#This Row],[Droit Utilisation]],P1061)</f>
        <v>249702.92155287461</v>
      </c>
      <c r="N1062" s="15">
        <f>Output[[#This Row],[Capital Debut Period]]*Output[[#This Row],[Tx_interet_M]]</f>
        <v>624.25730388218653</v>
      </c>
      <c r="O1062" s="15">
        <f>Output[[#This Row],[Mensualité initial]]-Output[[#This Row],[Interet]]</f>
        <v>5375.7426961178135</v>
      </c>
      <c r="P1062" s="15">
        <f>Output[[#This Row],[Capital Debut Period]]-Output[[#This Row],[Paiement Principal]]</f>
        <v>244327.1788567568</v>
      </c>
      <c r="Q1062" s="15">
        <f>Output[[#This Row],[Droit Utilisation]]/Output[[#This Row],[Duree_Mois]]</f>
        <v>5565.2357686805326</v>
      </c>
    </row>
    <row r="1063" spans="1:17" x14ac:dyDescent="0.25">
      <c r="A1063" s="11" t="s">
        <v>18</v>
      </c>
      <c r="B1063" s="12">
        <v>43831</v>
      </c>
      <c r="C1063">
        <v>6000</v>
      </c>
      <c r="D1063">
        <v>5</v>
      </c>
      <c r="E1063">
        <v>0.03</v>
      </c>
      <c r="F1063">
        <v>60</v>
      </c>
      <c r="G1063" s="13">
        <v>44377</v>
      </c>
      <c r="H1063">
        <v>1062</v>
      </c>
      <c r="I1063">
        <v>18</v>
      </c>
      <c r="J1063">
        <v>2.5000000000000001E-3</v>
      </c>
      <c r="K1063" s="14">
        <v>5736.3070124509168</v>
      </c>
      <c r="L1063" s="14">
        <v>333914.14612083195</v>
      </c>
      <c r="M1063" s="36">
        <f>IF(Output[[#This Row],[Index]]=1,Output[[#This Row],[Droit Utilisation]],P1062)</f>
        <v>244327.1788567568</v>
      </c>
      <c r="N1063" s="15">
        <f>Output[[#This Row],[Capital Debut Period]]*Output[[#This Row],[Tx_interet_M]]</f>
        <v>610.81794714189198</v>
      </c>
      <c r="O1063" s="15">
        <f>Output[[#This Row],[Mensualité initial]]-Output[[#This Row],[Interet]]</f>
        <v>5389.1820528581084</v>
      </c>
      <c r="P1063" s="15">
        <f>Output[[#This Row],[Capital Debut Period]]-Output[[#This Row],[Paiement Principal]]</f>
        <v>238937.99680389868</v>
      </c>
      <c r="Q1063" s="15">
        <f>Output[[#This Row],[Droit Utilisation]]/Output[[#This Row],[Duree_Mois]]</f>
        <v>5565.2357686805326</v>
      </c>
    </row>
    <row r="1064" spans="1:17" x14ac:dyDescent="0.25">
      <c r="A1064" s="11" t="s">
        <v>18</v>
      </c>
      <c r="B1064" s="12">
        <v>43831</v>
      </c>
      <c r="C1064">
        <v>6000</v>
      </c>
      <c r="D1064">
        <v>5</v>
      </c>
      <c r="E1064">
        <v>0.03</v>
      </c>
      <c r="F1064">
        <v>60</v>
      </c>
      <c r="G1064" s="13">
        <v>44408</v>
      </c>
      <c r="H1064">
        <v>1063</v>
      </c>
      <c r="I1064">
        <v>19</v>
      </c>
      <c r="J1064">
        <v>2.5000000000000001E-3</v>
      </c>
      <c r="K1064" s="14">
        <v>5722.0020074323356</v>
      </c>
      <c r="L1064" s="14">
        <v>333914.14612083195</v>
      </c>
      <c r="M1064" s="36">
        <f>IF(Output[[#This Row],[Index]]=1,Output[[#This Row],[Droit Utilisation]],P1063)</f>
        <v>238937.99680389868</v>
      </c>
      <c r="N1064" s="15">
        <f>Output[[#This Row],[Capital Debut Period]]*Output[[#This Row],[Tx_interet_M]]</f>
        <v>597.34499200974676</v>
      </c>
      <c r="O1064" s="15">
        <f>Output[[#This Row],[Mensualité initial]]-Output[[#This Row],[Interet]]</f>
        <v>5402.6550079902536</v>
      </c>
      <c r="P1064" s="15">
        <f>Output[[#This Row],[Capital Debut Period]]-Output[[#This Row],[Paiement Principal]]</f>
        <v>233535.34179590843</v>
      </c>
      <c r="Q1064" s="15">
        <f>Output[[#This Row],[Droit Utilisation]]/Output[[#This Row],[Duree_Mois]]</f>
        <v>5565.2357686805326</v>
      </c>
    </row>
    <row r="1065" spans="1:17" x14ac:dyDescent="0.25">
      <c r="A1065" s="11" t="s">
        <v>18</v>
      </c>
      <c r="B1065" s="12">
        <v>43831</v>
      </c>
      <c r="C1065">
        <v>6000</v>
      </c>
      <c r="D1065">
        <v>5</v>
      </c>
      <c r="E1065">
        <v>0.03</v>
      </c>
      <c r="F1065">
        <v>60</v>
      </c>
      <c r="G1065" s="13">
        <v>44439</v>
      </c>
      <c r="H1065">
        <v>1064</v>
      </c>
      <c r="I1065">
        <v>20</v>
      </c>
      <c r="J1065">
        <v>2.5000000000000001E-3</v>
      </c>
      <c r="K1065" s="14">
        <v>5707.7326757429792</v>
      </c>
      <c r="L1065" s="14">
        <v>333914.14612083195</v>
      </c>
      <c r="M1065" s="36">
        <f>IF(Output[[#This Row],[Index]]=1,Output[[#This Row],[Droit Utilisation]],P1064)</f>
        <v>233535.34179590843</v>
      </c>
      <c r="N1065" s="15">
        <f>Output[[#This Row],[Capital Debut Period]]*Output[[#This Row],[Tx_interet_M]]</f>
        <v>583.83835448977106</v>
      </c>
      <c r="O1065" s="15">
        <f>Output[[#This Row],[Mensualité initial]]-Output[[#This Row],[Interet]]</f>
        <v>5416.1616455102285</v>
      </c>
      <c r="P1065" s="15">
        <f>Output[[#This Row],[Capital Debut Period]]-Output[[#This Row],[Paiement Principal]]</f>
        <v>228119.1801503982</v>
      </c>
      <c r="Q1065" s="15">
        <f>Output[[#This Row],[Droit Utilisation]]/Output[[#This Row],[Duree_Mois]]</f>
        <v>5565.2357686805326</v>
      </c>
    </row>
    <row r="1066" spans="1:17" x14ac:dyDescent="0.25">
      <c r="A1066" s="11" t="s">
        <v>18</v>
      </c>
      <c r="B1066" s="12">
        <v>43831</v>
      </c>
      <c r="C1066">
        <v>6000</v>
      </c>
      <c r="D1066">
        <v>5</v>
      </c>
      <c r="E1066">
        <v>0.03</v>
      </c>
      <c r="F1066">
        <v>60</v>
      </c>
      <c r="G1066" s="13">
        <v>44469</v>
      </c>
      <c r="H1066">
        <v>1065</v>
      </c>
      <c r="I1066">
        <v>21</v>
      </c>
      <c r="J1066">
        <v>2.5000000000000001E-3</v>
      </c>
      <c r="K1066" s="14">
        <v>5693.4989284219246</v>
      </c>
      <c r="L1066" s="14">
        <v>333914.14612083195</v>
      </c>
      <c r="M1066" s="36">
        <f>IF(Output[[#This Row],[Index]]=1,Output[[#This Row],[Droit Utilisation]],P1065)</f>
        <v>228119.1801503982</v>
      </c>
      <c r="N1066" s="15">
        <f>Output[[#This Row],[Capital Debut Period]]*Output[[#This Row],[Tx_interet_M]]</f>
        <v>570.29795037599547</v>
      </c>
      <c r="O1066" s="15">
        <f>Output[[#This Row],[Mensualité initial]]-Output[[#This Row],[Interet]]</f>
        <v>5429.7020496240048</v>
      </c>
      <c r="P1066" s="15">
        <f>Output[[#This Row],[Capital Debut Period]]-Output[[#This Row],[Paiement Principal]]</f>
        <v>222689.4781007742</v>
      </c>
      <c r="Q1066" s="15">
        <f>Output[[#This Row],[Droit Utilisation]]/Output[[#This Row],[Duree_Mois]]</f>
        <v>5565.2357686805326</v>
      </c>
    </row>
    <row r="1067" spans="1:17" x14ac:dyDescent="0.25">
      <c r="A1067" s="11" t="s">
        <v>18</v>
      </c>
      <c r="B1067" s="12">
        <v>43831</v>
      </c>
      <c r="C1067">
        <v>6000</v>
      </c>
      <c r="D1067">
        <v>5</v>
      </c>
      <c r="E1067">
        <v>0.03</v>
      </c>
      <c r="F1067">
        <v>60</v>
      </c>
      <c r="G1067" s="13">
        <v>44500</v>
      </c>
      <c r="H1067">
        <v>1066</v>
      </c>
      <c r="I1067">
        <v>22</v>
      </c>
      <c r="J1067">
        <v>2.5000000000000001E-3</v>
      </c>
      <c r="K1067" s="14">
        <v>5679.3006767300994</v>
      </c>
      <c r="L1067" s="14">
        <v>333914.14612083195</v>
      </c>
      <c r="M1067" s="36">
        <f>IF(Output[[#This Row],[Index]]=1,Output[[#This Row],[Droit Utilisation]],P1066)</f>
        <v>222689.4781007742</v>
      </c>
      <c r="N1067" s="15">
        <f>Output[[#This Row],[Capital Debut Period]]*Output[[#This Row],[Tx_interet_M]]</f>
        <v>556.72369525193551</v>
      </c>
      <c r="O1067" s="15">
        <f>Output[[#This Row],[Mensualité initial]]-Output[[#This Row],[Interet]]</f>
        <v>5443.2763047480648</v>
      </c>
      <c r="P1067" s="15">
        <f>Output[[#This Row],[Capital Debut Period]]-Output[[#This Row],[Paiement Principal]]</f>
        <v>217246.20179602614</v>
      </c>
      <c r="Q1067" s="15">
        <f>Output[[#This Row],[Droit Utilisation]]/Output[[#This Row],[Duree_Mois]]</f>
        <v>5565.2357686805326</v>
      </c>
    </row>
    <row r="1068" spans="1:17" x14ac:dyDescent="0.25">
      <c r="A1068" s="11" t="s">
        <v>18</v>
      </c>
      <c r="B1068" s="12">
        <v>43831</v>
      </c>
      <c r="C1068">
        <v>6000</v>
      </c>
      <c r="D1068">
        <v>5</v>
      </c>
      <c r="E1068">
        <v>0.03</v>
      </c>
      <c r="F1068">
        <v>60</v>
      </c>
      <c r="G1068" s="13">
        <v>44530</v>
      </c>
      <c r="H1068">
        <v>1067</v>
      </c>
      <c r="I1068">
        <v>23</v>
      </c>
      <c r="J1068">
        <v>2.5000000000000001E-3</v>
      </c>
      <c r="K1068" s="14">
        <v>5665.137832149725</v>
      </c>
      <c r="L1068" s="14">
        <v>333914.14612083195</v>
      </c>
      <c r="M1068" s="36">
        <f>IF(Output[[#This Row],[Index]]=1,Output[[#This Row],[Droit Utilisation]],P1067)</f>
        <v>217246.20179602614</v>
      </c>
      <c r="N1068" s="15">
        <f>Output[[#This Row],[Capital Debut Period]]*Output[[#This Row],[Tx_interet_M]]</f>
        <v>543.1155044900654</v>
      </c>
      <c r="O1068" s="15">
        <f>Output[[#This Row],[Mensualité initial]]-Output[[#This Row],[Interet]]</f>
        <v>5456.8844955099348</v>
      </c>
      <c r="P1068" s="15">
        <f>Output[[#This Row],[Capital Debut Period]]-Output[[#This Row],[Paiement Principal]]</f>
        <v>211789.31730051621</v>
      </c>
      <c r="Q1068" s="15">
        <f>Output[[#This Row],[Droit Utilisation]]/Output[[#This Row],[Duree_Mois]]</f>
        <v>5565.2357686805326</v>
      </c>
    </row>
    <row r="1069" spans="1:17" x14ac:dyDescent="0.25">
      <c r="A1069" s="11" t="s">
        <v>18</v>
      </c>
      <c r="B1069" s="12">
        <v>43831</v>
      </c>
      <c r="C1069">
        <v>6000</v>
      </c>
      <c r="D1069">
        <v>5</v>
      </c>
      <c r="E1069">
        <v>0.03</v>
      </c>
      <c r="F1069">
        <v>60</v>
      </c>
      <c r="G1069" s="13">
        <v>44561</v>
      </c>
      <c r="H1069">
        <v>1068</v>
      </c>
      <c r="I1069">
        <v>24</v>
      </c>
      <c r="J1069">
        <v>2.5000000000000001E-3</v>
      </c>
      <c r="K1069" s="14">
        <v>5651.010306383766</v>
      </c>
      <c r="L1069" s="14">
        <v>333914.14612083195</v>
      </c>
      <c r="M1069" s="36">
        <f>IF(Output[[#This Row],[Index]]=1,Output[[#This Row],[Droit Utilisation]],P1068)</f>
        <v>211789.31730051621</v>
      </c>
      <c r="N1069" s="15">
        <f>Output[[#This Row],[Capital Debut Period]]*Output[[#This Row],[Tx_interet_M]]</f>
        <v>529.47329325129056</v>
      </c>
      <c r="O1069" s="15">
        <f>Output[[#This Row],[Mensualité initial]]-Output[[#This Row],[Interet]]</f>
        <v>5470.5267067487093</v>
      </c>
      <c r="P1069" s="15">
        <f>Output[[#This Row],[Capital Debut Period]]-Output[[#This Row],[Paiement Principal]]</f>
        <v>206318.79059376751</v>
      </c>
      <c r="Q1069" s="15">
        <f>Output[[#This Row],[Droit Utilisation]]/Output[[#This Row],[Duree_Mois]]</f>
        <v>5565.2357686805326</v>
      </c>
    </row>
    <row r="1070" spans="1:17" x14ac:dyDescent="0.25">
      <c r="A1070" s="11" t="s">
        <v>18</v>
      </c>
      <c r="B1070" s="12">
        <v>43831</v>
      </c>
      <c r="C1070">
        <v>6000</v>
      </c>
      <c r="D1070">
        <v>5</v>
      </c>
      <c r="E1070">
        <v>0.03</v>
      </c>
      <c r="F1070">
        <v>60</v>
      </c>
      <c r="G1070" s="13">
        <v>44592</v>
      </c>
      <c r="H1070">
        <v>1069</v>
      </c>
      <c r="I1070">
        <v>25</v>
      </c>
      <c r="J1070">
        <v>2.5000000000000001E-3</v>
      </c>
      <c r="K1070" s="14">
        <v>5636.9180113553775</v>
      </c>
      <c r="L1070" s="14">
        <v>333914.14612083195</v>
      </c>
      <c r="M1070" s="36">
        <f>IF(Output[[#This Row],[Index]]=1,Output[[#This Row],[Droit Utilisation]],P1069)</f>
        <v>206318.79059376751</v>
      </c>
      <c r="N1070" s="15">
        <f>Output[[#This Row],[Capital Debut Period]]*Output[[#This Row],[Tx_interet_M]]</f>
        <v>515.79697648441879</v>
      </c>
      <c r="O1070" s="15">
        <f>Output[[#This Row],[Mensualité initial]]-Output[[#This Row],[Interet]]</f>
        <v>5484.2030235155817</v>
      </c>
      <c r="P1070" s="15">
        <f>Output[[#This Row],[Capital Debut Period]]-Output[[#This Row],[Paiement Principal]]</f>
        <v>200834.58757025193</v>
      </c>
      <c r="Q1070" s="15">
        <f>Output[[#This Row],[Droit Utilisation]]/Output[[#This Row],[Duree_Mois]]</f>
        <v>5565.2357686805326</v>
      </c>
    </row>
    <row r="1071" spans="1:17" x14ac:dyDescent="0.25">
      <c r="A1071" s="11" t="s">
        <v>18</v>
      </c>
      <c r="B1071" s="12">
        <v>43831</v>
      </c>
      <c r="C1071">
        <v>6000</v>
      </c>
      <c r="D1071">
        <v>5</v>
      </c>
      <c r="E1071">
        <v>0.03</v>
      </c>
      <c r="F1071">
        <v>60</v>
      </c>
      <c r="G1071" s="13">
        <v>44620</v>
      </c>
      <c r="H1071">
        <v>1070</v>
      </c>
      <c r="I1071">
        <v>26</v>
      </c>
      <c r="J1071">
        <v>2.5000000000000001E-3</v>
      </c>
      <c r="K1071" s="14">
        <v>5622.8608592073597</v>
      </c>
      <c r="L1071" s="14">
        <v>333914.14612083195</v>
      </c>
      <c r="M1071" s="36">
        <f>IF(Output[[#This Row],[Index]]=1,Output[[#This Row],[Droit Utilisation]],P1070)</f>
        <v>200834.58757025193</v>
      </c>
      <c r="N1071" s="15">
        <f>Output[[#This Row],[Capital Debut Period]]*Output[[#This Row],[Tx_interet_M]]</f>
        <v>502.08646892562984</v>
      </c>
      <c r="O1071" s="15">
        <f>Output[[#This Row],[Mensualité initial]]-Output[[#This Row],[Interet]]</f>
        <v>5497.9135310743704</v>
      </c>
      <c r="P1071" s="15">
        <f>Output[[#This Row],[Capital Debut Period]]-Output[[#This Row],[Paiement Principal]]</f>
        <v>195336.67403917757</v>
      </c>
      <c r="Q1071" s="15">
        <f>Output[[#This Row],[Droit Utilisation]]/Output[[#This Row],[Duree_Mois]]</f>
        <v>5565.2357686805326</v>
      </c>
    </row>
    <row r="1072" spans="1:17" x14ac:dyDescent="0.25">
      <c r="A1072" s="11" t="s">
        <v>18</v>
      </c>
      <c r="B1072" s="12">
        <v>43831</v>
      </c>
      <c r="C1072">
        <v>6000</v>
      </c>
      <c r="D1072">
        <v>5</v>
      </c>
      <c r="E1072">
        <v>0.03</v>
      </c>
      <c r="F1072">
        <v>60</v>
      </c>
      <c r="G1072" s="13">
        <v>44651</v>
      </c>
      <c r="H1072">
        <v>1071</v>
      </c>
      <c r="I1072">
        <v>27</v>
      </c>
      <c r="J1072">
        <v>2.5000000000000001E-3</v>
      </c>
      <c r="K1072" s="14">
        <v>5608.838762301606</v>
      </c>
      <c r="L1072" s="14">
        <v>333914.14612083195</v>
      </c>
      <c r="M1072" s="36">
        <f>IF(Output[[#This Row],[Index]]=1,Output[[#This Row],[Droit Utilisation]],P1071)</f>
        <v>195336.67403917757</v>
      </c>
      <c r="N1072" s="15">
        <f>Output[[#This Row],[Capital Debut Period]]*Output[[#This Row],[Tx_interet_M]]</f>
        <v>488.34168509794392</v>
      </c>
      <c r="O1072" s="15">
        <f>Output[[#This Row],[Mensualité initial]]-Output[[#This Row],[Interet]]</f>
        <v>5511.6583149020562</v>
      </c>
      <c r="P1072" s="15">
        <f>Output[[#This Row],[Capital Debut Period]]-Output[[#This Row],[Paiement Principal]]</f>
        <v>189825.01572427552</v>
      </c>
      <c r="Q1072" s="15">
        <f>Output[[#This Row],[Droit Utilisation]]/Output[[#This Row],[Duree_Mois]]</f>
        <v>5565.2357686805326</v>
      </c>
    </row>
    <row r="1073" spans="1:17" x14ac:dyDescent="0.25">
      <c r="A1073" s="11" t="s">
        <v>18</v>
      </c>
      <c r="B1073" s="12">
        <v>43831</v>
      </c>
      <c r="C1073">
        <v>6000</v>
      </c>
      <c r="D1073">
        <v>5</v>
      </c>
      <c r="E1073">
        <v>0.03</v>
      </c>
      <c r="F1073">
        <v>60</v>
      </c>
      <c r="G1073" s="13">
        <v>44681</v>
      </c>
      <c r="H1073">
        <v>1072</v>
      </c>
      <c r="I1073">
        <v>28</v>
      </c>
      <c r="J1073">
        <v>2.5000000000000001E-3</v>
      </c>
      <c r="K1073" s="14">
        <v>5594.85163321856</v>
      </c>
      <c r="L1073" s="14">
        <v>333914.14612083195</v>
      </c>
      <c r="M1073" s="36">
        <f>IF(Output[[#This Row],[Index]]=1,Output[[#This Row],[Droit Utilisation]],P1072)</f>
        <v>189825.01572427552</v>
      </c>
      <c r="N1073" s="15">
        <f>Output[[#This Row],[Capital Debut Period]]*Output[[#This Row],[Tx_interet_M]]</f>
        <v>474.56253931068881</v>
      </c>
      <c r="O1073" s="15">
        <f>Output[[#This Row],[Mensualité initial]]-Output[[#This Row],[Interet]]</f>
        <v>5525.4374606893116</v>
      </c>
      <c r="P1073" s="15">
        <f>Output[[#This Row],[Capital Debut Period]]-Output[[#This Row],[Paiement Principal]]</f>
        <v>184299.57826358621</v>
      </c>
      <c r="Q1073" s="15">
        <f>Output[[#This Row],[Droit Utilisation]]/Output[[#This Row],[Duree_Mois]]</f>
        <v>5565.2357686805326</v>
      </c>
    </row>
    <row r="1074" spans="1:17" x14ac:dyDescent="0.25">
      <c r="A1074" s="11" t="s">
        <v>18</v>
      </c>
      <c r="B1074" s="12">
        <v>43831</v>
      </c>
      <c r="C1074">
        <v>6000</v>
      </c>
      <c r="D1074">
        <v>5</v>
      </c>
      <c r="E1074">
        <v>0.03</v>
      </c>
      <c r="F1074">
        <v>60</v>
      </c>
      <c r="G1074" s="13">
        <v>44712</v>
      </c>
      <c r="H1074">
        <v>1073</v>
      </c>
      <c r="I1074">
        <v>29</v>
      </c>
      <c r="J1074">
        <v>2.5000000000000001E-3</v>
      </c>
      <c r="K1074" s="14">
        <v>5580.899384756669</v>
      </c>
      <c r="L1074" s="14">
        <v>333914.14612083195</v>
      </c>
      <c r="M1074" s="36">
        <f>IF(Output[[#This Row],[Index]]=1,Output[[#This Row],[Droit Utilisation]],P1073)</f>
        <v>184299.57826358621</v>
      </c>
      <c r="N1074" s="15">
        <f>Output[[#This Row],[Capital Debut Period]]*Output[[#This Row],[Tx_interet_M]]</f>
        <v>460.74894565896557</v>
      </c>
      <c r="O1074" s="15">
        <f>Output[[#This Row],[Mensualité initial]]-Output[[#This Row],[Interet]]</f>
        <v>5539.2510543410344</v>
      </c>
      <c r="P1074" s="15">
        <f>Output[[#This Row],[Capital Debut Period]]-Output[[#This Row],[Paiement Principal]]</f>
        <v>178760.32720924518</v>
      </c>
      <c r="Q1074" s="15">
        <f>Output[[#This Row],[Droit Utilisation]]/Output[[#This Row],[Duree_Mois]]</f>
        <v>5565.2357686805326</v>
      </c>
    </row>
    <row r="1075" spans="1:17" x14ac:dyDescent="0.25">
      <c r="A1075" s="11" t="s">
        <v>18</v>
      </c>
      <c r="B1075" s="12">
        <v>43831</v>
      </c>
      <c r="C1075">
        <v>6000</v>
      </c>
      <c r="D1075">
        <v>5</v>
      </c>
      <c r="E1075">
        <v>0.03</v>
      </c>
      <c r="F1075">
        <v>60</v>
      </c>
      <c r="G1075" s="13">
        <v>44742</v>
      </c>
      <c r="H1075">
        <v>1074</v>
      </c>
      <c r="I1075">
        <v>30</v>
      </c>
      <c r="J1075">
        <v>2.5000000000000001E-3</v>
      </c>
      <c r="K1075" s="14">
        <v>5566.9819299318397</v>
      </c>
      <c r="L1075" s="14">
        <v>333914.14612083195</v>
      </c>
      <c r="M1075" s="36">
        <f>IF(Output[[#This Row],[Index]]=1,Output[[#This Row],[Droit Utilisation]],P1074)</f>
        <v>178760.32720924518</v>
      </c>
      <c r="N1075" s="15">
        <f>Output[[#This Row],[Capital Debut Period]]*Output[[#This Row],[Tx_interet_M]]</f>
        <v>446.90081802311295</v>
      </c>
      <c r="O1075" s="15">
        <f>Output[[#This Row],[Mensualité initial]]-Output[[#This Row],[Interet]]</f>
        <v>5553.0991819768869</v>
      </c>
      <c r="P1075" s="15">
        <f>Output[[#This Row],[Capital Debut Period]]-Output[[#This Row],[Paiement Principal]]</f>
        <v>173207.22802726828</v>
      </c>
      <c r="Q1075" s="15">
        <f>Output[[#This Row],[Droit Utilisation]]/Output[[#This Row],[Duree_Mois]]</f>
        <v>5565.2357686805326</v>
      </c>
    </row>
    <row r="1076" spans="1:17" x14ac:dyDescent="0.25">
      <c r="A1076" s="11" t="s">
        <v>18</v>
      </c>
      <c r="B1076" s="12">
        <v>43831</v>
      </c>
      <c r="C1076">
        <v>6000</v>
      </c>
      <c r="D1076">
        <v>5</v>
      </c>
      <c r="E1076">
        <v>0.03</v>
      </c>
      <c r="F1076">
        <v>60</v>
      </c>
      <c r="G1076" s="13">
        <v>44773</v>
      </c>
      <c r="H1076">
        <v>1075</v>
      </c>
      <c r="I1076">
        <v>31</v>
      </c>
      <c r="J1076">
        <v>2.5000000000000001E-3</v>
      </c>
      <c r="K1076" s="14">
        <v>5553.0991819768969</v>
      </c>
      <c r="L1076" s="14">
        <v>333914.14612083195</v>
      </c>
      <c r="M1076" s="36">
        <f>IF(Output[[#This Row],[Index]]=1,Output[[#This Row],[Droit Utilisation]],P1075)</f>
        <v>173207.22802726828</v>
      </c>
      <c r="N1076" s="15">
        <f>Output[[#This Row],[Capital Debut Period]]*Output[[#This Row],[Tx_interet_M]]</f>
        <v>433.01807006817074</v>
      </c>
      <c r="O1076" s="15">
        <f>Output[[#This Row],[Mensualité initial]]-Output[[#This Row],[Interet]]</f>
        <v>5566.9819299318297</v>
      </c>
      <c r="P1076" s="15">
        <f>Output[[#This Row],[Capital Debut Period]]-Output[[#This Row],[Paiement Principal]]</f>
        <v>167640.24609733647</v>
      </c>
      <c r="Q1076" s="15">
        <f>Output[[#This Row],[Droit Utilisation]]/Output[[#This Row],[Duree_Mois]]</f>
        <v>5565.2357686805326</v>
      </c>
    </row>
    <row r="1077" spans="1:17" x14ac:dyDescent="0.25">
      <c r="A1077" s="11" t="s">
        <v>18</v>
      </c>
      <c r="B1077" s="12">
        <v>43831</v>
      </c>
      <c r="C1077">
        <v>6000</v>
      </c>
      <c r="D1077">
        <v>5</v>
      </c>
      <c r="E1077">
        <v>0.03</v>
      </c>
      <c r="F1077">
        <v>60</v>
      </c>
      <c r="G1077" s="13">
        <v>44804</v>
      </c>
      <c r="H1077">
        <v>1076</v>
      </c>
      <c r="I1077">
        <v>32</v>
      </c>
      <c r="J1077">
        <v>2.5000000000000001E-3</v>
      </c>
      <c r="K1077" s="14">
        <v>5539.2510543410453</v>
      </c>
      <c r="L1077" s="14">
        <v>333914.14612083195</v>
      </c>
      <c r="M1077" s="36">
        <f>IF(Output[[#This Row],[Index]]=1,Output[[#This Row],[Droit Utilisation]],P1076)</f>
        <v>167640.24609733647</v>
      </c>
      <c r="N1077" s="15">
        <f>Output[[#This Row],[Capital Debut Period]]*Output[[#This Row],[Tx_interet_M]]</f>
        <v>419.10061524334117</v>
      </c>
      <c r="O1077" s="15">
        <f>Output[[#This Row],[Mensualité initial]]-Output[[#This Row],[Interet]]</f>
        <v>5580.8993847566589</v>
      </c>
      <c r="P1077" s="15">
        <f>Output[[#This Row],[Capital Debut Period]]-Output[[#This Row],[Paiement Principal]]</f>
        <v>162059.34671257981</v>
      </c>
      <c r="Q1077" s="15">
        <f>Output[[#This Row],[Droit Utilisation]]/Output[[#This Row],[Duree_Mois]]</f>
        <v>5565.2357686805326</v>
      </c>
    </row>
    <row r="1078" spans="1:17" x14ac:dyDescent="0.25">
      <c r="A1078" s="11" t="s">
        <v>18</v>
      </c>
      <c r="B1078" s="12">
        <v>43831</v>
      </c>
      <c r="C1078">
        <v>6000</v>
      </c>
      <c r="D1078">
        <v>5</v>
      </c>
      <c r="E1078">
        <v>0.03</v>
      </c>
      <c r="F1078">
        <v>60</v>
      </c>
      <c r="G1078" s="13">
        <v>44834</v>
      </c>
      <c r="H1078">
        <v>1077</v>
      </c>
      <c r="I1078">
        <v>33</v>
      </c>
      <c r="J1078">
        <v>2.5000000000000001E-3</v>
      </c>
      <c r="K1078" s="14">
        <v>5525.4374606893225</v>
      </c>
      <c r="L1078" s="14">
        <v>333914.14612083195</v>
      </c>
      <c r="M1078" s="36">
        <f>IF(Output[[#This Row],[Index]]=1,Output[[#This Row],[Droit Utilisation]],P1077)</f>
        <v>162059.34671257981</v>
      </c>
      <c r="N1078" s="15">
        <f>Output[[#This Row],[Capital Debut Period]]*Output[[#This Row],[Tx_interet_M]]</f>
        <v>405.14836678144951</v>
      </c>
      <c r="O1078" s="15">
        <f>Output[[#This Row],[Mensualité initial]]-Output[[#This Row],[Interet]]</f>
        <v>5594.8516332185509</v>
      </c>
      <c r="P1078" s="15">
        <f>Output[[#This Row],[Capital Debut Period]]-Output[[#This Row],[Paiement Principal]]</f>
        <v>156464.49507936125</v>
      </c>
      <c r="Q1078" s="15">
        <f>Output[[#This Row],[Droit Utilisation]]/Output[[#This Row],[Duree_Mois]]</f>
        <v>5565.2357686805326</v>
      </c>
    </row>
    <row r="1079" spans="1:17" x14ac:dyDescent="0.25">
      <c r="A1079" s="11" t="s">
        <v>18</v>
      </c>
      <c r="B1079" s="12">
        <v>43831</v>
      </c>
      <c r="C1079">
        <v>6000</v>
      </c>
      <c r="D1079">
        <v>5</v>
      </c>
      <c r="E1079">
        <v>0.03</v>
      </c>
      <c r="F1079">
        <v>60</v>
      </c>
      <c r="G1079" s="13">
        <v>44865</v>
      </c>
      <c r="H1079">
        <v>1078</v>
      </c>
      <c r="I1079">
        <v>34</v>
      </c>
      <c r="J1079">
        <v>2.5000000000000001E-3</v>
      </c>
      <c r="K1079" s="14">
        <v>5511.6583149020671</v>
      </c>
      <c r="L1079" s="14">
        <v>333914.14612083195</v>
      </c>
      <c r="M1079" s="36">
        <f>IF(Output[[#This Row],[Index]]=1,Output[[#This Row],[Droit Utilisation]],P1078)</f>
        <v>156464.49507936125</v>
      </c>
      <c r="N1079" s="15">
        <f>Output[[#This Row],[Capital Debut Period]]*Output[[#This Row],[Tx_interet_M]]</f>
        <v>391.16123769840311</v>
      </c>
      <c r="O1079" s="15">
        <f>Output[[#This Row],[Mensualité initial]]-Output[[#This Row],[Interet]]</f>
        <v>5608.8387623015969</v>
      </c>
      <c r="P1079" s="15">
        <f>Output[[#This Row],[Capital Debut Period]]-Output[[#This Row],[Paiement Principal]]</f>
        <v>150855.65631705965</v>
      </c>
      <c r="Q1079" s="15">
        <f>Output[[#This Row],[Droit Utilisation]]/Output[[#This Row],[Duree_Mois]]</f>
        <v>5565.2357686805326</v>
      </c>
    </row>
    <row r="1080" spans="1:17" x14ac:dyDescent="0.25">
      <c r="A1080" s="11" t="s">
        <v>18</v>
      </c>
      <c r="B1080" s="12">
        <v>43831</v>
      </c>
      <c r="C1080">
        <v>6000</v>
      </c>
      <c r="D1080">
        <v>5</v>
      </c>
      <c r="E1080">
        <v>0.03</v>
      </c>
      <c r="F1080">
        <v>60</v>
      </c>
      <c r="G1080" s="13">
        <v>44895</v>
      </c>
      <c r="H1080">
        <v>1079</v>
      </c>
      <c r="I1080">
        <v>35</v>
      </c>
      <c r="J1080">
        <v>2.5000000000000001E-3</v>
      </c>
      <c r="K1080" s="14">
        <v>5497.9135310743814</v>
      </c>
      <c r="L1080" s="14">
        <v>333914.14612083195</v>
      </c>
      <c r="M1080" s="36">
        <f>IF(Output[[#This Row],[Index]]=1,Output[[#This Row],[Droit Utilisation]],P1079)</f>
        <v>150855.65631705965</v>
      </c>
      <c r="N1080" s="15">
        <f>Output[[#This Row],[Capital Debut Period]]*Output[[#This Row],[Tx_interet_M]]</f>
        <v>377.13914079264913</v>
      </c>
      <c r="O1080" s="15">
        <f>Output[[#This Row],[Mensualité initial]]-Output[[#This Row],[Interet]]</f>
        <v>5622.8608592073506</v>
      </c>
      <c r="P1080" s="15">
        <f>Output[[#This Row],[Capital Debut Period]]-Output[[#This Row],[Paiement Principal]]</f>
        <v>145232.79545785231</v>
      </c>
      <c r="Q1080" s="15">
        <f>Output[[#This Row],[Droit Utilisation]]/Output[[#This Row],[Duree_Mois]]</f>
        <v>5565.2357686805326</v>
      </c>
    </row>
    <row r="1081" spans="1:17" x14ac:dyDescent="0.25">
      <c r="A1081" s="11" t="s">
        <v>18</v>
      </c>
      <c r="B1081" s="12">
        <v>43831</v>
      </c>
      <c r="C1081">
        <v>6000</v>
      </c>
      <c r="D1081">
        <v>5</v>
      </c>
      <c r="E1081">
        <v>0.03</v>
      </c>
      <c r="F1081">
        <v>60</v>
      </c>
      <c r="G1081" s="13">
        <v>44926</v>
      </c>
      <c r="H1081">
        <v>1080</v>
      </c>
      <c r="I1081">
        <v>36</v>
      </c>
      <c r="J1081">
        <v>2.5000000000000001E-3</v>
      </c>
      <c r="K1081" s="14">
        <v>5484.2030235155926</v>
      </c>
      <c r="L1081" s="14">
        <v>333914.14612083195</v>
      </c>
      <c r="M1081" s="36">
        <f>IF(Output[[#This Row],[Index]]=1,Output[[#This Row],[Droit Utilisation]],P1080)</f>
        <v>145232.79545785231</v>
      </c>
      <c r="N1081" s="15">
        <f>Output[[#This Row],[Capital Debut Period]]*Output[[#This Row],[Tx_interet_M]]</f>
        <v>363.08198864463077</v>
      </c>
      <c r="O1081" s="15">
        <f>Output[[#This Row],[Mensualité initial]]-Output[[#This Row],[Interet]]</f>
        <v>5636.9180113553693</v>
      </c>
      <c r="P1081" s="15">
        <f>Output[[#This Row],[Capital Debut Period]]-Output[[#This Row],[Paiement Principal]]</f>
        <v>139595.87744649695</v>
      </c>
      <c r="Q1081" s="15">
        <f>Output[[#This Row],[Droit Utilisation]]/Output[[#This Row],[Duree_Mois]]</f>
        <v>5565.2357686805326</v>
      </c>
    </row>
    <row r="1082" spans="1:17" x14ac:dyDescent="0.25">
      <c r="A1082" s="11" t="s">
        <v>18</v>
      </c>
      <c r="B1082" s="12">
        <v>43831</v>
      </c>
      <c r="C1082">
        <v>6000</v>
      </c>
      <c r="D1082">
        <v>5</v>
      </c>
      <c r="E1082">
        <v>0.03</v>
      </c>
      <c r="F1082">
        <v>60</v>
      </c>
      <c r="G1082" s="13">
        <v>44957</v>
      </c>
      <c r="H1082">
        <v>1081</v>
      </c>
      <c r="I1082">
        <v>37</v>
      </c>
      <c r="J1082">
        <v>2.5000000000000001E-3</v>
      </c>
      <c r="K1082" s="14">
        <v>5470.5267067487212</v>
      </c>
      <c r="L1082" s="14">
        <v>333914.14612083195</v>
      </c>
      <c r="M1082" s="36">
        <f>IF(Output[[#This Row],[Index]]=1,Output[[#This Row],[Droit Utilisation]],P1081)</f>
        <v>139595.87744649695</v>
      </c>
      <c r="N1082" s="15">
        <f>Output[[#This Row],[Capital Debut Period]]*Output[[#This Row],[Tx_interet_M]]</f>
        <v>348.98969361624239</v>
      </c>
      <c r="O1082" s="15">
        <f>Output[[#This Row],[Mensualité initial]]-Output[[#This Row],[Interet]]</f>
        <v>5651.0103063837578</v>
      </c>
      <c r="P1082" s="15">
        <f>Output[[#This Row],[Capital Debut Period]]-Output[[#This Row],[Paiement Principal]]</f>
        <v>133944.8671401132</v>
      </c>
      <c r="Q1082" s="15">
        <f>Output[[#This Row],[Droit Utilisation]]/Output[[#This Row],[Duree_Mois]]</f>
        <v>5565.2357686805326</v>
      </c>
    </row>
    <row r="1083" spans="1:17" x14ac:dyDescent="0.25">
      <c r="A1083" s="11" t="s">
        <v>18</v>
      </c>
      <c r="B1083" s="12">
        <v>43831</v>
      </c>
      <c r="C1083">
        <v>6000</v>
      </c>
      <c r="D1083">
        <v>5</v>
      </c>
      <c r="E1083">
        <v>0.03</v>
      </c>
      <c r="F1083">
        <v>60</v>
      </c>
      <c r="G1083" s="13">
        <v>44985</v>
      </c>
      <c r="H1083">
        <v>1082</v>
      </c>
      <c r="I1083">
        <v>38</v>
      </c>
      <c r="J1083">
        <v>2.5000000000000001E-3</v>
      </c>
      <c r="K1083" s="14">
        <v>5456.8844955099466</v>
      </c>
      <c r="L1083" s="14">
        <v>333914.14612083195</v>
      </c>
      <c r="M1083" s="36">
        <f>IF(Output[[#This Row],[Index]]=1,Output[[#This Row],[Droit Utilisation]],P1082)</f>
        <v>133944.8671401132</v>
      </c>
      <c r="N1083" s="15">
        <f>Output[[#This Row],[Capital Debut Period]]*Output[[#This Row],[Tx_interet_M]]</f>
        <v>334.86216785028302</v>
      </c>
      <c r="O1083" s="15">
        <f>Output[[#This Row],[Mensualité initial]]-Output[[#This Row],[Interet]]</f>
        <v>5665.1378321497168</v>
      </c>
      <c r="P1083" s="15">
        <f>Output[[#This Row],[Capital Debut Period]]-Output[[#This Row],[Paiement Principal]]</f>
        <v>128279.72930796348</v>
      </c>
      <c r="Q1083" s="15">
        <f>Output[[#This Row],[Droit Utilisation]]/Output[[#This Row],[Duree_Mois]]</f>
        <v>5565.2357686805326</v>
      </c>
    </row>
    <row r="1084" spans="1:17" x14ac:dyDescent="0.25">
      <c r="A1084" s="11" t="s">
        <v>18</v>
      </c>
      <c r="B1084" s="12">
        <v>43831</v>
      </c>
      <c r="C1084">
        <v>6000</v>
      </c>
      <c r="D1084">
        <v>5</v>
      </c>
      <c r="E1084">
        <v>0.03</v>
      </c>
      <c r="F1084">
        <v>60</v>
      </c>
      <c r="G1084" s="13">
        <v>45016</v>
      </c>
      <c r="H1084">
        <v>1083</v>
      </c>
      <c r="I1084">
        <v>39</v>
      </c>
      <c r="J1084">
        <v>2.5000000000000001E-3</v>
      </c>
      <c r="K1084" s="14">
        <v>5443.2763047480767</v>
      </c>
      <c r="L1084" s="14">
        <v>333914.14612083195</v>
      </c>
      <c r="M1084" s="36">
        <f>IF(Output[[#This Row],[Index]]=1,Output[[#This Row],[Droit Utilisation]],P1083)</f>
        <v>128279.72930796348</v>
      </c>
      <c r="N1084" s="15">
        <f>Output[[#This Row],[Capital Debut Period]]*Output[[#This Row],[Tx_interet_M]]</f>
        <v>320.69932326990869</v>
      </c>
      <c r="O1084" s="15">
        <f>Output[[#This Row],[Mensualité initial]]-Output[[#This Row],[Interet]]</f>
        <v>5679.3006767300913</v>
      </c>
      <c r="P1084" s="15">
        <f>Output[[#This Row],[Capital Debut Period]]-Output[[#This Row],[Paiement Principal]]</f>
        <v>122600.42863123339</v>
      </c>
      <c r="Q1084" s="15">
        <f>Output[[#This Row],[Droit Utilisation]]/Output[[#This Row],[Duree_Mois]]</f>
        <v>5565.2357686805326</v>
      </c>
    </row>
    <row r="1085" spans="1:17" x14ac:dyDescent="0.25">
      <c r="A1085" s="11" t="s">
        <v>18</v>
      </c>
      <c r="B1085" s="12">
        <v>43831</v>
      </c>
      <c r="C1085">
        <v>6000</v>
      </c>
      <c r="D1085">
        <v>5</v>
      </c>
      <c r="E1085">
        <v>0.03</v>
      </c>
      <c r="F1085">
        <v>60</v>
      </c>
      <c r="G1085" s="13">
        <v>45046</v>
      </c>
      <c r="H1085">
        <v>1084</v>
      </c>
      <c r="I1085">
        <v>40</v>
      </c>
      <c r="J1085">
        <v>2.5000000000000001E-3</v>
      </c>
      <c r="K1085" s="14">
        <v>5429.7020496240175</v>
      </c>
      <c r="L1085" s="14">
        <v>333914.14612083195</v>
      </c>
      <c r="M1085" s="36">
        <f>IF(Output[[#This Row],[Index]]=1,Output[[#This Row],[Droit Utilisation]],P1084)</f>
        <v>122600.42863123339</v>
      </c>
      <c r="N1085" s="15">
        <f>Output[[#This Row],[Capital Debut Period]]*Output[[#This Row],[Tx_interet_M]]</f>
        <v>306.5010715780835</v>
      </c>
      <c r="O1085" s="15">
        <f>Output[[#This Row],[Mensualité initial]]-Output[[#This Row],[Interet]]</f>
        <v>5693.4989284219164</v>
      </c>
      <c r="P1085" s="15">
        <f>Output[[#This Row],[Capital Debut Period]]-Output[[#This Row],[Paiement Principal]]</f>
        <v>116906.92970281147</v>
      </c>
      <c r="Q1085" s="15">
        <f>Output[[#This Row],[Droit Utilisation]]/Output[[#This Row],[Duree_Mois]]</f>
        <v>5565.2357686805326</v>
      </c>
    </row>
    <row r="1086" spans="1:17" x14ac:dyDescent="0.25">
      <c r="A1086" s="11" t="s">
        <v>18</v>
      </c>
      <c r="B1086" s="12">
        <v>43831</v>
      </c>
      <c r="C1086">
        <v>6000</v>
      </c>
      <c r="D1086">
        <v>5</v>
      </c>
      <c r="E1086">
        <v>0.03</v>
      </c>
      <c r="F1086">
        <v>60</v>
      </c>
      <c r="G1086" s="13">
        <v>45077</v>
      </c>
      <c r="H1086">
        <v>1085</v>
      </c>
      <c r="I1086">
        <v>41</v>
      </c>
      <c r="J1086">
        <v>2.5000000000000001E-3</v>
      </c>
      <c r="K1086" s="14">
        <v>5416.1616455102412</v>
      </c>
      <c r="L1086" s="14">
        <v>333914.14612083195</v>
      </c>
      <c r="M1086" s="36">
        <f>IF(Output[[#This Row],[Index]]=1,Output[[#This Row],[Droit Utilisation]],P1085)</f>
        <v>116906.92970281147</v>
      </c>
      <c r="N1086" s="15">
        <f>Output[[#This Row],[Capital Debut Period]]*Output[[#This Row],[Tx_interet_M]]</f>
        <v>292.26732425702869</v>
      </c>
      <c r="O1086" s="15">
        <f>Output[[#This Row],[Mensualité initial]]-Output[[#This Row],[Interet]]</f>
        <v>5707.732675742971</v>
      </c>
      <c r="P1086" s="15">
        <f>Output[[#This Row],[Capital Debut Period]]-Output[[#This Row],[Paiement Principal]]</f>
        <v>111199.1970270685</v>
      </c>
      <c r="Q1086" s="15">
        <f>Output[[#This Row],[Droit Utilisation]]/Output[[#This Row],[Duree_Mois]]</f>
        <v>5565.2357686805326</v>
      </c>
    </row>
    <row r="1087" spans="1:17" x14ac:dyDescent="0.25">
      <c r="A1087" s="11" t="s">
        <v>18</v>
      </c>
      <c r="B1087" s="12">
        <v>43831</v>
      </c>
      <c r="C1087">
        <v>6000</v>
      </c>
      <c r="D1087">
        <v>5</v>
      </c>
      <c r="E1087">
        <v>0.03</v>
      </c>
      <c r="F1087">
        <v>60</v>
      </c>
      <c r="G1087" s="13">
        <v>45107</v>
      </c>
      <c r="H1087">
        <v>1086</v>
      </c>
      <c r="I1087">
        <v>42</v>
      </c>
      <c r="J1087">
        <v>2.5000000000000001E-3</v>
      </c>
      <c r="K1087" s="14">
        <v>5402.6550079902663</v>
      </c>
      <c r="L1087" s="14">
        <v>333914.14612083195</v>
      </c>
      <c r="M1087" s="36">
        <f>IF(Output[[#This Row],[Index]]=1,Output[[#This Row],[Droit Utilisation]],P1086)</f>
        <v>111199.1970270685</v>
      </c>
      <c r="N1087" s="15">
        <f>Output[[#This Row],[Capital Debut Period]]*Output[[#This Row],[Tx_interet_M]]</f>
        <v>277.99799256767125</v>
      </c>
      <c r="O1087" s="15">
        <f>Output[[#This Row],[Mensualité initial]]-Output[[#This Row],[Interet]]</f>
        <v>5722.0020074323284</v>
      </c>
      <c r="P1087" s="15">
        <f>Output[[#This Row],[Capital Debut Period]]-Output[[#This Row],[Paiement Principal]]</f>
        <v>105477.19501963617</v>
      </c>
      <c r="Q1087" s="15">
        <f>Output[[#This Row],[Droit Utilisation]]/Output[[#This Row],[Duree_Mois]]</f>
        <v>5565.2357686805326</v>
      </c>
    </row>
    <row r="1088" spans="1:17" x14ac:dyDescent="0.25">
      <c r="A1088" s="11" t="s">
        <v>18</v>
      </c>
      <c r="B1088" s="12">
        <v>43831</v>
      </c>
      <c r="C1088">
        <v>6000</v>
      </c>
      <c r="D1088">
        <v>5</v>
      </c>
      <c r="E1088">
        <v>0.03</v>
      </c>
      <c r="F1088">
        <v>60</v>
      </c>
      <c r="G1088" s="13">
        <v>45138</v>
      </c>
      <c r="H1088">
        <v>1087</v>
      </c>
      <c r="I1088">
        <v>43</v>
      </c>
      <c r="J1088">
        <v>2.5000000000000001E-3</v>
      </c>
      <c r="K1088" s="14">
        <v>5389.1820528581211</v>
      </c>
      <c r="L1088" s="14">
        <v>333914.14612083195</v>
      </c>
      <c r="M1088" s="36">
        <f>IF(Output[[#This Row],[Index]]=1,Output[[#This Row],[Droit Utilisation]],P1087)</f>
        <v>105477.19501963617</v>
      </c>
      <c r="N1088" s="15">
        <f>Output[[#This Row],[Capital Debut Period]]*Output[[#This Row],[Tx_interet_M]]</f>
        <v>263.69298754909045</v>
      </c>
      <c r="O1088" s="15">
        <f>Output[[#This Row],[Mensualité initial]]-Output[[#This Row],[Interet]]</f>
        <v>5736.3070124509095</v>
      </c>
      <c r="P1088" s="15">
        <f>Output[[#This Row],[Capital Debut Period]]-Output[[#This Row],[Paiement Principal]]</f>
        <v>99740.888007185262</v>
      </c>
      <c r="Q1088" s="15">
        <f>Output[[#This Row],[Droit Utilisation]]/Output[[#This Row],[Duree_Mois]]</f>
        <v>5565.2357686805326</v>
      </c>
    </row>
    <row r="1089" spans="1:17" x14ac:dyDescent="0.25">
      <c r="A1089" s="11" t="s">
        <v>18</v>
      </c>
      <c r="B1089" s="12">
        <v>43831</v>
      </c>
      <c r="C1089">
        <v>6000</v>
      </c>
      <c r="D1089">
        <v>5</v>
      </c>
      <c r="E1089">
        <v>0.03</v>
      </c>
      <c r="F1089">
        <v>60</v>
      </c>
      <c r="G1089" s="13">
        <v>45169</v>
      </c>
      <c r="H1089">
        <v>1088</v>
      </c>
      <c r="I1089">
        <v>44</v>
      </c>
      <c r="J1089">
        <v>2.5000000000000001E-3</v>
      </c>
      <c r="K1089" s="14">
        <v>5375.7426961178271</v>
      </c>
      <c r="L1089" s="14">
        <v>333914.14612083195</v>
      </c>
      <c r="M1089" s="36">
        <f>IF(Output[[#This Row],[Index]]=1,Output[[#This Row],[Droit Utilisation]],P1088)</f>
        <v>99740.888007185262</v>
      </c>
      <c r="N1089" s="15">
        <f>Output[[#This Row],[Capital Debut Period]]*Output[[#This Row],[Tx_interet_M]]</f>
        <v>249.35222001796316</v>
      </c>
      <c r="O1089" s="15">
        <f>Output[[#This Row],[Mensualité initial]]-Output[[#This Row],[Interet]]</f>
        <v>5750.6477799820368</v>
      </c>
      <c r="P1089" s="15">
        <f>Output[[#This Row],[Capital Debut Period]]-Output[[#This Row],[Paiement Principal]]</f>
        <v>93990.24022720322</v>
      </c>
      <c r="Q1089" s="15">
        <f>Output[[#This Row],[Droit Utilisation]]/Output[[#This Row],[Duree_Mois]]</f>
        <v>5565.2357686805326</v>
      </c>
    </row>
    <row r="1090" spans="1:17" x14ac:dyDescent="0.25">
      <c r="A1090" s="11" t="s">
        <v>18</v>
      </c>
      <c r="B1090" s="12">
        <v>43831</v>
      </c>
      <c r="C1090">
        <v>6000</v>
      </c>
      <c r="D1090">
        <v>5</v>
      </c>
      <c r="E1090">
        <v>0.03</v>
      </c>
      <c r="F1090">
        <v>60</v>
      </c>
      <c r="G1090" s="13">
        <v>45199</v>
      </c>
      <c r="H1090">
        <v>1089</v>
      </c>
      <c r="I1090">
        <v>45</v>
      </c>
      <c r="J1090">
        <v>2.5000000000000001E-3</v>
      </c>
      <c r="K1090" s="14">
        <v>5362.3368539828707</v>
      </c>
      <c r="L1090" s="14">
        <v>333914.14612083195</v>
      </c>
      <c r="M1090" s="36">
        <f>IF(Output[[#This Row],[Index]]=1,Output[[#This Row],[Droit Utilisation]],P1089)</f>
        <v>93990.24022720322</v>
      </c>
      <c r="N1090" s="15">
        <f>Output[[#This Row],[Capital Debut Period]]*Output[[#This Row],[Tx_interet_M]]</f>
        <v>234.97560056800805</v>
      </c>
      <c r="O1090" s="15">
        <f>Output[[#This Row],[Mensualité initial]]-Output[[#This Row],[Interet]]</f>
        <v>5765.0243994319917</v>
      </c>
      <c r="P1090" s="15">
        <f>Output[[#This Row],[Capital Debut Period]]-Output[[#This Row],[Paiement Principal]]</f>
        <v>88225.21582777123</v>
      </c>
      <c r="Q1090" s="15">
        <f>Output[[#This Row],[Droit Utilisation]]/Output[[#This Row],[Duree_Mois]]</f>
        <v>5565.2357686805326</v>
      </c>
    </row>
    <row r="1091" spans="1:17" x14ac:dyDescent="0.25">
      <c r="A1091" s="11" t="s">
        <v>18</v>
      </c>
      <c r="B1091" s="12">
        <v>43831</v>
      </c>
      <c r="C1091">
        <v>6000</v>
      </c>
      <c r="D1091">
        <v>5</v>
      </c>
      <c r="E1091">
        <v>0.03</v>
      </c>
      <c r="F1091">
        <v>60</v>
      </c>
      <c r="G1091" s="13">
        <v>45230</v>
      </c>
      <c r="H1091">
        <v>1090</v>
      </c>
      <c r="I1091">
        <v>46</v>
      </c>
      <c r="J1091">
        <v>2.5000000000000001E-3</v>
      </c>
      <c r="K1091" s="14">
        <v>5348.9644428756819</v>
      </c>
      <c r="L1091" s="14">
        <v>333914.14612083195</v>
      </c>
      <c r="M1091" s="36">
        <f>IF(Output[[#This Row],[Index]]=1,Output[[#This Row],[Droit Utilisation]],P1090)</f>
        <v>88225.21582777123</v>
      </c>
      <c r="N1091" s="15">
        <f>Output[[#This Row],[Capital Debut Period]]*Output[[#This Row],[Tx_interet_M]]</f>
        <v>220.56303956942807</v>
      </c>
      <c r="O1091" s="15">
        <f>Output[[#This Row],[Mensualité initial]]-Output[[#This Row],[Interet]]</f>
        <v>5779.4369604305721</v>
      </c>
      <c r="P1091" s="15">
        <f>Output[[#This Row],[Capital Debut Period]]-Output[[#This Row],[Paiement Principal]]</f>
        <v>82445.778867340661</v>
      </c>
      <c r="Q1091" s="15">
        <f>Output[[#This Row],[Droit Utilisation]]/Output[[#This Row],[Duree_Mois]]</f>
        <v>5565.2357686805326</v>
      </c>
    </row>
    <row r="1092" spans="1:17" x14ac:dyDescent="0.25">
      <c r="A1092" s="11" t="s">
        <v>18</v>
      </c>
      <c r="B1092" s="12">
        <v>43831</v>
      </c>
      <c r="C1092">
        <v>6000</v>
      </c>
      <c r="D1092">
        <v>5</v>
      </c>
      <c r="E1092">
        <v>0.03</v>
      </c>
      <c r="F1092">
        <v>60</v>
      </c>
      <c r="G1092" s="13">
        <v>45260</v>
      </c>
      <c r="H1092">
        <v>1091</v>
      </c>
      <c r="I1092">
        <v>47</v>
      </c>
      <c r="J1092">
        <v>2.5000000000000001E-3</v>
      </c>
      <c r="K1092" s="14">
        <v>5335.6253794271142</v>
      </c>
      <c r="L1092" s="14">
        <v>333914.14612083195</v>
      </c>
      <c r="M1092" s="36">
        <f>IF(Output[[#This Row],[Index]]=1,Output[[#This Row],[Droit Utilisation]],P1091)</f>
        <v>82445.778867340661</v>
      </c>
      <c r="N1092" s="15">
        <f>Output[[#This Row],[Capital Debut Period]]*Output[[#This Row],[Tx_interet_M]]</f>
        <v>206.11444716835166</v>
      </c>
      <c r="O1092" s="15">
        <f>Output[[#This Row],[Mensualité initial]]-Output[[#This Row],[Interet]]</f>
        <v>5793.8855528316481</v>
      </c>
      <c r="P1092" s="15">
        <f>Output[[#This Row],[Capital Debut Period]]-Output[[#This Row],[Paiement Principal]]</f>
        <v>76651.893314509012</v>
      </c>
      <c r="Q1092" s="15">
        <f>Output[[#This Row],[Droit Utilisation]]/Output[[#This Row],[Duree_Mois]]</f>
        <v>5565.2357686805326</v>
      </c>
    </row>
    <row r="1093" spans="1:17" x14ac:dyDescent="0.25">
      <c r="A1093" s="11" t="s">
        <v>18</v>
      </c>
      <c r="B1093" s="12">
        <v>43831</v>
      </c>
      <c r="C1093">
        <v>6000</v>
      </c>
      <c r="D1093">
        <v>5</v>
      </c>
      <c r="E1093">
        <v>0.03</v>
      </c>
      <c r="F1093">
        <v>60</v>
      </c>
      <c r="G1093" s="13">
        <v>45291</v>
      </c>
      <c r="H1093">
        <v>1092</v>
      </c>
      <c r="I1093">
        <v>48</v>
      </c>
      <c r="J1093">
        <v>2.5000000000000001E-3</v>
      </c>
      <c r="K1093" s="14">
        <v>5322.3195804759243</v>
      </c>
      <c r="L1093" s="14">
        <v>333914.14612083195</v>
      </c>
      <c r="M1093" s="36">
        <f>IF(Output[[#This Row],[Index]]=1,Output[[#This Row],[Droit Utilisation]],P1092)</f>
        <v>76651.893314509012</v>
      </c>
      <c r="N1093" s="15">
        <f>Output[[#This Row],[Capital Debut Period]]*Output[[#This Row],[Tx_interet_M]]</f>
        <v>191.62973328627254</v>
      </c>
      <c r="O1093" s="15">
        <f>Output[[#This Row],[Mensualité initial]]-Output[[#This Row],[Interet]]</f>
        <v>5808.3702667137277</v>
      </c>
      <c r="P1093" s="15">
        <f>Output[[#This Row],[Capital Debut Period]]-Output[[#This Row],[Paiement Principal]]</f>
        <v>70843.523047795286</v>
      </c>
      <c r="Q1093" s="15">
        <f>Output[[#This Row],[Droit Utilisation]]/Output[[#This Row],[Duree_Mois]]</f>
        <v>5565.2357686805326</v>
      </c>
    </row>
    <row r="1094" spans="1:17" x14ac:dyDescent="0.25">
      <c r="A1094" s="11" t="s">
        <v>18</v>
      </c>
      <c r="B1094" s="12">
        <v>43831</v>
      </c>
      <c r="C1094">
        <v>6000</v>
      </c>
      <c r="D1094">
        <v>5</v>
      </c>
      <c r="E1094">
        <v>0.03</v>
      </c>
      <c r="F1094">
        <v>60</v>
      </c>
      <c r="G1094" s="13">
        <v>45322</v>
      </c>
      <c r="H1094">
        <v>1093</v>
      </c>
      <c r="I1094">
        <v>49</v>
      </c>
      <c r="J1094">
        <v>2.5000000000000001E-3</v>
      </c>
      <c r="K1094" s="14">
        <v>5309.0469630682537</v>
      </c>
      <c r="L1094" s="14">
        <v>333914.14612083195</v>
      </c>
      <c r="M1094" s="36">
        <f>IF(Output[[#This Row],[Index]]=1,Output[[#This Row],[Droit Utilisation]],P1093)</f>
        <v>70843.523047795286</v>
      </c>
      <c r="N1094" s="15">
        <f>Output[[#This Row],[Capital Debut Period]]*Output[[#This Row],[Tx_interet_M]]</f>
        <v>177.10880761948823</v>
      </c>
      <c r="O1094" s="15">
        <f>Output[[#This Row],[Mensualité initial]]-Output[[#This Row],[Interet]]</f>
        <v>5822.8911923805117</v>
      </c>
      <c r="P1094" s="15">
        <f>Output[[#This Row],[Capital Debut Period]]-Output[[#This Row],[Paiement Principal]]</f>
        <v>65020.631855414773</v>
      </c>
      <c r="Q1094" s="15">
        <f>Output[[#This Row],[Droit Utilisation]]/Output[[#This Row],[Duree_Mois]]</f>
        <v>5565.2357686805326</v>
      </c>
    </row>
    <row r="1095" spans="1:17" x14ac:dyDescent="0.25">
      <c r="A1095" s="11" t="s">
        <v>18</v>
      </c>
      <c r="B1095" s="12">
        <v>43831</v>
      </c>
      <c r="C1095">
        <v>6000</v>
      </c>
      <c r="D1095">
        <v>5</v>
      </c>
      <c r="E1095">
        <v>0.03</v>
      </c>
      <c r="F1095">
        <v>60</v>
      </c>
      <c r="G1095" s="13">
        <v>45351</v>
      </c>
      <c r="H1095">
        <v>1094</v>
      </c>
      <c r="I1095">
        <v>50</v>
      </c>
      <c r="J1095">
        <v>2.5000000000000001E-3</v>
      </c>
      <c r="K1095" s="14">
        <v>5295.8074444571121</v>
      </c>
      <c r="L1095" s="14">
        <v>333914.14612083195</v>
      </c>
      <c r="M1095" s="36">
        <f>IF(Output[[#This Row],[Index]]=1,Output[[#This Row],[Droit Utilisation]],P1094)</f>
        <v>65020.631855414773</v>
      </c>
      <c r="N1095" s="15">
        <f>Output[[#This Row],[Capital Debut Period]]*Output[[#This Row],[Tx_interet_M]]</f>
        <v>162.55157963853694</v>
      </c>
      <c r="O1095" s="15">
        <f>Output[[#This Row],[Mensualité initial]]-Output[[#This Row],[Interet]]</f>
        <v>5837.4484203614629</v>
      </c>
      <c r="P1095" s="15">
        <f>Output[[#This Row],[Capital Debut Period]]-Output[[#This Row],[Paiement Principal]]</f>
        <v>59183.18343505331</v>
      </c>
      <c r="Q1095" s="15">
        <f>Output[[#This Row],[Droit Utilisation]]/Output[[#This Row],[Duree_Mois]]</f>
        <v>5565.2357686805326</v>
      </c>
    </row>
    <row r="1096" spans="1:17" x14ac:dyDescent="0.25">
      <c r="A1096" s="11" t="s">
        <v>18</v>
      </c>
      <c r="B1096" s="12">
        <v>43831</v>
      </c>
      <c r="C1096">
        <v>6000</v>
      </c>
      <c r="D1096">
        <v>5</v>
      </c>
      <c r="E1096">
        <v>0.03</v>
      </c>
      <c r="F1096">
        <v>60</v>
      </c>
      <c r="G1096" s="13">
        <v>45382</v>
      </c>
      <c r="H1096">
        <v>1095</v>
      </c>
      <c r="I1096">
        <v>51</v>
      </c>
      <c r="J1096">
        <v>2.5000000000000001E-3</v>
      </c>
      <c r="K1096" s="14">
        <v>5282.6009421018571</v>
      </c>
      <c r="L1096" s="14">
        <v>333914.14612083195</v>
      </c>
      <c r="M1096" s="36">
        <f>IF(Output[[#This Row],[Index]]=1,Output[[#This Row],[Droit Utilisation]],P1095)</f>
        <v>59183.18343505331</v>
      </c>
      <c r="N1096" s="15">
        <f>Output[[#This Row],[Capital Debut Period]]*Output[[#This Row],[Tx_interet_M]]</f>
        <v>147.95795858763327</v>
      </c>
      <c r="O1096" s="15">
        <f>Output[[#This Row],[Mensualité initial]]-Output[[#This Row],[Interet]]</f>
        <v>5852.0420414123664</v>
      </c>
      <c r="P1096" s="15">
        <f>Output[[#This Row],[Capital Debut Period]]-Output[[#This Row],[Paiement Principal]]</f>
        <v>53331.141393640944</v>
      </c>
      <c r="Q1096" s="15">
        <f>Output[[#This Row],[Droit Utilisation]]/Output[[#This Row],[Duree_Mois]]</f>
        <v>5565.2357686805326</v>
      </c>
    </row>
    <row r="1097" spans="1:17" x14ac:dyDescent="0.25">
      <c r="A1097" s="11" t="s">
        <v>18</v>
      </c>
      <c r="B1097" s="12">
        <v>43831</v>
      </c>
      <c r="C1097">
        <v>6000</v>
      </c>
      <c r="D1097">
        <v>5</v>
      </c>
      <c r="E1097">
        <v>0.03</v>
      </c>
      <c r="F1097">
        <v>60</v>
      </c>
      <c r="G1097" s="13">
        <v>45412</v>
      </c>
      <c r="H1097">
        <v>1096</v>
      </c>
      <c r="I1097">
        <v>52</v>
      </c>
      <c r="J1097">
        <v>2.5000000000000001E-3</v>
      </c>
      <c r="K1097" s="14">
        <v>5269.4273736676878</v>
      </c>
      <c r="L1097" s="14">
        <v>333914.14612083195</v>
      </c>
      <c r="M1097" s="36">
        <f>IF(Output[[#This Row],[Index]]=1,Output[[#This Row],[Droit Utilisation]],P1096)</f>
        <v>53331.141393640944</v>
      </c>
      <c r="N1097" s="15">
        <f>Output[[#This Row],[Capital Debut Period]]*Output[[#This Row],[Tx_interet_M]]</f>
        <v>133.32785348410238</v>
      </c>
      <c r="O1097" s="15">
        <f>Output[[#This Row],[Mensualité initial]]-Output[[#This Row],[Interet]]</f>
        <v>5866.672146515898</v>
      </c>
      <c r="P1097" s="15">
        <f>Output[[#This Row],[Capital Debut Period]]-Output[[#This Row],[Paiement Principal]]</f>
        <v>47464.469247125046</v>
      </c>
      <c r="Q1097" s="15">
        <f>Output[[#This Row],[Droit Utilisation]]/Output[[#This Row],[Duree_Mois]]</f>
        <v>5565.2357686805326</v>
      </c>
    </row>
    <row r="1098" spans="1:17" x14ac:dyDescent="0.25">
      <c r="A1098" s="11" t="s">
        <v>18</v>
      </c>
      <c r="B1098" s="12">
        <v>43831</v>
      </c>
      <c r="C1098">
        <v>6000</v>
      </c>
      <c r="D1098">
        <v>5</v>
      </c>
      <c r="E1098">
        <v>0.03</v>
      </c>
      <c r="F1098">
        <v>60</v>
      </c>
      <c r="G1098" s="13">
        <v>45443</v>
      </c>
      <c r="H1098">
        <v>1097</v>
      </c>
      <c r="I1098">
        <v>53</v>
      </c>
      <c r="J1098">
        <v>2.5000000000000001E-3</v>
      </c>
      <c r="K1098" s="14">
        <v>5256.2866570251254</v>
      </c>
      <c r="L1098" s="14">
        <v>333914.14612083195</v>
      </c>
      <c r="M1098" s="36">
        <f>IF(Output[[#This Row],[Index]]=1,Output[[#This Row],[Droit Utilisation]],P1097)</f>
        <v>47464.469247125046</v>
      </c>
      <c r="N1098" s="15">
        <f>Output[[#This Row],[Capital Debut Period]]*Output[[#This Row],[Tx_interet_M]]</f>
        <v>118.66117311781261</v>
      </c>
      <c r="O1098" s="15">
        <f>Output[[#This Row],[Mensualité initial]]-Output[[#This Row],[Interet]]</f>
        <v>5881.3388268821873</v>
      </c>
      <c r="P1098" s="15">
        <f>Output[[#This Row],[Capital Debut Period]]-Output[[#This Row],[Paiement Principal]]</f>
        <v>41583.130420242858</v>
      </c>
      <c r="Q1098" s="15">
        <f>Output[[#This Row],[Droit Utilisation]]/Output[[#This Row],[Duree_Mois]]</f>
        <v>5565.2357686805326</v>
      </c>
    </row>
    <row r="1099" spans="1:17" x14ac:dyDescent="0.25">
      <c r="A1099" s="11" t="s">
        <v>18</v>
      </c>
      <c r="B1099" s="12">
        <v>43831</v>
      </c>
      <c r="C1099">
        <v>6000</v>
      </c>
      <c r="D1099">
        <v>5</v>
      </c>
      <c r="E1099">
        <v>0.03</v>
      </c>
      <c r="F1099">
        <v>60</v>
      </c>
      <c r="G1099" s="13">
        <v>45473</v>
      </c>
      <c r="H1099">
        <v>1098</v>
      </c>
      <c r="I1099">
        <v>54</v>
      </c>
      <c r="J1099">
        <v>2.5000000000000001E-3</v>
      </c>
      <c r="K1099" s="14">
        <v>5243.1787102495018</v>
      </c>
      <c r="L1099" s="14">
        <v>333914.14612083195</v>
      </c>
      <c r="M1099" s="36">
        <f>IF(Output[[#This Row],[Index]]=1,Output[[#This Row],[Droit Utilisation]],P1098)</f>
        <v>41583.130420242858</v>
      </c>
      <c r="N1099" s="15">
        <f>Output[[#This Row],[Capital Debut Period]]*Output[[#This Row],[Tx_interet_M]]</f>
        <v>103.95782605060715</v>
      </c>
      <c r="O1099" s="15">
        <f>Output[[#This Row],[Mensualité initial]]-Output[[#This Row],[Interet]]</f>
        <v>5896.0421739493931</v>
      </c>
      <c r="P1099" s="15">
        <f>Output[[#This Row],[Capital Debut Period]]-Output[[#This Row],[Paiement Principal]]</f>
        <v>35687.088246293468</v>
      </c>
      <c r="Q1099" s="15">
        <f>Output[[#This Row],[Droit Utilisation]]/Output[[#This Row],[Duree_Mois]]</f>
        <v>5565.2357686805326</v>
      </c>
    </row>
    <row r="1100" spans="1:17" x14ac:dyDescent="0.25">
      <c r="A1100" s="11" t="s">
        <v>18</v>
      </c>
      <c r="B1100" s="12">
        <v>43831</v>
      </c>
      <c r="C1100">
        <v>6000</v>
      </c>
      <c r="D1100">
        <v>5</v>
      </c>
      <c r="E1100">
        <v>0.03</v>
      </c>
      <c r="F1100">
        <v>60</v>
      </c>
      <c r="G1100" s="13">
        <v>45504</v>
      </c>
      <c r="H1100">
        <v>1099</v>
      </c>
      <c r="I1100">
        <v>55</v>
      </c>
      <c r="J1100">
        <v>2.5000000000000001E-3</v>
      </c>
      <c r="K1100" s="14">
        <v>5230.1034516204509</v>
      </c>
      <c r="L1100" s="14">
        <v>333914.14612083195</v>
      </c>
      <c r="M1100" s="36">
        <f>IF(Output[[#This Row],[Index]]=1,Output[[#This Row],[Droit Utilisation]],P1099)</f>
        <v>35687.088246293468</v>
      </c>
      <c r="N1100" s="15">
        <f>Output[[#This Row],[Capital Debut Period]]*Output[[#This Row],[Tx_interet_M]]</f>
        <v>89.217720615733668</v>
      </c>
      <c r="O1100" s="15">
        <f>Output[[#This Row],[Mensualité initial]]-Output[[#This Row],[Interet]]</f>
        <v>5910.7822793842661</v>
      </c>
      <c r="P1100" s="15">
        <f>Output[[#This Row],[Capital Debut Period]]-Output[[#This Row],[Paiement Principal]]</f>
        <v>29776.305966909204</v>
      </c>
      <c r="Q1100" s="15">
        <f>Output[[#This Row],[Droit Utilisation]]/Output[[#This Row],[Duree_Mois]]</f>
        <v>5565.2357686805326</v>
      </c>
    </row>
    <row r="1101" spans="1:17" x14ac:dyDescent="0.25">
      <c r="A1101" s="11" t="s">
        <v>18</v>
      </c>
      <c r="B1101" s="12">
        <v>43831</v>
      </c>
      <c r="C1101">
        <v>6000</v>
      </c>
      <c r="D1101">
        <v>5</v>
      </c>
      <c r="E1101">
        <v>0.03</v>
      </c>
      <c r="F1101">
        <v>60</v>
      </c>
      <c r="G1101" s="13">
        <v>45535</v>
      </c>
      <c r="H1101">
        <v>1100</v>
      </c>
      <c r="I1101">
        <v>56</v>
      </c>
      <c r="J1101">
        <v>2.5000000000000001E-3</v>
      </c>
      <c r="K1101" s="14">
        <v>5217.0607996213976</v>
      </c>
      <c r="L1101" s="14">
        <v>333914.14612083195</v>
      </c>
      <c r="M1101" s="36">
        <f>IF(Output[[#This Row],[Index]]=1,Output[[#This Row],[Droit Utilisation]],P1100)</f>
        <v>29776.305966909204</v>
      </c>
      <c r="N1101" s="15">
        <f>Output[[#This Row],[Capital Debut Period]]*Output[[#This Row],[Tx_interet_M]]</f>
        <v>74.440764917273015</v>
      </c>
      <c r="O1101" s="15">
        <f>Output[[#This Row],[Mensualité initial]]-Output[[#This Row],[Interet]]</f>
        <v>5925.5592350827274</v>
      </c>
      <c r="P1101" s="15">
        <f>Output[[#This Row],[Capital Debut Period]]-Output[[#This Row],[Paiement Principal]]</f>
        <v>23850.746731826475</v>
      </c>
      <c r="Q1101" s="15">
        <f>Output[[#This Row],[Droit Utilisation]]/Output[[#This Row],[Duree_Mois]]</f>
        <v>5565.2357686805326</v>
      </c>
    </row>
    <row r="1102" spans="1:17" x14ac:dyDescent="0.25">
      <c r="A1102" s="11" t="s">
        <v>18</v>
      </c>
      <c r="B1102" s="12">
        <v>43831</v>
      </c>
      <c r="C1102">
        <v>6000</v>
      </c>
      <c r="D1102">
        <v>5</v>
      </c>
      <c r="E1102">
        <v>0.03</v>
      </c>
      <c r="F1102">
        <v>60</v>
      </c>
      <c r="G1102" s="13">
        <v>45565</v>
      </c>
      <c r="H1102">
        <v>1101</v>
      </c>
      <c r="I1102">
        <v>57</v>
      </c>
      <c r="J1102">
        <v>2.5000000000000001E-3</v>
      </c>
      <c r="K1102" s="14">
        <v>5204.0506729390509</v>
      </c>
      <c r="L1102" s="14">
        <v>333914.14612083195</v>
      </c>
      <c r="M1102" s="36">
        <f>IF(Output[[#This Row],[Index]]=1,Output[[#This Row],[Droit Utilisation]],P1101)</f>
        <v>23850.746731826475</v>
      </c>
      <c r="N1102" s="15">
        <f>Output[[#This Row],[Capital Debut Period]]*Output[[#This Row],[Tx_interet_M]]</f>
        <v>59.62686682956619</v>
      </c>
      <c r="O1102" s="15">
        <f>Output[[#This Row],[Mensualité initial]]-Output[[#This Row],[Interet]]</f>
        <v>5940.3731331704339</v>
      </c>
      <c r="P1102" s="15">
        <f>Output[[#This Row],[Capital Debut Period]]-Output[[#This Row],[Paiement Principal]]</f>
        <v>17910.373598656042</v>
      </c>
      <c r="Q1102" s="15">
        <f>Output[[#This Row],[Droit Utilisation]]/Output[[#This Row],[Duree_Mois]]</f>
        <v>5565.2357686805326</v>
      </c>
    </row>
    <row r="1103" spans="1:17" x14ac:dyDescent="0.25">
      <c r="A1103" s="11" t="s">
        <v>18</v>
      </c>
      <c r="B1103" s="12">
        <v>43831</v>
      </c>
      <c r="C1103">
        <v>6000</v>
      </c>
      <c r="D1103">
        <v>5</v>
      </c>
      <c r="E1103">
        <v>0.03</v>
      </c>
      <c r="F1103">
        <v>60</v>
      </c>
      <c r="G1103" s="13">
        <v>45596</v>
      </c>
      <c r="H1103">
        <v>1102</v>
      </c>
      <c r="I1103">
        <v>58</v>
      </c>
      <c r="J1103">
        <v>2.5000000000000001E-3</v>
      </c>
      <c r="K1103" s="14">
        <v>5191.0729904628934</v>
      </c>
      <c r="L1103" s="14">
        <v>333914.14612083195</v>
      </c>
      <c r="M1103" s="36">
        <f>IF(Output[[#This Row],[Index]]=1,Output[[#This Row],[Droit Utilisation]],P1102)</f>
        <v>17910.373598656042</v>
      </c>
      <c r="N1103" s="15">
        <f>Output[[#This Row],[Capital Debut Period]]*Output[[#This Row],[Tx_interet_M]]</f>
        <v>44.775933996640106</v>
      </c>
      <c r="O1103" s="15">
        <f>Output[[#This Row],[Mensualité initial]]-Output[[#This Row],[Interet]]</f>
        <v>5955.2240660033603</v>
      </c>
      <c r="P1103" s="15">
        <f>Output[[#This Row],[Capital Debut Period]]-Output[[#This Row],[Paiement Principal]]</f>
        <v>11955.149532652682</v>
      </c>
      <c r="Q1103" s="15">
        <f>Output[[#This Row],[Droit Utilisation]]/Output[[#This Row],[Duree_Mois]]</f>
        <v>5565.2357686805326</v>
      </c>
    </row>
    <row r="1104" spans="1:17" x14ac:dyDescent="0.25">
      <c r="A1104" s="11" t="s">
        <v>18</v>
      </c>
      <c r="B1104" s="12">
        <v>43831</v>
      </c>
      <c r="C1104">
        <v>6000</v>
      </c>
      <c r="D1104">
        <v>5</v>
      </c>
      <c r="E1104">
        <v>0.03</v>
      </c>
      <c r="F1104">
        <v>60</v>
      </c>
      <c r="G1104" s="13">
        <v>45626</v>
      </c>
      <c r="H1104">
        <v>1103</v>
      </c>
      <c r="I1104">
        <v>59</v>
      </c>
      <c r="J1104">
        <v>2.5000000000000001E-3</v>
      </c>
      <c r="K1104" s="14">
        <v>5178.127671284682</v>
      </c>
      <c r="L1104" s="14">
        <v>333914.14612083195</v>
      </c>
      <c r="M1104" s="36">
        <f>IF(Output[[#This Row],[Index]]=1,Output[[#This Row],[Droit Utilisation]],P1103)</f>
        <v>11955.149532652682</v>
      </c>
      <c r="N1104" s="15">
        <f>Output[[#This Row],[Capital Debut Period]]*Output[[#This Row],[Tx_interet_M]]</f>
        <v>29.887873831631705</v>
      </c>
      <c r="O1104" s="15">
        <f>Output[[#This Row],[Mensualité initial]]-Output[[#This Row],[Interet]]</f>
        <v>5970.1121261683684</v>
      </c>
      <c r="P1104" s="15">
        <f>Output[[#This Row],[Capital Debut Period]]-Output[[#This Row],[Paiement Principal]]</f>
        <v>5985.0374064843136</v>
      </c>
      <c r="Q1104" s="15">
        <f>Output[[#This Row],[Droit Utilisation]]/Output[[#This Row],[Duree_Mois]]</f>
        <v>5565.2357686805326</v>
      </c>
    </row>
    <row r="1105" spans="1:17" x14ac:dyDescent="0.25">
      <c r="A1105" s="11" t="s">
        <v>18</v>
      </c>
      <c r="B1105" s="12">
        <v>43831</v>
      </c>
      <c r="C1105">
        <v>6000</v>
      </c>
      <c r="D1105">
        <v>5</v>
      </c>
      <c r="E1105">
        <v>0.03</v>
      </c>
      <c r="F1105">
        <v>60</v>
      </c>
      <c r="G1105" s="13">
        <v>45657</v>
      </c>
      <c r="H1105">
        <v>1104</v>
      </c>
      <c r="I1105">
        <v>60</v>
      </c>
      <c r="J1105">
        <v>2.5000000000000001E-3</v>
      </c>
      <c r="K1105" s="14">
        <v>5165.2146346979371</v>
      </c>
      <c r="L1105" s="14">
        <v>333914.14612083195</v>
      </c>
      <c r="M1105" s="36">
        <f>IF(Output[[#This Row],[Index]]=1,Output[[#This Row],[Droit Utilisation]],P1104)</f>
        <v>5985.0374064843136</v>
      </c>
      <c r="N1105" s="15">
        <f>Output[[#This Row],[Capital Debut Period]]*Output[[#This Row],[Tx_interet_M]]</f>
        <v>14.962593516210784</v>
      </c>
      <c r="O1105" s="15">
        <f>Output[[#This Row],[Mensualité initial]]-Output[[#This Row],[Interet]]</f>
        <v>5985.0374064837888</v>
      </c>
      <c r="P1105" s="15">
        <f>Output[[#This Row],[Capital Debut Period]]-Output[[#This Row],[Paiement Principal]]</f>
        <v>5.2477844292297959E-10</v>
      </c>
      <c r="Q1105" s="15">
        <f>Output[[#This Row],[Droit Utilisation]]/Output[[#This Row],[Duree_Mois]]</f>
        <v>5565.2357686805326</v>
      </c>
    </row>
    <row r="1106" spans="1:17" x14ac:dyDescent="0.25">
      <c r="A1106" s="11" t="s">
        <v>19</v>
      </c>
      <c r="B1106" s="12">
        <v>43831</v>
      </c>
      <c r="C1106">
        <v>6000</v>
      </c>
      <c r="D1106">
        <v>5</v>
      </c>
      <c r="E1106">
        <v>0.03</v>
      </c>
      <c r="F1106">
        <v>60</v>
      </c>
      <c r="G1106" s="13">
        <v>43861</v>
      </c>
      <c r="H1106">
        <v>1105</v>
      </c>
      <c r="I1106">
        <v>1</v>
      </c>
      <c r="J1106">
        <v>2.5000000000000001E-3</v>
      </c>
      <c r="K1106" s="14">
        <v>5985.0374064837906</v>
      </c>
      <c r="L1106" s="14">
        <v>333914.14612083195</v>
      </c>
      <c r="M1106" s="36">
        <f>IF(Output[[#This Row],[Index]]=1,Output[[#This Row],[Droit Utilisation]],P1105)</f>
        <v>333914.14612083195</v>
      </c>
      <c r="N1106" s="15">
        <f>Output[[#This Row],[Capital Debut Period]]*Output[[#This Row],[Tx_interet_M]]</f>
        <v>834.78536530207987</v>
      </c>
      <c r="O1106" s="15">
        <f>Output[[#This Row],[Mensualité initial]]-Output[[#This Row],[Interet]]</f>
        <v>5165.2146346979198</v>
      </c>
      <c r="P1106" s="15">
        <f>Output[[#This Row],[Capital Debut Period]]-Output[[#This Row],[Paiement Principal]]</f>
        <v>328748.93148613401</v>
      </c>
      <c r="Q1106" s="15">
        <f>Output[[#This Row],[Droit Utilisation]]/Output[[#This Row],[Duree_Mois]]</f>
        <v>5565.2357686805326</v>
      </c>
    </row>
    <row r="1107" spans="1:17" x14ac:dyDescent="0.25">
      <c r="A1107" s="11" t="s">
        <v>19</v>
      </c>
      <c r="B1107" s="12">
        <v>43831</v>
      </c>
      <c r="C1107">
        <v>6000</v>
      </c>
      <c r="D1107">
        <v>5</v>
      </c>
      <c r="E1107">
        <v>0.03</v>
      </c>
      <c r="F1107">
        <v>60</v>
      </c>
      <c r="G1107" s="13">
        <v>43890</v>
      </c>
      <c r="H1107">
        <v>1106</v>
      </c>
      <c r="I1107">
        <v>2</v>
      </c>
      <c r="J1107">
        <v>2.5000000000000001E-3</v>
      </c>
      <c r="K1107" s="14">
        <v>5970.1121261683702</v>
      </c>
      <c r="L1107" s="14">
        <v>333914.14612083195</v>
      </c>
      <c r="M1107" s="36">
        <f>IF(Output[[#This Row],[Index]]=1,Output[[#This Row],[Droit Utilisation]],P1106)</f>
        <v>328748.93148613401</v>
      </c>
      <c r="N1107" s="15">
        <f>Output[[#This Row],[Capital Debut Period]]*Output[[#This Row],[Tx_interet_M]]</f>
        <v>821.87232871533502</v>
      </c>
      <c r="O1107" s="15">
        <f>Output[[#This Row],[Mensualité initial]]-Output[[#This Row],[Interet]]</f>
        <v>5178.1276712846648</v>
      </c>
      <c r="P1107" s="15">
        <f>Output[[#This Row],[Capital Debut Period]]-Output[[#This Row],[Paiement Principal]]</f>
        <v>323570.80381484935</v>
      </c>
      <c r="Q1107" s="15">
        <f>Output[[#This Row],[Droit Utilisation]]/Output[[#This Row],[Duree_Mois]]</f>
        <v>5565.2357686805326</v>
      </c>
    </row>
    <row r="1108" spans="1:17" x14ac:dyDescent="0.25">
      <c r="A1108" s="11" t="s">
        <v>19</v>
      </c>
      <c r="B1108" s="12">
        <v>43831</v>
      </c>
      <c r="C1108">
        <v>6000</v>
      </c>
      <c r="D1108">
        <v>5</v>
      </c>
      <c r="E1108">
        <v>0.03</v>
      </c>
      <c r="F1108">
        <v>60</v>
      </c>
      <c r="G1108" s="13">
        <v>43921</v>
      </c>
      <c r="H1108">
        <v>1107</v>
      </c>
      <c r="I1108">
        <v>3</v>
      </c>
      <c r="J1108">
        <v>2.5000000000000001E-3</v>
      </c>
      <c r="K1108" s="14">
        <v>5955.2240660033622</v>
      </c>
      <c r="L1108" s="14">
        <v>333914.14612083195</v>
      </c>
      <c r="M1108" s="36">
        <f>IF(Output[[#This Row],[Index]]=1,Output[[#This Row],[Droit Utilisation]],P1107)</f>
        <v>323570.80381484935</v>
      </c>
      <c r="N1108" s="15">
        <f>Output[[#This Row],[Capital Debut Period]]*Output[[#This Row],[Tx_interet_M]]</f>
        <v>808.92700953712335</v>
      </c>
      <c r="O1108" s="15">
        <f>Output[[#This Row],[Mensualité initial]]-Output[[#This Row],[Interet]]</f>
        <v>5191.072990462877</v>
      </c>
      <c r="P1108" s="15">
        <f>Output[[#This Row],[Capital Debut Period]]-Output[[#This Row],[Paiement Principal]]</f>
        <v>318379.73082438647</v>
      </c>
      <c r="Q1108" s="15">
        <f>Output[[#This Row],[Droit Utilisation]]/Output[[#This Row],[Duree_Mois]]</f>
        <v>5565.2357686805326</v>
      </c>
    </row>
    <row r="1109" spans="1:17" x14ac:dyDescent="0.25">
      <c r="A1109" s="11" t="s">
        <v>19</v>
      </c>
      <c r="B1109" s="12">
        <v>43831</v>
      </c>
      <c r="C1109">
        <v>6000</v>
      </c>
      <c r="D1109">
        <v>5</v>
      </c>
      <c r="E1109">
        <v>0.03</v>
      </c>
      <c r="F1109">
        <v>60</v>
      </c>
      <c r="G1109" s="13">
        <v>43951</v>
      </c>
      <c r="H1109">
        <v>1108</v>
      </c>
      <c r="I1109">
        <v>4</v>
      </c>
      <c r="J1109">
        <v>2.5000000000000001E-3</v>
      </c>
      <c r="K1109" s="14">
        <v>5940.3731331704357</v>
      </c>
      <c r="L1109" s="14">
        <v>333914.14612083195</v>
      </c>
      <c r="M1109" s="36">
        <f>IF(Output[[#This Row],[Index]]=1,Output[[#This Row],[Droit Utilisation]],P1108)</f>
        <v>318379.73082438647</v>
      </c>
      <c r="N1109" s="15">
        <f>Output[[#This Row],[Capital Debut Period]]*Output[[#This Row],[Tx_interet_M]]</f>
        <v>795.9493270609662</v>
      </c>
      <c r="O1109" s="15">
        <f>Output[[#This Row],[Mensualité initial]]-Output[[#This Row],[Interet]]</f>
        <v>5204.0506729390336</v>
      </c>
      <c r="P1109" s="15">
        <f>Output[[#This Row],[Capital Debut Period]]-Output[[#This Row],[Paiement Principal]]</f>
        <v>313175.68015144742</v>
      </c>
      <c r="Q1109" s="15">
        <f>Output[[#This Row],[Droit Utilisation]]/Output[[#This Row],[Duree_Mois]]</f>
        <v>5565.2357686805326</v>
      </c>
    </row>
    <row r="1110" spans="1:17" x14ac:dyDescent="0.25">
      <c r="A1110" s="11" t="s">
        <v>19</v>
      </c>
      <c r="B1110" s="12">
        <v>43831</v>
      </c>
      <c r="C1110">
        <v>6000</v>
      </c>
      <c r="D1110">
        <v>5</v>
      </c>
      <c r="E1110">
        <v>0.03</v>
      </c>
      <c r="F1110">
        <v>60</v>
      </c>
      <c r="G1110" s="13">
        <v>43982</v>
      </c>
      <c r="H1110">
        <v>1109</v>
      </c>
      <c r="I1110">
        <v>5</v>
      </c>
      <c r="J1110">
        <v>2.5000000000000001E-3</v>
      </c>
      <c r="K1110" s="14">
        <v>5925.5592350827301</v>
      </c>
      <c r="L1110" s="14">
        <v>333914.14612083195</v>
      </c>
      <c r="M1110" s="36">
        <f>IF(Output[[#This Row],[Index]]=1,Output[[#This Row],[Droit Utilisation]],P1109)</f>
        <v>313175.68015144742</v>
      </c>
      <c r="N1110" s="15">
        <f>Output[[#This Row],[Capital Debut Period]]*Output[[#This Row],[Tx_interet_M]]</f>
        <v>782.93920037861858</v>
      </c>
      <c r="O1110" s="15">
        <f>Output[[#This Row],[Mensualité initial]]-Output[[#This Row],[Interet]]</f>
        <v>5217.0607996213812</v>
      </c>
      <c r="P1110" s="15">
        <f>Output[[#This Row],[Capital Debut Period]]-Output[[#This Row],[Paiement Principal]]</f>
        <v>307958.61935182603</v>
      </c>
      <c r="Q1110" s="15">
        <f>Output[[#This Row],[Droit Utilisation]]/Output[[#This Row],[Duree_Mois]]</f>
        <v>5565.2357686805326</v>
      </c>
    </row>
    <row r="1111" spans="1:17" x14ac:dyDescent="0.25">
      <c r="A1111" s="11" t="s">
        <v>19</v>
      </c>
      <c r="B1111" s="12">
        <v>43831</v>
      </c>
      <c r="C1111">
        <v>6000</v>
      </c>
      <c r="D1111">
        <v>5</v>
      </c>
      <c r="E1111">
        <v>0.03</v>
      </c>
      <c r="F1111">
        <v>60</v>
      </c>
      <c r="G1111" s="13">
        <v>44012</v>
      </c>
      <c r="H1111">
        <v>1110</v>
      </c>
      <c r="I1111">
        <v>6</v>
      </c>
      <c r="J1111">
        <v>2.5000000000000001E-3</v>
      </c>
      <c r="K1111" s="14">
        <v>5910.7822793842697</v>
      </c>
      <c r="L1111" s="14">
        <v>333914.14612083195</v>
      </c>
      <c r="M1111" s="36">
        <f>IF(Output[[#This Row],[Index]]=1,Output[[#This Row],[Droit Utilisation]],P1110)</f>
        <v>307958.61935182603</v>
      </c>
      <c r="N1111" s="15">
        <f>Output[[#This Row],[Capital Debut Period]]*Output[[#This Row],[Tx_interet_M]]</f>
        <v>769.89654837956505</v>
      </c>
      <c r="O1111" s="15">
        <f>Output[[#This Row],[Mensualité initial]]-Output[[#This Row],[Interet]]</f>
        <v>5230.1034516204345</v>
      </c>
      <c r="P1111" s="15">
        <f>Output[[#This Row],[Capital Debut Period]]-Output[[#This Row],[Paiement Principal]]</f>
        <v>302728.51590020559</v>
      </c>
      <c r="Q1111" s="15">
        <f>Output[[#This Row],[Droit Utilisation]]/Output[[#This Row],[Duree_Mois]]</f>
        <v>5565.2357686805326</v>
      </c>
    </row>
    <row r="1112" spans="1:17" x14ac:dyDescent="0.25">
      <c r="A1112" s="11" t="s">
        <v>19</v>
      </c>
      <c r="B1112" s="12">
        <v>43831</v>
      </c>
      <c r="C1112">
        <v>6000</v>
      </c>
      <c r="D1112">
        <v>5</v>
      </c>
      <c r="E1112">
        <v>0.03</v>
      </c>
      <c r="F1112">
        <v>60</v>
      </c>
      <c r="G1112" s="13">
        <v>44043</v>
      </c>
      <c r="H1112">
        <v>1111</v>
      </c>
      <c r="I1112">
        <v>7</v>
      </c>
      <c r="J1112">
        <v>2.5000000000000001E-3</v>
      </c>
      <c r="K1112" s="14">
        <v>5896.0421739493959</v>
      </c>
      <c r="L1112" s="14">
        <v>333914.14612083195</v>
      </c>
      <c r="M1112" s="36">
        <f>IF(Output[[#This Row],[Index]]=1,Output[[#This Row],[Droit Utilisation]],P1111)</f>
        <v>302728.51590020559</v>
      </c>
      <c r="N1112" s="15">
        <f>Output[[#This Row],[Capital Debut Period]]*Output[[#This Row],[Tx_interet_M]]</f>
        <v>756.82128975051398</v>
      </c>
      <c r="O1112" s="15">
        <f>Output[[#This Row],[Mensualité initial]]-Output[[#This Row],[Interet]]</f>
        <v>5243.1787102494864</v>
      </c>
      <c r="P1112" s="15">
        <f>Output[[#This Row],[Capital Debut Period]]-Output[[#This Row],[Paiement Principal]]</f>
        <v>297485.3371899561</v>
      </c>
      <c r="Q1112" s="15">
        <f>Output[[#This Row],[Droit Utilisation]]/Output[[#This Row],[Duree_Mois]]</f>
        <v>5565.2357686805326</v>
      </c>
    </row>
    <row r="1113" spans="1:17" x14ac:dyDescent="0.25">
      <c r="A1113" s="11" t="s">
        <v>19</v>
      </c>
      <c r="B1113" s="12">
        <v>43831</v>
      </c>
      <c r="C1113">
        <v>6000</v>
      </c>
      <c r="D1113">
        <v>5</v>
      </c>
      <c r="E1113">
        <v>0.03</v>
      </c>
      <c r="F1113">
        <v>60</v>
      </c>
      <c r="G1113" s="13">
        <v>44074</v>
      </c>
      <c r="H1113">
        <v>1112</v>
      </c>
      <c r="I1113">
        <v>8</v>
      </c>
      <c r="J1113">
        <v>2.5000000000000001E-3</v>
      </c>
      <c r="K1113" s="14">
        <v>5881.3388268821909</v>
      </c>
      <c r="L1113" s="14">
        <v>333914.14612083195</v>
      </c>
      <c r="M1113" s="36">
        <f>IF(Output[[#This Row],[Index]]=1,Output[[#This Row],[Droit Utilisation]],P1112)</f>
        <v>297485.3371899561</v>
      </c>
      <c r="N1113" s="15">
        <f>Output[[#This Row],[Capital Debut Period]]*Output[[#This Row],[Tx_interet_M]]</f>
        <v>743.71334297489022</v>
      </c>
      <c r="O1113" s="15">
        <f>Output[[#This Row],[Mensualité initial]]-Output[[#This Row],[Interet]]</f>
        <v>5256.2866570251099</v>
      </c>
      <c r="P1113" s="15">
        <f>Output[[#This Row],[Capital Debut Period]]-Output[[#This Row],[Paiement Principal]]</f>
        <v>292229.050532931</v>
      </c>
      <c r="Q1113" s="15">
        <f>Output[[#This Row],[Droit Utilisation]]/Output[[#This Row],[Duree_Mois]]</f>
        <v>5565.2357686805326</v>
      </c>
    </row>
    <row r="1114" spans="1:17" x14ac:dyDescent="0.25">
      <c r="A1114" s="11" t="s">
        <v>19</v>
      </c>
      <c r="B1114" s="12">
        <v>43831</v>
      </c>
      <c r="C1114">
        <v>6000</v>
      </c>
      <c r="D1114">
        <v>5</v>
      </c>
      <c r="E1114">
        <v>0.03</v>
      </c>
      <c r="F1114">
        <v>60</v>
      </c>
      <c r="G1114" s="13">
        <v>44104</v>
      </c>
      <c r="H1114">
        <v>1113</v>
      </c>
      <c r="I1114">
        <v>9</v>
      </c>
      <c r="J1114">
        <v>2.5000000000000001E-3</v>
      </c>
      <c r="K1114" s="14">
        <v>5866.6721465159017</v>
      </c>
      <c r="L1114" s="14">
        <v>333914.14612083195</v>
      </c>
      <c r="M1114" s="36">
        <f>IF(Output[[#This Row],[Index]]=1,Output[[#This Row],[Droit Utilisation]],P1113)</f>
        <v>292229.050532931</v>
      </c>
      <c r="N1114" s="15">
        <f>Output[[#This Row],[Capital Debut Period]]*Output[[#This Row],[Tx_interet_M]]</f>
        <v>730.57262633232756</v>
      </c>
      <c r="O1114" s="15">
        <f>Output[[#This Row],[Mensualité initial]]-Output[[#This Row],[Interet]]</f>
        <v>5269.4273736676723</v>
      </c>
      <c r="P1114" s="15">
        <f>Output[[#This Row],[Capital Debut Period]]-Output[[#This Row],[Paiement Principal]]</f>
        <v>286959.62315926334</v>
      </c>
      <c r="Q1114" s="15">
        <f>Output[[#This Row],[Droit Utilisation]]/Output[[#This Row],[Duree_Mois]]</f>
        <v>5565.2357686805326</v>
      </c>
    </row>
    <row r="1115" spans="1:17" x14ac:dyDescent="0.25">
      <c r="A1115" s="11" t="s">
        <v>19</v>
      </c>
      <c r="B1115" s="12">
        <v>43831</v>
      </c>
      <c r="C1115">
        <v>6000</v>
      </c>
      <c r="D1115">
        <v>5</v>
      </c>
      <c r="E1115">
        <v>0.03</v>
      </c>
      <c r="F1115">
        <v>60</v>
      </c>
      <c r="G1115" s="13">
        <v>44135</v>
      </c>
      <c r="H1115">
        <v>1114</v>
      </c>
      <c r="I1115">
        <v>10</v>
      </c>
      <c r="J1115">
        <v>2.5000000000000001E-3</v>
      </c>
      <c r="K1115" s="14">
        <v>5852.042041412371</v>
      </c>
      <c r="L1115" s="14">
        <v>333914.14612083195</v>
      </c>
      <c r="M1115" s="36">
        <f>IF(Output[[#This Row],[Index]]=1,Output[[#This Row],[Droit Utilisation]],P1114)</f>
        <v>286959.62315926334</v>
      </c>
      <c r="N1115" s="15">
        <f>Output[[#This Row],[Capital Debut Period]]*Output[[#This Row],[Tx_interet_M]]</f>
        <v>717.39905789815839</v>
      </c>
      <c r="O1115" s="15">
        <f>Output[[#This Row],[Mensualité initial]]-Output[[#This Row],[Interet]]</f>
        <v>5282.6009421018416</v>
      </c>
      <c r="P1115" s="15">
        <f>Output[[#This Row],[Capital Debut Period]]-Output[[#This Row],[Paiement Principal]]</f>
        <v>281677.02221716149</v>
      </c>
      <c r="Q1115" s="15">
        <f>Output[[#This Row],[Droit Utilisation]]/Output[[#This Row],[Duree_Mois]]</f>
        <v>5565.2357686805326</v>
      </c>
    </row>
    <row r="1116" spans="1:17" x14ac:dyDescent="0.25">
      <c r="A1116" s="11" t="s">
        <v>19</v>
      </c>
      <c r="B1116" s="12">
        <v>43831</v>
      </c>
      <c r="C1116">
        <v>6000</v>
      </c>
      <c r="D1116">
        <v>5</v>
      </c>
      <c r="E1116">
        <v>0.03</v>
      </c>
      <c r="F1116">
        <v>60</v>
      </c>
      <c r="G1116" s="13">
        <v>44165</v>
      </c>
      <c r="H1116">
        <v>1115</v>
      </c>
      <c r="I1116">
        <v>11</v>
      </c>
      <c r="J1116">
        <v>2.5000000000000001E-3</v>
      </c>
      <c r="K1116" s="14">
        <v>5837.4484203614675</v>
      </c>
      <c r="L1116" s="14">
        <v>333914.14612083195</v>
      </c>
      <c r="M1116" s="36">
        <f>IF(Output[[#This Row],[Index]]=1,Output[[#This Row],[Droit Utilisation]],P1115)</f>
        <v>281677.02221716149</v>
      </c>
      <c r="N1116" s="15">
        <f>Output[[#This Row],[Capital Debut Period]]*Output[[#This Row],[Tx_interet_M]]</f>
        <v>704.19255554290373</v>
      </c>
      <c r="O1116" s="15">
        <f>Output[[#This Row],[Mensualité initial]]-Output[[#This Row],[Interet]]</f>
        <v>5295.8074444570966</v>
      </c>
      <c r="P1116" s="15">
        <f>Output[[#This Row],[Capital Debut Period]]-Output[[#This Row],[Paiement Principal]]</f>
        <v>276381.21477270441</v>
      </c>
      <c r="Q1116" s="15">
        <f>Output[[#This Row],[Droit Utilisation]]/Output[[#This Row],[Duree_Mois]]</f>
        <v>5565.2357686805326</v>
      </c>
    </row>
    <row r="1117" spans="1:17" x14ac:dyDescent="0.25">
      <c r="A1117" s="11" t="s">
        <v>19</v>
      </c>
      <c r="B1117" s="12">
        <v>43831</v>
      </c>
      <c r="C1117">
        <v>6000</v>
      </c>
      <c r="D1117">
        <v>5</v>
      </c>
      <c r="E1117">
        <v>0.03</v>
      </c>
      <c r="F1117">
        <v>60</v>
      </c>
      <c r="G1117" s="13">
        <v>44196</v>
      </c>
      <c r="H1117">
        <v>1116</v>
      </c>
      <c r="I1117">
        <v>12</v>
      </c>
      <c r="J1117">
        <v>2.5000000000000001E-3</v>
      </c>
      <c r="K1117" s="14">
        <v>5822.8911923805163</v>
      </c>
      <c r="L1117" s="14">
        <v>333914.14612083195</v>
      </c>
      <c r="M1117" s="36">
        <f>IF(Output[[#This Row],[Index]]=1,Output[[#This Row],[Droit Utilisation]],P1116)</f>
        <v>276381.21477270441</v>
      </c>
      <c r="N1117" s="15">
        <f>Output[[#This Row],[Capital Debut Period]]*Output[[#This Row],[Tx_interet_M]]</f>
        <v>690.95303693176106</v>
      </c>
      <c r="O1117" s="15">
        <f>Output[[#This Row],[Mensualité initial]]-Output[[#This Row],[Interet]]</f>
        <v>5309.0469630682392</v>
      </c>
      <c r="P1117" s="15">
        <f>Output[[#This Row],[Capital Debut Period]]-Output[[#This Row],[Paiement Principal]]</f>
        <v>271072.16780963616</v>
      </c>
      <c r="Q1117" s="15">
        <f>Output[[#This Row],[Droit Utilisation]]/Output[[#This Row],[Duree_Mois]]</f>
        <v>5565.2357686805326</v>
      </c>
    </row>
    <row r="1118" spans="1:17" x14ac:dyDescent="0.25">
      <c r="A1118" s="11" t="s">
        <v>19</v>
      </c>
      <c r="B1118" s="12">
        <v>43831</v>
      </c>
      <c r="C1118">
        <v>6000</v>
      </c>
      <c r="D1118">
        <v>5</v>
      </c>
      <c r="E1118">
        <v>0.03</v>
      </c>
      <c r="F1118">
        <v>60</v>
      </c>
      <c r="G1118" s="13">
        <v>44227</v>
      </c>
      <c r="H1118">
        <v>1117</v>
      </c>
      <c r="I1118">
        <v>13</v>
      </c>
      <c r="J1118">
        <v>2.5000000000000001E-3</v>
      </c>
      <c r="K1118" s="14">
        <v>5808.3702667137322</v>
      </c>
      <c r="L1118" s="14">
        <v>333914.14612083195</v>
      </c>
      <c r="M1118" s="36">
        <f>IF(Output[[#This Row],[Index]]=1,Output[[#This Row],[Droit Utilisation]],P1117)</f>
        <v>271072.16780963616</v>
      </c>
      <c r="N1118" s="15">
        <f>Output[[#This Row],[Capital Debut Period]]*Output[[#This Row],[Tx_interet_M]]</f>
        <v>677.68041952409044</v>
      </c>
      <c r="O1118" s="15">
        <f>Output[[#This Row],[Mensualité initial]]-Output[[#This Row],[Interet]]</f>
        <v>5322.3195804759098</v>
      </c>
      <c r="P1118" s="15">
        <f>Output[[#This Row],[Capital Debut Period]]-Output[[#This Row],[Paiement Principal]]</f>
        <v>265749.84822916024</v>
      </c>
      <c r="Q1118" s="15">
        <f>Output[[#This Row],[Droit Utilisation]]/Output[[#This Row],[Duree_Mois]]</f>
        <v>5565.2357686805326</v>
      </c>
    </row>
    <row r="1119" spans="1:17" x14ac:dyDescent="0.25">
      <c r="A1119" s="11" t="s">
        <v>19</v>
      </c>
      <c r="B1119" s="12">
        <v>43831</v>
      </c>
      <c r="C1119">
        <v>6000</v>
      </c>
      <c r="D1119">
        <v>5</v>
      </c>
      <c r="E1119">
        <v>0.03</v>
      </c>
      <c r="F1119">
        <v>60</v>
      </c>
      <c r="G1119" s="13">
        <v>44255</v>
      </c>
      <c r="H1119">
        <v>1118</v>
      </c>
      <c r="I1119">
        <v>14</v>
      </c>
      <c r="J1119">
        <v>2.5000000000000001E-3</v>
      </c>
      <c r="K1119" s="14">
        <v>5793.8855528316535</v>
      </c>
      <c r="L1119" s="14">
        <v>333914.14612083195</v>
      </c>
      <c r="M1119" s="36">
        <f>IF(Output[[#This Row],[Index]]=1,Output[[#This Row],[Droit Utilisation]],P1118)</f>
        <v>265749.84822916024</v>
      </c>
      <c r="N1119" s="15">
        <f>Output[[#This Row],[Capital Debut Period]]*Output[[#This Row],[Tx_interet_M]]</f>
        <v>664.37462057290065</v>
      </c>
      <c r="O1119" s="15">
        <f>Output[[#This Row],[Mensualité initial]]-Output[[#This Row],[Interet]]</f>
        <v>5335.6253794270997</v>
      </c>
      <c r="P1119" s="15">
        <f>Output[[#This Row],[Capital Debut Period]]-Output[[#This Row],[Paiement Principal]]</f>
        <v>260414.22284973314</v>
      </c>
      <c r="Q1119" s="15">
        <f>Output[[#This Row],[Droit Utilisation]]/Output[[#This Row],[Duree_Mois]]</f>
        <v>5565.2357686805326</v>
      </c>
    </row>
    <row r="1120" spans="1:17" x14ac:dyDescent="0.25">
      <c r="A1120" s="11" t="s">
        <v>19</v>
      </c>
      <c r="B1120" s="12">
        <v>43831</v>
      </c>
      <c r="C1120">
        <v>6000</v>
      </c>
      <c r="D1120">
        <v>5</v>
      </c>
      <c r="E1120">
        <v>0.03</v>
      </c>
      <c r="F1120">
        <v>60</v>
      </c>
      <c r="G1120" s="13">
        <v>44286</v>
      </c>
      <c r="H1120">
        <v>1119</v>
      </c>
      <c r="I1120">
        <v>15</v>
      </c>
      <c r="J1120">
        <v>2.5000000000000001E-3</v>
      </c>
      <c r="K1120" s="14">
        <v>5779.4369604305775</v>
      </c>
      <c r="L1120" s="14">
        <v>333914.14612083195</v>
      </c>
      <c r="M1120" s="36">
        <f>IF(Output[[#This Row],[Index]]=1,Output[[#This Row],[Droit Utilisation]],P1119)</f>
        <v>260414.22284973314</v>
      </c>
      <c r="N1120" s="15">
        <f>Output[[#This Row],[Capital Debut Period]]*Output[[#This Row],[Tx_interet_M]]</f>
        <v>651.03555712433285</v>
      </c>
      <c r="O1120" s="15">
        <f>Output[[#This Row],[Mensualité initial]]-Output[[#This Row],[Interet]]</f>
        <v>5348.9644428756674</v>
      </c>
      <c r="P1120" s="15">
        <f>Output[[#This Row],[Capital Debut Period]]-Output[[#This Row],[Paiement Principal]]</f>
        <v>255065.25840685747</v>
      </c>
      <c r="Q1120" s="15">
        <f>Output[[#This Row],[Droit Utilisation]]/Output[[#This Row],[Duree_Mois]]</f>
        <v>5565.2357686805326</v>
      </c>
    </row>
    <row r="1121" spans="1:17" x14ac:dyDescent="0.25">
      <c r="A1121" s="11" t="s">
        <v>19</v>
      </c>
      <c r="B1121" s="12">
        <v>43831</v>
      </c>
      <c r="C1121">
        <v>6000</v>
      </c>
      <c r="D1121">
        <v>5</v>
      </c>
      <c r="E1121">
        <v>0.03</v>
      </c>
      <c r="F1121">
        <v>60</v>
      </c>
      <c r="G1121" s="13">
        <v>44316</v>
      </c>
      <c r="H1121">
        <v>1120</v>
      </c>
      <c r="I1121">
        <v>16</v>
      </c>
      <c r="J1121">
        <v>2.5000000000000001E-3</v>
      </c>
      <c r="K1121" s="14">
        <v>5765.0243994319981</v>
      </c>
      <c r="L1121" s="14">
        <v>333914.14612083195</v>
      </c>
      <c r="M1121" s="36">
        <f>IF(Output[[#This Row],[Index]]=1,Output[[#This Row],[Droit Utilisation]],P1120)</f>
        <v>255065.25840685747</v>
      </c>
      <c r="N1121" s="15">
        <f>Output[[#This Row],[Capital Debut Period]]*Output[[#This Row],[Tx_interet_M]]</f>
        <v>637.66314601714373</v>
      </c>
      <c r="O1121" s="15">
        <f>Output[[#This Row],[Mensualité initial]]-Output[[#This Row],[Interet]]</f>
        <v>5362.3368539828562</v>
      </c>
      <c r="P1121" s="15">
        <f>Output[[#This Row],[Capital Debut Period]]-Output[[#This Row],[Paiement Principal]]</f>
        <v>249702.92155287461</v>
      </c>
      <c r="Q1121" s="15">
        <f>Output[[#This Row],[Droit Utilisation]]/Output[[#This Row],[Duree_Mois]]</f>
        <v>5565.2357686805326</v>
      </c>
    </row>
    <row r="1122" spans="1:17" x14ac:dyDescent="0.25">
      <c r="A1122" s="11" t="s">
        <v>19</v>
      </c>
      <c r="B1122" s="12">
        <v>43831</v>
      </c>
      <c r="C1122">
        <v>6000</v>
      </c>
      <c r="D1122">
        <v>5</v>
      </c>
      <c r="E1122">
        <v>0.03</v>
      </c>
      <c r="F1122">
        <v>60</v>
      </c>
      <c r="G1122" s="13">
        <v>44347</v>
      </c>
      <c r="H1122">
        <v>1121</v>
      </c>
      <c r="I1122">
        <v>17</v>
      </c>
      <c r="J1122">
        <v>2.5000000000000001E-3</v>
      </c>
      <c r="K1122" s="14">
        <v>5750.6477799820432</v>
      </c>
      <c r="L1122" s="14">
        <v>333914.14612083195</v>
      </c>
      <c r="M1122" s="36">
        <f>IF(Output[[#This Row],[Index]]=1,Output[[#This Row],[Droit Utilisation]],P1121)</f>
        <v>249702.92155287461</v>
      </c>
      <c r="N1122" s="15">
        <f>Output[[#This Row],[Capital Debut Period]]*Output[[#This Row],[Tx_interet_M]]</f>
        <v>624.25730388218653</v>
      </c>
      <c r="O1122" s="15">
        <f>Output[[#This Row],[Mensualité initial]]-Output[[#This Row],[Interet]]</f>
        <v>5375.7426961178135</v>
      </c>
      <c r="P1122" s="15">
        <f>Output[[#This Row],[Capital Debut Period]]-Output[[#This Row],[Paiement Principal]]</f>
        <v>244327.1788567568</v>
      </c>
      <c r="Q1122" s="15">
        <f>Output[[#This Row],[Droit Utilisation]]/Output[[#This Row],[Duree_Mois]]</f>
        <v>5565.2357686805326</v>
      </c>
    </row>
    <row r="1123" spans="1:17" x14ac:dyDescent="0.25">
      <c r="A1123" s="11" t="s">
        <v>19</v>
      </c>
      <c r="B1123" s="12">
        <v>43831</v>
      </c>
      <c r="C1123">
        <v>6000</v>
      </c>
      <c r="D1123">
        <v>5</v>
      </c>
      <c r="E1123">
        <v>0.03</v>
      </c>
      <c r="F1123">
        <v>60</v>
      </c>
      <c r="G1123" s="13">
        <v>44377</v>
      </c>
      <c r="H1123">
        <v>1122</v>
      </c>
      <c r="I1123">
        <v>18</v>
      </c>
      <c r="J1123">
        <v>2.5000000000000001E-3</v>
      </c>
      <c r="K1123" s="14">
        <v>5736.3070124509168</v>
      </c>
      <c r="L1123" s="14">
        <v>333914.14612083195</v>
      </c>
      <c r="M1123" s="36">
        <f>IF(Output[[#This Row],[Index]]=1,Output[[#This Row],[Droit Utilisation]],P1122)</f>
        <v>244327.1788567568</v>
      </c>
      <c r="N1123" s="15">
        <f>Output[[#This Row],[Capital Debut Period]]*Output[[#This Row],[Tx_interet_M]]</f>
        <v>610.81794714189198</v>
      </c>
      <c r="O1123" s="15">
        <f>Output[[#This Row],[Mensualité initial]]-Output[[#This Row],[Interet]]</f>
        <v>5389.1820528581084</v>
      </c>
      <c r="P1123" s="15">
        <f>Output[[#This Row],[Capital Debut Period]]-Output[[#This Row],[Paiement Principal]]</f>
        <v>238937.99680389868</v>
      </c>
      <c r="Q1123" s="15">
        <f>Output[[#This Row],[Droit Utilisation]]/Output[[#This Row],[Duree_Mois]]</f>
        <v>5565.2357686805326</v>
      </c>
    </row>
    <row r="1124" spans="1:17" x14ac:dyDescent="0.25">
      <c r="A1124" s="11" t="s">
        <v>19</v>
      </c>
      <c r="B1124" s="12">
        <v>43831</v>
      </c>
      <c r="C1124">
        <v>6000</v>
      </c>
      <c r="D1124">
        <v>5</v>
      </c>
      <c r="E1124">
        <v>0.03</v>
      </c>
      <c r="F1124">
        <v>60</v>
      </c>
      <c r="G1124" s="13">
        <v>44408</v>
      </c>
      <c r="H1124">
        <v>1123</v>
      </c>
      <c r="I1124">
        <v>19</v>
      </c>
      <c r="J1124">
        <v>2.5000000000000001E-3</v>
      </c>
      <c r="K1124" s="14">
        <v>5722.0020074323356</v>
      </c>
      <c r="L1124" s="14">
        <v>333914.14612083195</v>
      </c>
      <c r="M1124" s="36">
        <f>IF(Output[[#This Row],[Index]]=1,Output[[#This Row],[Droit Utilisation]],P1123)</f>
        <v>238937.99680389868</v>
      </c>
      <c r="N1124" s="15">
        <f>Output[[#This Row],[Capital Debut Period]]*Output[[#This Row],[Tx_interet_M]]</f>
        <v>597.34499200974676</v>
      </c>
      <c r="O1124" s="15">
        <f>Output[[#This Row],[Mensualité initial]]-Output[[#This Row],[Interet]]</f>
        <v>5402.6550079902536</v>
      </c>
      <c r="P1124" s="15">
        <f>Output[[#This Row],[Capital Debut Period]]-Output[[#This Row],[Paiement Principal]]</f>
        <v>233535.34179590843</v>
      </c>
      <c r="Q1124" s="15">
        <f>Output[[#This Row],[Droit Utilisation]]/Output[[#This Row],[Duree_Mois]]</f>
        <v>5565.2357686805326</v>
      </c>
    </row>
    <row r="1125" spans="1:17" x14ac:dyDescent="0.25">
      <c r="A1125" s="11" t="s">
        <v>19</v>
      </c>
      <c r="B1125" s="12">
        <v>43831</v>
      </c>
      <c r="C1125">
        <v>6000</v>
      </c>
      <c r="D1125">
        <v>5</v>
      </c>
      <c r="E1125">
        <v>0.03</v>
      </c>
      <c r="F1125">
        <v>60</v>
      </c>
      <c r="G1125" s="13">
        <v>44439</v>
      </c>
      <c r="H1125">
        <v>1124</v>
      </c>
      <c r="I1125">
        <v>20</v>
      </c>
      <c r="J1125">
        <v>2.5000000000000001E-3</v>
      </c>
      <c r="K1125" s="14">
        <v>5707.7326757429792</v>
      </c>
      <c r="L1125" s="14">
        <v>333914.14612083195</v>
      </c>
      <c r="M1125" s="36">
        <f>IF(Output[[#This Row],[Index]]=1,Output[[#This Row],[Droit Utilisation]],P1124)</f>
        <v>233535.34179590843</v>
      </c>
      <c r="N1125" s="15">
        <f>Output[[#This Row],[Capital Debut Period]]*Output[[#This Row],[Tx_interet_M]]</f>
        <v>583.83835448977106</v>
      </c>
      <c r="O1125" s="15">
        <f>Output[[#This Row],[Mensualité initial]]-Output[[#This Row],[Interet]]</f>
        <v>5416.1616455102285</v>
      </c>
      <c r="P1125" s="15">
        <f>Output[[#This Row],[Capital Debut Period]]-Output[[#This Row],[Paiement Principal]]</f>
        <v>228119.1801503982</v>
      </c>
      <c r="Q1125" s="15">
        <f>Output[[#This Row],[Droit Utilisation]]/Output[[#This Row],[Duree_Mois]]</f>
        <v>5565.2357686805326</v>
      </c>
    </row>
    <row r="1126" spans="1:17" x14ac:dyDescent="0.25">
      <c r="A1126" s="11" t="s">
        <v>19</v>
      </c>
      <c r="B1126" s="12">
        <v>43831</v>
      </c>
      <c r="C1126">
        <v>6000</v>
      </c>
      <c r="D1126">
        <v>5</v>
      </c>
      <c r="E1126">
        <v>0.03</v>
      </c>
      <c r="F1126">
        <v>60</v>
      </c>
      <c r="G1126" s="13">
        <v>44469</v>
      </c>
      <c r="H1126">
        <v>1125</v>
      </c>
      <c r="I1126">
        <v>21</v>
      </c>
      <c r="J1126">
        <v>2.5000000000000001E-3</v>
      </c>
      <c r="K1126" s="14">
        <v>5693.4989284219246</v>
      </c>
      <c r="L1126" s="14">
        <v>333914.14612083195</v>
      </c>
      <c r="M1126" s="36">
        <f>IF(Output[[#This Row],[Index]]=1,Output[[#This Row],[Droit Utilisation]],P1125)</f>
        <v>228119.1801503982</v>
      </c>
      <c r="N1126" s="15">
        <f>Output[[#This Row],[Capital Debut Period]]*Output[[#This Row],[Tx_interet_M]]</f>
        <v>570.29795037599547</v>
      </c>
      <c r="O1126" s="15">
        <f>Output[[#This Row],[Mensualité initial]]-Output[[#This Row],[Interet]]</f>
        <v>5429.7020496240048</v>
      </c>
      <c r="P1126" s="15">
        <f>Output[[#This Row],[Capital Debut Period]]-Output[[#This Row],[Paiement Principal]]</f>
        <v>222689.4781007742</v>
      </c>
      <c r="Q1126" s="15">
        <f>Output[[#This Row],[Droit Utilisation]]/Output[[#This Row],[Duree_Mois]]</f>
        <v>5565.2357686805326</v>
      </c>
    </row>
    <row r="1127" spans="1:17" x14ac:dyDescent="0.25">
      <c r="A1127" s="11" t="s">
        <v>19</v>
      </c>
      <c r="B1127" s="12">
        <v>43831</v>
      </c>
      <c r="C1127">
        <v>6000</v>
      </c>
      <c r="D1127">
        <v>5</v>
      </c>
      <c r="E1127">
        <v>0.03</v>
      </c>
      <c r="F1127">
        <v>60</v>
      </c>
      <c r="G1127" s="13">
        <v>44500</v>
      </c>
      <c r="H1127">
        <v>1126</v>
      </c>
      <c r="I1127">
        <v>22</v>
      </c>
      <c r="J1127">
        <v>2.5000000000000001E-3</v>
      </c>
      <c r="K1127" s="14">
        <v>5679.3006767300994</v>
      </c>
      <c r="L1127" s="14">
        <v>333914.14612083195</v>
      </c>
      <c r="M1127" s="36">
        <f>IF(Output[[#This Row],[Index]]=1,Output[[#This Row],[Droit Utilisation]],P1126)</f>
        <v>222689.4781007742</v>
      </c>
      <c r="N1127" s="15">
        <f>Output[[#This Row],[Capital Debut Period]]*Output[[#This Row],[Tx_interet_M]]</f>
        <v>556.72369525193551</v>
      </c>
      <c r="O1127" s="15">
        <f>Output[[#This Row],[Mensualité initial]]-Output[[#This Row],[Interet]]</f>
        <v>5443.2763047480648</v>
      </c>
      <c r="P1127" s="15">
        <f>Output[[#This Row],[Capital Debut Period]]-Output[[#This Row],[Paiement Principal]]</f>
        <v>217246.20179602614</v>
      </c>
      <c r="Q1127" s="15">
        <f>Output[[#This Row],[Droit Utilisation]]/Output[[#This Row],[Duree_Mois]]</f>
        <v>5565.2357686805326</v>
      </c>
    </row>
    <row r="1128" spans="1:17" x14ac:dyDescent="0.25">
      <c r="A1128" s="11" t="s">
        <v>19</v>
      </c>
      <c r="B1128" s="12">
        <v>43831</v>
      </c>
      <c r="C1128">
        <v>6000</v>
      </c>
      <c r="D1128">
        <v>5</v>
      </c>
      <c r="E1128">
        <v>0.03</v>
      </c>
      <c r="F1128">
        <v>60</v>
      </c>
      <c r="G1128" s="13">
        <v>44530</v>
      </c>
      <c r="H1128">
        <v>1127</v>
      </c>
      <c r="I1128">
        <v>23</v>
      </c>
      <c r="J1128">
        <v>2.5000000000000001E-3</v>
      </c>
      <c r="K1128" s="14">
        <v>5665.137832149725</v>
      </c>
      <c r="L1128" s="14">
        <v>333914.14612083195</v>
      </c>
      <c r="M1128" s="36">
        <f>IF(Output[[#This Row],[Index]]=1,Output[[#This Row],[Droit Utilisation]],P1127)</f>
        <v>217246.20179602614</v>
      </c>
      <c r="N1128" s="15">
        <f>Output[[#This Row],[Capital Debut Period]]*Output[[#This Row],[Tx_interet_M]]</f>
        <v>543.1155044900654</v>
      </c>
      <c r="O1128" s="15">
        <f>Output[[#This Row],[Mensualité initial]]-Output[[#This Row],[Interet]]</f>
        <v>5456.8844955099348</v>
      </c>
      <c r="P1128" s="15">
        <f>Output[[#This Row],[Capital Debut Period]]-Output[[#This Row],[Paiement Principal]]</f>
        <v>211789.31730051621</v>
      </c>
      <c r="Q1128" s="15">
        <f>Output[[#This Row],[Droit Utilisation]]/Output[[#This Row],[Duree_Mois]]</f>
        <v>5565.2357686805326</v>
      </c>
    </row>
    <row r="1129" spans="1:17" x14ac:dyDescent="0.25">
      <c r="A1129" s="11" t="s">
        <v>19</v>
      </c>
      <c r="B1129" s="12">
        <v>43831</v>
      </c>
      <c r="C1129">
        <v>6000</v>
      </c>
      <c r="D1129">
        <v>5</v>
      </c>
      <c r="E1129">
        <v>0.03</v>
      </c>
      <c r="F1129">
        <v>60</v>
      </c>
      <c r="G1129" s="13">
        <v>44561</v>
      </c>
      <c r="H1129">
        <v>1128</v>
      </c>
      <c r="I1129">
        <v>24</v>
      </c>
      <c r="J1129">
        <v>2.5000000000000001E-3</v>
      </c>
      <c r="K1129" s="14">
        <v>5651.010306383766</v>
      </c>
      <c r="L1129" s="14">
        <v>333914.14612083195</v>
      </c>
      <c r="M1129" s="36">
        <f>IF(Output[[#This Row],[Index]]=1,Output[[#This Row],[Droit Utilisation]],P1128)</f>
        <v>211789.31730051621</v>
      </c>
      <c r="N1129" s="15">
        <f>Output[[#This Row],[Capital Debut Period]]*Output[[#This Row],[Tx_interet_M]]</f>
        <v>529.47329325129056</v>
      </c>
      <c r="O1129" s="15">
        <f>Output[[#This Row],[Mensualité initial]]-Output[[#This Row],[Interet]]</f>
        <v>5470.5267067487093</v>
      </c>
      <c r="P1129" s="15">
        <f>Output[[#This Row],[Capital Debut Period]]-Output[[#This Row],[Paiement Principal]]</f>
        <v>206318.79059376751</v>
      </c>
      <c r="Q1129" s="15">
        <f>Output[[#This Row],[Droit Utilisation]]/Output[[#This Row],[Duree_Mois]]</f>
        <v>5565.2357686805326</v>
      </c>
    </row>
    <row r="1130" spans="1:17" x14ac:dyDescent="0.25">
      <c r="A1130" s="11" t="s">
        <v>19</v>
      </c>
      <c r="B1130" s="12">
        <v>43831</v>
      </c>
      <c r="C1130">
        <v>6000</v>
      </c>
      <c r="D1130">
        <v>5</v>
      </c>
      <c r="E1130">
        <v>0.03</v>
      </c>
      <c r="F1130">
        <v>60</v>
      </c>
      <c r="G1130" s="13">
        <v>44592</v>
      </c>
      <c r="H1130">
        <v>1129</v>
      </c>
      <c r="I1130">
        <v>25</v>
      </c>
      <c r="J1130">
        <v>2.5000000000000001E-3</v>
      </c>
      <c r="K1130" s="14">
        <v>5636.9180113553775</v>
      </c>
      <c r="L1130" s="14">
        <v>333914.14612083195</v>
      </c>
      <c r="M1130" s="36">
        <f>IF(Output[[#This Row],[Index]]=1,Output[[#This Row],[Droit Utilisation]],P1129)</f>
        <v>206318.79059376751</v>
      </c>
      <c r="N1130" s="15">
        <f>Output[[#This Row],[Capital Debut Period]]*Output[[#This Row],[Tx_interet_M]]</f>
        <v>515.79697648441879</v>
      </c>
      <c r="O1130" s="15">
        <f>Output[[#This Row],[Mensualité initial]]-Output[[#This Row],[Interet]]</f>
        <v>5484.2030235155817</v>
      </c>
      <c r="P1130" s="15">
        <f>Output[[#This Row],[Capital Debut Period]]-Output[[#This Row],[Paiement Principal]]</f>
        <v>200834.58757025193</v>
      </c>
      <c r="Q1130" s="15">
        <f>Output[[#This Row],[Droit Utilisation]]/Output[[#This Row],[Duree_Mois]]</f>
        <v>5565.2357686805326</v>
      </c>
    </row>
    <row r="1131" spans="1:17" x14ac:dyDescent="0.25">
      <c r="A1131" s="11" t="s">
        <v>19</v>
      </c>
      <c r="B1131" s="12">
        <v>43831</v>
      </c>
      <c r="C1131">
        <v>6000</v>
      </c>
      <c r="D1131">
        <v>5</v>
      </c>
      <c r="E1131">
        <v>0.03</v>
      </c>
      <c r="F1131">
        <v>60</v>
      </c>
      <c r="G1131" s="13">
        <v>44620</v>
      </c>
      <c r="H1131">
        <v>1130</v>
      </c>
      <c r="I1131">
        <v>26</v>
      </c>
      <c r="J1131">
        <v>2.5000000000000001E-3</v>
      </c>
      <c r="K1131" s="14">
        <v>5622.8608592073597</v>
      </c>
      <c r="L1131" s="14">
        <v>333914.14612083195</v>
      </c>
      <c r="M1131" s="36">
        <f>IF(Output[[#This Row],[Index]]=1,Output[[#This Row],[Droit Utilisation]],P1130)</f>
        <v>200834.58757025193</v>
      </c>
      <c r="N1131" s="15">
        <f>Output[[#This Row],[Capital Debut Period]]*Output[[#This Row],[Tx_interet_M]]</f>
        <v>502.08646892562984</v>
      </c>
      <c r="O1131" s="15">
        <f>Output[[#This Row],[Mensualité initial]]-Output[[#This Row],[Interet]]</f>
        <v>5497.9135310743704</v>
      </c>
      <c r="P1131" s="15">
        <f>Output[[#This Row],[Capital Debut Period]]-Output[[#This Row],[Paiement Principal]]</f>
        <v>195336.67403917757</v>
      </c>
      <c r="Q1131" s="15">
        <f>Output[[#This Row],[Droit Utilisation]]/Output[[#This Row],[Duree_Mois]]</f>
        <v>5565.2357686805326</v>
      </c>
    </row>
    <row r="1132" spans="1:17" x14ac:dyDescent="0.25">
      <c r="A1132" s="11" t="s">
        <v>19</v>
      </c>
      <c r="B1132" s="12">
        <v>43831</v>
      </c>
      <c r="C1132">
        <v>6000</v>
      </c>
      <c r="D1132">
        <v>5</v>
      </c>
      <c r="E1132">
        <v>0.03</v>
      </c>
      <c r="F1132">
        <v>60</v>
      </c>
      <c r="G1132" s="13">
        <v>44651</v>
      </c>
      <c r="H1132">
        <v>1131</v>
      </c>
      <c r="I1132">
        <v>27</v>
      </c>
      <c r="J1132">
        <v>2.5000000000000001E-3</v>
      </c>
      <c r="K1132" s="14">
        <v>5608.838762301606</v>
      </c>
      <c r="L1132" s="14">
        <v>333914.14612083195</v>
      </c>
      <c r="M1132" s="36">
        <f>IF(Output[[#This Row],[Index]]=1,Output[[#This Row],[Droit Utilisation]],P1131)</f>
        <v>195336.67403917757</v>
      </c>
      <c r="N1132" s="15">
        <f>Output[[#This Row],[Capital Debut Period]]*Output[[#This Row],[Tx_interet_M]]</f>
        <v>488.34168509794392</v>
      </c>
      <c r="O1132" s="15">
        <f>Output[[#This Row],[Mensualité initial]]-Output[[#This Row],[Interet]]</f>
        <v>5511.6583149020562</v>
      </c>
      <c r="P1132" s="15">
        <f>Output[[#This Row],[Capital Debut Period]]-Output[[#This Row],[Paiement Principal]]</f>
        <v>189825.01572427552</v>
      </c>
      <c r="Q1132" s="15">
        <f>Output[[#This Row],[Droit Utilisation]]/Output[[#This Row],[Duree_Mois]]</f>
        <v>5565.2357686805326</v>
      </c>
    </row>
    <row r="1133" spans="1:17" x14ac:dyDescent="0.25">
      <c r="A1133" s="11" t="s">
        <v>19</v>
      </c>
      <c r="B1133" s="12">
        <v>43831</v>
      </c>
      <c r="C1133">
        <v>6000</v>
      </c>
      <c r="D1133">
        <v>5</v>
      </c>
      <c r="E1133">
        <v>0.03</v>
      </c>
      <c r="F1133">
        <v>60</v>
      </c>
      <c r="G1133" s="13">
        <v>44681</v>
      </c>
      <c r="H1133">
        <v>1132</v>
      </c>
      <c r="I1133">
        <v>28</v>
      </c>
      <c r="J1133">
        <v>2.5000000000000001E-3</v>
      </c>
      <c r="K1133" s="14">
        <v>5594.85163321856</v>
      </c>
      <c r="L1133" s="14">
        <v>333914.14612083195</v>
      </c>
      <c r="M1133" s="36">
        <f>IF(Output[[#This Row],[Index]]=1,Output[[#This Row],[Droit Utilisation]],P1132)</f>
        <v>189825.01572427552</v>
      </c>
      <c r="N1133" s="15">
        <f>Output[[#This Row],[Capital Debut Period]]*Output[[#This Row],[Tx_interet_M]]</f>
        <v>474.56253931068881</v>
      </c>
      <c r="O1133" s="15">
        <f>Output[[#This Row],[Mensualité initial]]-Output[[#This Row],[Interet]]</f>
        <v>5525.4374606893116</v>
      </c>
      <c r="P1133" s="15">
        <f>Output[[#This Row],[Capital Debut Period]]-Output[[#This Row],[Paiement Principal]]</f>
        <v>184299.57826358621</v>
      </c>
      <c r="Q1133" s="15">
        <f>Output[[#This Row],[Droit Utilisation]]/Output[[#This Row],[Duree_Mois]]</f>
        <v>5565.2357686805326</v>
      </c>
    </row>
    <row r="1134" spans="1:17" x14ac:dyDescent="0.25">
      <c r="A1134" s="11" t="s">
        <v>19</v>
      </c>
      <c r="B1134" s="12">
        <v>43831</v>
      </c>
      <c r="C1134">
        <v>6000</v>
      </c>
      <c r="D1134">
        <v>5</v>
      </c>
      <c r="E1134">
        <v>0.03</v>
      </c>
      <c r="F1134">
        <v>60</v>
      </c>
      <c r="G1134" s="13">
        <v>44712</v>
      </c>
      <c r="H1134">
        <v>1133</v>
      </c>
      <c r="I1134">
        <v>29</v>
      </c>
      <c r="J1134">
        <v>2.5000000000000001E-3</v>
      </c>
      <c r="K1134" s="14">
        <v>5580.899384756669</v>
      </c>
      <c r="L1134" s="14">
        <v>333914.14612083195</v>
      </c>
      <c r="M1134" s="36">
        <f>IF(Output[[#This Row],[Index]]=1,Output[[#This Row],[Droit Utilisation]],P1133)</f>
        <v>184299.57826358621</v>
      </c>
      <c r="N1134" s="15">
        <f>Output[[#This Row],[Capital Debut Period]]*Output[[#This Row],[Tx_interet_M]]</f>
        <v>460.74894565896557</v>
      </c>
      <c r="O1134" s="15">
        <f>Output[[#This Row],[Mensualité initial]]-Output[[#This Row],[Interet]]</f>
        <v>5539.2510543410344</v>
      </c>
      <c r="P1134" s="15">
        <f>Output[[#This Row],[Capital Debut Period]]-Output[[#This Row],[Paiement Principal]]</f>
        <v>178760.32720924518</v>
      </c>
      <c r="Q1134" s="15">
        <f>Output[[#This Row],[Droit Utilisation]]/Output[[#This Row],[Duree_Mois]]</f>
        <v>5565.2357686805326</v>
      </c>
    </row>
    <row r="1135" spans="1:17" x14ac:dyDescent="0.25">
      <c r="A1135" s="11" t="s">
        <v>19</v>
      </c>
      <c r="B1135" s="12">
        <v>43831</v>
      </c>
      <c r="C1135">
        <v>6000</v>
      </c>
      <c r="D1135">
        <v>5</v>
      </c>
      <c r="E1135">
        <v>0.03</v>
      </c>
      <c r="F1135">
        <v>60</v>
      </c>
      <c r="G1135" s="13">
        <v>44742</v>
      </c>
      <c r="H1135">
        <v>1134</v>
      </c>
      <c r="I1135">
        <v>30</v>
      </c>
      <c r="J1135">
        <v>2.5000000000000001E-3</v>
      </c>
      <c r="K1135" s="14">
        <v>5566.9819299318397</v>
      </c>
      <c r="L1135" s="14">
        <v>333914.14612083195</v>
      </c>
      <c r="M1135" s="36">
        <f>IF(Output[[#This Row],[Index]]=1,Output[[#This Row],[Droit Utilisation]],P1134)</f>
        <v>178760.32720924518</v>
      </c>
      <c r="N1135" s="15">
        <f>Output[[#This Row],[Capital Debut Period]]*Output[[#This Row],[Tx_interet_M]]</f>
        <v>446.90081802311295</v>
      </c>
      <c r="O1135" s="15">
        <f>Output[[#This Row],[Mensualité initial]]-Output[[#This Row],[Interet]]</f>
        <v>5553.0991819768869</v>
      </c>
      <c r="P1135" s="15">
        <f>Output[[#This Row],[Capital Debut Period]]-Output[[#This Row],[Paiement Principal]]</f>
        <v>173207.22802726828</v>
      </c>
      <c r="Q1135" s="15">
        <f>Output[[#This Row],[Droit Utilisation]]/Output[[#This Row],[Duree_Mois]]</f>
        <v>5565.2357686805326</v>
      </c>
    </row>
    <row r="1136" spans="1:17" x14ac:dyDescent="0.25">
      <c r="A1136" s="11" t="s">
        <v>19</v>
      </c>
      <c r="B1136" s="12">
        <v>43831</v>
      </c>
      <c r="C1136">
        <v>6000</v>
      </c>
      <c r="D1136">
        <v>5</v>
      </c>
      <c r="E1136">
        <v>0.03</v>
      </c>
      <c r="F1136">
        <v>60</v>
      </c>
      <c r="G1136" s="13">
        <v>44773</v>
      </c>
      <c r="H1136">
        <v>1135</v>
      </c>
      <c r="I1136">
        <v>31</v>
      </c>
      <c r="J1136">
        <v>2.5000000000000001E-3</v>
      </c>
      <c r="K1136" s="14">
        <v>5553.0991819768969</v>
      </c>
      <c r="L1136" s="14">
        <v>333914.14612083195</v>
      </c>
      <c r="M1136" s="36">
        <f>IF(Output[[#This Row],[Index]]=1,Output[[#This Row],[Droit Utilisation]],P1135)</f>
        <v>173207.22802726828</v>
      </c>
      <c r="N1136" s="15">
        <f>Output[[#This Row],[Capital Debut Period]]*Output[[#This Row],[Tx_interet_M]]</f>
        <v>433.01807006817074</v>
      </c>
      <c r="O1136" s="15">
        <f>Output[[#This Row],[Mensualité initial]]-Output[[#This Row],[Interet]]</f>
        <v>5566.9819299318297</v>
      </c>
      <c r="P1136" s="15">
        <f>Output[[#This Row],[Capital Debut Period]]-Output[[#This Row],[Paiement Principal]]</f>
        <v>167640.24609733647</v>
      </c>
      <c r="Q1136" s="15">
        <f>Output[[#This Row],[Droit Utilisation]]/Output[[#This Row],[Duree_Mois]]</f>
        <v>5565.2357686805326</v>
      </c>
    </row>
    <row r="1137" spans="1:17" x14ac:dyDescent="0.25">
      <c r="A1137" s="11" t="s">
        <v>19</v>
      </c>
      <c r="B1137" s="12">
        <v>43831</v>
      </c>
      <c r="C1137">
        <v>6000</v>
      </c>
      <c r="D1137">
        <v>5</v>
      </c>
      <c r="E1137">
        <v>0.03</v>
      </c>
      <c r="F1137">
        <v>60</v>
      </c>
      <c r="G1137" s="13">
        <v>44804</v>
      </c>
      <c r="H1137">
        <v>1136</v>
      </c>
      <c r="I1137">
        <v>32</v>
      </c>
      <c r="J1137">
        <v>2.5000000000000001E-3</v>
      </c>
      <c r="K1137" s="14">
        <v>5539.2510543410453</v>
      </c>
      <c r="L1137" s="14">
        <v>333914.14612083195</v>
      </c>
      <c r="M1137" s="36">
        <f>IF(Output[[#This Row],[Index]]=1,Output[[#This Row],[Droit Utilisation]],P1136)</f>
        <v>167640.24609733647</v>
      </c>
      <c r="N1137" s="15">
        <f>Output[[#This Row],[Capital Debut Period]]*Output[[#This Row],[Tx_interet_M]]</f>
        <v>419.10061524334117</v>
      </c>
      <c r="O1137" s="15">
        <f>Output[[#This Row],[Mensualité initial]]-Output[[#This Row],[Interet]]</f>
        <v>5580.8993847566589</v>
      </c>
      <c r="P1137" s="15">
        <f>Output[[#This Row],[Capital Debut Period]]-Output[[#This Row],[Paiement Principal]]</f>
        <v>162059.34671257981</v>
      </c>
      <c r="Q1137" s="15">
        <f>Output[[#This Row],[Droit Utilisation]]/Output[[#This Row],[Duree_Mois]]</f>
        <v>5565.2357686805326</v>
      </c>
    </row>
    <row r="1138" spans="1:17" x14ac:dyDescent="0.25">
      <c r="A1138" s="11" t="s">
        <v>19</v>
      </c>
      <c r="B1138" s="12">
        <v>43831</v>
      </c>
      <c r="C1138">
        <v>6000</v>
      </c>
      <c r="D1138">
        <v>5</v>
      </c>
      <c r="E1138">
        <v>0.03</v>
      </c>
      <c r="F1138">
        <v>60</v>
      </c>
      <c r="G1138" s="13">
        <v>44834</v>
      </c>
      <c r="H1138">
        <v>1137</v>
      </c>
      <c r="I1138">
        <v>33</v>
      </c>
      <c r="J1138">
        <v>2.5000000000000001E-3</v>
      </c>
      <c r="K1138" s="14">
        <v>5525.4374606893225</v>
      </c>
      <c r="L1138" s="14">
        <v>333914.14612083195</v>
      </c>
      <c r="M1138" s="36">
        <f>IF(Output[[#This Row],[Index]]=1,Output[[#This Row],[Droit Utilisation]],P1137)</f>
        <v>162059.34671257981</v>
      </c>
      <c r="N1138" s="15">
        <f>Output[[#This Row],[Capital Debut Period]]*Output[[#This Row],[Tx_interet_M]]</f>
        <v>405.14836678144951</v>
      </c>
      <c r="O1138" s="15">
        <f>Output[[#This Row],[Mensualité initial]]-Output[[#This Row],[Interet]]</f>
        <v>5594.8516332185509</v>
      </c>
      <c r="P1138" s="15">
        <f>Output[[#This Row],[Capital Debut Period]]-Output[[#This Row],[Paiement Principal]]</f>
        <v>156464.49507936125</v>
      </c>
      <c r="Q1138" s="15">
        <f>Output[[#This Row],[Droit Utilisation]]/Output[[#This Row],[Duree_Mois]]</f>
        <v>5565.2357686805326</v>
      </c>
    </row>
    <row r="1139" spans="1:17" x14ac:dyDescent="0.25">
      <c r="A1139" s="11" t="s">
        <v>19</v>
      </c>
      <c r="B1139" s="12">
        <v>43831</v>
      </c>
      <c r="C1139">
        <v>6000</v>
      </c>
      <c r="D1139">
        <v>5</v>
      </c>
      <c r="E1139">
        <v>0.03</v>
      </c>
      <c r="F1139">
        <v>60</v>
      </c>
      <c r="G1139" s="13">
        <v>44865</v>
      </c>
      <c r="H1139">
        <v>1138</v>
      </c>
      <c r="I1139">
        <v>34</v>
      </c>
      <c r="J1139">
        <v>2.5000000000000001E-3</v>
      </c>
      <c r="K1139" s="14">
        <v>5511.6583149020671</v>
      </c>
      <c r="L1139" s="14">
        <v>333914.14612083195</v>
      </c>
      <c r="M1139" s="36">
        <f>IF(Output[[#This Row],[Index]]=1,Output[[#This Row],[Droit Utilisation]],P1138)</f>
        <v>156464.49507936125</v>
      </c>
      <c r="N1139" s="15">
        <f>Output[[#This Row],[Capital Debut Period]]*Output[[#This Row],[Tx_interet_M]]</f>
        <v>391.16123769840311</v>
      </c>
      <c r="O1139" s="15">
        <f>Output[[#This Row],[Mensualité initial]]-Output[[#This Row],[Interet]]</f>
        <v>5608.8387623015969</v>
      </c>
      <c r="P1139" s="15">
        <f>Output[[#This Row],[Capital Debut Period]]-Output[[#This Row],[Paiement Principal]]</f>
        <v>150855.65631705965</v>
      </c>
      <c r="Q1139" s="15">
        <f>Output[[#This Row],[Droit Utilisation]]/Output[[#This Row],[Duree_Mois]]</f>
        <v>5565.2357686805326</v>
      </c>
    </row>
    <row r="1140" spans="1:17" x14ac:dyDescent="0.25">
      <c r="A1140" s="11" t="s">
        <v>19</v>
      </c>
      <c r="B1140" s="12">
        <v>43831</v>
      </c>
      <c r="C1140">
        <v>6000</v>
      </c>
      <c r="D1140">
        <v>5</v>
      </c>
      <c r="E1140">
        <v>0.03</v>
      </c>
      <c r="F1140">
        <v>60</v>
      </c>
      <c r="G1140" s="13">
        <v>44895</v>
      </c>
      <c r="H1140">
        <v>1139</v>
      </c>
      <c r="I1140">
        <v>35</v>
      </c>
      <c r="J1140">
        <v>2.5000000000000001E-3</v>
      </c>
      <c r="K1140" s="14">
        <v>5497.9135310743814</v>
      </c>
      <c r="L1140" s="14">
        <v>333914.14612083195</v>
      </c>
      <c r="M1140" s="36">
        <f>IF(Output[[#This Row],[Index]]=1,Output[[#This Row],[Droit Utilisation]],P1139)</f>
        <v>150855.65631705965</v>
      </c>
      <c r="N1140" s="15">
        <f>Output[[#This Row],[Capital Debut Period]]*Output[[#This Row],[Tx_interet_M]]</f>
        <v>377.13914079264913</v>
      </c>
      <c r="O1140" s="15">
        <f>Output[[#This Row],[Mensualité initial]]-Output[[#This Row],[Interet]]</f>
        <v>5622.8608592073506</v>
      </c>
      <c r="P1140" s="15">
        <f>Output[[#This Row],[Capital Debut Period]]-Output[[#This Row],[Paiement Principal]]</f>
        <v>145232.79545785231</v>
      </c>
      <c r="Q1140" s="15">
        <f>Output[[#This Row],[Droit Utilisation]]/Output[[#This Row],[Duree_Mois]]</f>
        <v>5565.2357686805326</v>
      </c>
    </row>
    <row r="1141" spans="1:17" x14ac:dyDescent="0.25">
      <c r="A1141" s="11" t="s">
        <v>19</v>
      </c>
      <c r="B1141" s="12">
        <v>43831</v>
      </c>
      <c r="C1141">
        <v>6000</v>
      </c>
      <c r="D1141">
        <v>5</v>
      </c>
      <c r="E1141">
        <v>0.03</v>
      </c>
      <c r="F1141">
        <v>60</v>
      </c>
      <c r="G1141" s="13">
        <v>44926</v>
      </c>
      <c r="H1141">
        <v>1140</v>
      </c>
      <c r="I1141">
        <v>36</v>
      </c>
      <c r="J1141">
        <v>2.5000000000000001E-3</v>
      </c>
      <c r="K1141" s="14">
        <v>5484.2030235155926</v>
      </c>
      <c r="L1141" s="14">
        <v>333914.14612083195</v>
      </c>
      <c r="M1141" s="36">
        <f>IF(Output[[#This Row],[Index]]=1,Output[[#This Row],[Droit Utilisation]],P1140)</f>
        <v>145232.79545785231</v>
      </c>
      <c r="N1141" s="15">
        <f>Output[[#This Row],[Capital Debut Period]]*Output[[#This Row],[Tx_interet_M]]</f>
        <v>363.08198864463077</v>
      </c>
      <c r="O1141" s="15">
        <f>Output[[#This Row],[Mensualité initial]]-Output[[#This Row],[Interet]]</f>
        <v>5636.9180113553693</v>
      </c>
      <c r="P1141" s="15">
        <f>Output[[#This Row],[Capital Debut Period]]-Output[[#This Row],[Paiement Principal]]</f>
        <v>139595.87744649695</v>
      </c>
      <c r="Q1141" s="15">
        <f>Output[[#This Row],[Droit Utilisation]]/Output[[#This Row],[Duree_Mois]]</f>
        <v>5565.2357686805326</v>
      </c>
    </row>
    <row r="1142" spans="1:17" x14ac:dyDescent="0.25">
      <c r="A1142" s="11" t="s">
        <v>19</v>
      </c>
      <c r="B1142" s="12">
        <v>43831</v>
      </c>
      <c r="C1142">
        <v>6000</v>
      </c>
      <c r="D1142">
        <v>5</v>
      </c>
      <c r="E1142">
        <v>0.03</v>
      </c>
      <c r="F1142">
        <v>60</v>
      </c>
      <c r="G1142" s="13">
        <v>44957</v>
      </c>
      <c r="H1142">
        <v>1141</v>
      </c>
      <c r="I1142">
        <v>37</v>
      </c>
      <c r="J1142">
        <v>2.5000000000000001E-3</v>
      </c>
      <c r="K1142" s="14">
        <v>5470.5267067487212</v>
      </c>
      <c r="L1142" s="14">
        <v>333914.14612083195</v>
      </c>
      <c r="M1142" s="36">
        <f>IF(Output[[#This Row],[Index]]=1,Output[[#This Row],[Droit Utilisation]],P1141)</f>
        <v>139595.87744649695</v>
      </c>
      <c r="N1142" s="15">
        <f>Output[[#This Row],[Capital Debut Period]]*Output[[#This Row],[Tx_interet_M]]</f>
        <v>348.98969361624239</v>
      </c>
      <c r="O1142" s="15">
        <f>Output[[#This Row],[Mensualité initial]]-Output[[#This Row],[Interet]]</f>
        <v>5651.0103063837578</v>
      </c>
      <c r="P1142" s="15">
        <f>Output[[#This Row],[Capital Debut Period]]-Output[[#This Row],[Paiement Principal]]</f>
        <v>133944.8671401132</v>
      </c>
      <c r="Q1142" s="15">
        <f>Output[[#This Row],[Droit Utilisation]]/Output[[#This Row],[Duree_Mois]]</f>
        <v>5565.2357686805326</v>
      </c>
    </row>
    <row r="1143" spans="1:17" x14ac:dyDescent="0.25">
      <c r="A1143" s="11" t="s">
        <v>19</v>
      </c>
      <c r="B1143" s="12">
        <v>43831</v>
      </c>
      <c r="C1143">
        <v>6000</v>
      </c>
      <c r="D1143">
        <v>5</v>
      </c>
      <c r="E1143">
        <v>0.03</v>
      </c>
      <c r="F1143">
        <v>60</v>
      </c>
      <c r="G1143" s="13">
        <v>44985</v>
      </c>
      <c r="H1143">
        <v>1142</v>
      </c>
      <c r="I1143">
        <v>38</v>
      </c>
      <c r="J1143">
        <v>2.5000000000000001E-3</v>
      </c>
      <c r="K1143" s="14">
        <v>5456.8844955099466</v>
      </c>
      <c r="L1143" s="14">
        <v>333914.14612083195</v>
      </c>
      <c r="M1143" s="36">
        <f>IF(Output[[#This Row],[Index]]=1,Output[[#This Row],[Droit Utilisation]],P1142)</f>
        <v>133944.8671401132</v>
      </c>
      <c r="N1143" s="15">
        <f>Output[[#This Row],[Capital Debut Period]]*Output[[#This Row],[Tx_interet_M]]</f>
        <v>334.86216785028302</v>
      </c>
      <c r="O1143" s="15">
        <f>Output[[#This Row],[Mensualité initial]]-Output[[#This Row],[Interet]]</f>
        <v>5665.1378321497168</v>
      </c>
      <c r="P1143" s="15">
        <f>Output[[#This Row],[Capital Debut Period]]-Output[[#This Row],[Paiement Principal]]</f>
        <v>128279.72930796348</v>
      </c>
      <c r="Q1143" s="15">
        <f>Output[[#This Row],[Droit Utilisation]]/Output[[#This Row],[Duree_Mois]]</f>
        <v>5565.2357686805326</v>
      </c>
    </row>
    <row r="1144" spans="1:17" x14ac:dyDescent="0.25">
      <c r="A1144" s="11" t="s">
        <v>19</v>
      </c>
      <c r="B1144" s="12">
        <v>43831</v>
      </c>
      <c r="C1144">
        <v>6000</v>
      </c>
      <c r="D1144">
        <v>5</v>
      </c>
      <c r="E1144">
        <v>0.03</v>
      </c>
      <c r="F1144">
        <v>60</v>
      </c>
      <c r="G1144" s="13">
        <v>45016</v>
      </c>
      <c r="H1144">
        <v>1143</v>
      </c>
      <c r="I1144">
        <v>39</v>
      </c>
      <c r="J1144">
        <v>2.5000000000000001E-3</v>
      </c>
      <c r="K1144" s="14">
        <v>5443.2763047480767</v>
      </c>
      <c r="L1144" s="14">
        <v>333914.14612083195</v>
      </c>
      <c r="M1144" s="36">
        <f>IF(Output[[#This Row],[Index]]=1,Output[[#This Row],[Droit Utilisation]],P1143)</f>
        <v>128279.72930796348</v>
      </c>
      <c r="N1144" s="15">
        <f>Output[[#This Row],[Capital Debut Period]]*Output[[#This Row],[Tx_interet_M]]</f>
        <v>320.69932326990869</v>
      </c>
      <c r="O1144" s="15">
        <f>Output[[#This Row],[Mensualité initial]]-Output[[#This Row],[Interet]]</f>
        <v>5679.3006767300913</v>
      </c>
      <c r="P1144" s="15">
        <f>Output[[#This Row],[Capital Debut Period]]-Output[[#This Row],[Paiement Principal]]</f>
        <v>122600.42863123339</v>
      </c>
      <c r="Q1144" s="15">
        <f>Output[[#This Row],[Droit Utilisation]]/Output[[#This Row],[Duree_Mois]]</f>
        <v>5565.2357686805326</v>
      </c>
    </row>
    <row r="1145" spans="1:17" x14ac:dyDescent="0.25">
      <c r="A1145" s="11" t="s">
        <v>19</v>
      </c>
      <c r="B1145" s="12">
        <v>43831</v>
      </c>
      <c r="C1145">
        <v>6000</v>
      </c>
      <c r="D1145">
        <v>5</v>
      </c>
      <c r="E1145">
        <v>0.03</v>
      </c>
      <c r="F1145">
        <v>60</v>
      </c>
      <c r="G1145" s="13">
        <v>45046</v>
      </c>
      <c r="H1145">
        <v>1144</v>
      </c>
      <c r="I1145">
        <v>40</v>
      </c>
      <c r="J1145">
        <v>2.5000000000000001E-3</v>
      </c>
      <c r="K1145" s="14">
        <v>5429.7020496240175</v>
      </c>
      <c r="L1145" s="14">
        <v>333914.14612083195</v>
      </c>
      <c r="M1145" s="36">
        <f>IF(Output[[#This Row],[Index]]=1,Output[[#This Row],[Droit Utilisation]],P1144)</f>
        <v>122600.42863123339</v>
      </c>
      <c r="N1145" s="15">
        <f>Output[[#This Row],[Capital Debut Period]]*Output[[#This Row],[Tx_interet_M]]</f>
        <v>306.5010715780835</v>
      </c>
      <c r="O1145" s="15">
        <f>Output[[#This Row],[Mensualité initial]]-Output[[#This Row],[Interet]]</f>
        <v>5693.4989284219164</v>
      </c>
      <c r="P1145" s="15">
        <f>Output[[#This Row],[Capital Debut Period]]-Output[[#This Row],[Paiement Principal]]</f>
        <v>116906.92970281147</v>
      </c>
      <c r="Q1145" s="15">
        <f>Output[[#This Row],[Droit Utilisation]]/Output[[#This Row],[Duree_Mois]]</f>
        <v>5565.2357686805326</v>
      </c>
    </row>
    <row r="1146" spans="1:17" x14ac:dyDescent="0.25">
      <c r="A1146" s="11" t="s">
        <v>19</v>
      </c>
      <c r="B1146" s="12">
        <v>43831</v>
      </c>
      <c r="C1146">
        <v>6000</v>
      </c>
      <c r="D1146">
        <v>5</v>
      </c>
      <c r="E1146">
        <v>0.03</v>
      </c>
      <c r="F1146">
        <v>60</v>
      </c>
      <c r="G1146" s="13">
        <v>45077</v>
      </c>
      <c r="H1146">
        <v>1145</v>
      </c>
      <c r="I1146">
        <v>41</v>
      </c>
      <c r="J1146">
        <v>2.5000000000000001E-3</v>
      </c>
      <c r="K1146" s="14">
        <v>5416.1616455102412</v>
      </c>
      <c r="L1146" s="14">
        <v>333914.14612083195</v>
      </c>
      <c r="M1146" s="36">
        <f>IF(Output[[#This Row],[Index]]=1,Output[[#This Row],[Droit Utilisation]],P1145)</f>
        <v>116906.92970281147</v>
      </c>
      <c r="N1146" s="15">
        <f>Output[[#This Row],[Capital Debut Period]]*Output[[#This Row],[Tx_interet_M]]</f>
        <v>292.26732425702869</v>
      </c>
      <c r="O1146" s="15">
        <f>Output[[#This Row],[Mensualité initial]]-Output[[#This Row],[Interet]]</f>
        <v>5707.732675742971</v>
      </c>
      <c r="P1146" s="15">
        <f>Output[[#This Row],[Capital Debut Period]]-Output[[#This Row],[Paiement Principal]]</f>
        <v>111199.1970270685</v>
      </c>
      <c r="Q1146" s="15">
        <f>Output[[#This Row],[Droit Utilisation]]/Output[[#This Row],[Duree_Mois]]</f>
        <v>5565.2357686805326</v>
      </c>
    </row>
    <row r="1147" spans="1:17" x14ac:dyDescent="0.25">
      <c r="A1147" s="11" t="s">
        <v>19</v>
      </c>
      <c r="B1147" s="12">
        <v>43831</v>
      </c>
      <c r="C1147">
        <v>6000</v>
      </c>
      <c r="D1147">
        <v>5</v>
      </c>
      <c r="E1147">
        <v>0.03</v>
      </c>
      <c r="F1147">
        <v>60</v>
      </c>
      <c r="G1147" s="13">
        <v>45107</v>
      </c>
      <c r="H1147">
        <v>1146</v>
      </c>
      <c r="I1147">
        <v>42</v>
      </c>
      <c r="J1147">
        <v>2.5000000000000001E-3</v>
      </c>
      <c r="K1147" s="14">
        <v>5402.6550079902663</v>
      </c>
      <c r="L1147" s="14">
        <v>333914.14612083195</v>
      </c>
      <c r="M1147" s="36">
        <f>IF(Output[[#This Row],[Index]]=1,Output[[#This Row],[Droit Utilisation]],P1146)</f>
        <v>111199.1970270685</v>
      </c>
      <c r="N1147" s="15">
        <f>Output[[#This Row],[Capital Debut Period]]*Output[[#This Row],[Tx_interet_M]]</f>
        <v>277.99799256767125</v>
      </c>
      <c r="O1147" s="15">
        <f>Output[[#This Row],[Mensualité initial]]-Output[[#This Row],[Interet]]</f>
        <v>5722.0020074323284</v>
      </c>
      <c r="P1147" s="15">
        <f>Output[[#This Row],[Capital Debut Period]]-Output[[#This Row],[Paiement Principal]]</f>
        <v>105477.19501963617</v>
      </c>
      <c r="Q1147" s="15">
        <f>Output[[#This Row],[Droit Utilisation]]/Output[[#This Row],[Duree_Mois]]</f>
        <v>5565.2357686805326</v>
      </c>
    </row>
    <row r="1148" spans="1:17" x14ac:dyDescent="0.25">
      <c r="A1148" s="11" t="s">
        <v>19</v>
      </c>
      <c r="B1148" s="12">
        <v>43831</v>
      </c>
      <c r="C1148">
        <v>6000</v>
      </c>
      <c r="D1148">
        <v>5</v>
      </c>
      <c r="E1148">
        <v>0.03</v>
      </c>
      <c r="F1148">
        <v>60</v>
      </c>
      <c r="G1148" s="13">
        <v>45138</v>
      </c>
      <c r="H1148">
        <v>1147</v>
      </c>
      <c r="I1148">
        <v>43</v>
      </c>
      <c r="J1148">
        <v>2.5000000000000001E-3</v>
      </c>
      <c r="K1148" s="14">
        <v>5389.1820528581211</v>
      </c>
      <c r="L1148" s="14">
        <v>333914.14612083195</v>
      </c>
      <c r="M1148" s="36">
        <f>IF(Output[[#This Row],[Index]]=1,Output[[#This Row],[Droit Utilisation]],P1147)</f>
        <v>105477.19501963617</v>
      </c>
      <c r="N1148" s="15">
        <f>Output[[#This Row],[Capital Debut Period]]*Output[[#This Row],[Tx_interet_M]]</f>
        <v>263.69298754909045</v>
      </c>
      <c r="O1148" s="15">
        <f>Output[[#This Row],[Mensualité initial]]-Output[[#This Row],[Interet]]</f>
        <v>5736.3070124509095</v>
      </c>
      <c r="P1148" s="15">
        <f>Output[[#This Row],[Capital Debut Period]]-Output[[#This Row],[Paiement Principal]]</f>
        <v>99740.888007185262</v>
      </c>
      <c r="Q1148" s="15">
        <f>Output[[#This Row],[Droit Utilisation]]/Output[[#This Row],[Duree_Mois]]</f>
        <v>5565.2357686805326</v>
      </c>
    </row>
    <row r="1149" spans="1:17" x14ac:dyDescent="0.25">
      <c r="A1149" s="11" t="s">
        <v>19</v>
      </c>
      <c r="B1149" s="12">
        <v>43831</v>
      </c>
      <c r="C1149">
        <v>6000</v>
      </c>
      <c r="D1149">
        <v>5</v>
      </c>
      <c r="E1149">
        <v>0.03</v>
      </c>
      <c r="F1149">
        <v>60</v>
      </c>
      <c r="G1149" s="13">
        <v>45169</v>
      </c>
      <c r="H1149">
        <v>1148</v>
      </c>
      <c r="I1149">
        <v>44</v>
      </c>
      <c r="J1149">
        <v>2.5000000000000001E-3</v>
      </c>
      <c r="K1149" s="14">
        <v>5375.7426961178271</v>
      </c>
      <c r="L1149" s="14">
        <v>333914.14612083195</v>
      </c>
      <c r="M1149" s="36">
        <f>IF(Output[[#This Row],[Index]]=1,Output[[#This Row],[Droit Utilisation]],P1148)</f>
        <v>99740.888007185262</v>
      </c>
      <c r="N1149" s="15">
        <f>Output[[#This Row],[Capital Debut Period]]*Output[[#This Row],[Tx_interet_M]]</f>
        <v>249.35222001796316</v>
      </c>
      <c r="O1149" s="15">
        <f>Output[[#This Row],[Mensualité initial]]-Output[[#This Row],[Interet]]</f>
        <v>5750.6477799820368</v>
      </c>
      <c r="P1149" s="15">
        <f>Output[[#This Row],[Capital Debut Period]]-Output[[#This Row],[Paiement Principal]]</f>
        <v>93990.24022720322</v>
      </c>
      <c r="Q1149" s="15">
        <f>Output[[#This Row],[Droit Utilisation]]/Output[[#This Row],[Duree_Mois]]</f>
        <v>5565.2357686805326</v>
      </c>
    </row>
    <row r="1150" spans="1:17" x14ac:dyDescent="0.25">
      <c r="A1150" s="11" t="s">
        <v>19</v>
      </c>
      <c r="B1150" s="12">
        <v>43831</v>
      </c>
      <c r="C1150">
        <v>6000</v>
      </c>
      <c r="D1150">
        <v>5</v>
      </c>
      <c r="E1150">
        <v>0.03</v>
      </c>
      <c r="F1150">
        <v>60</v>
      </c>
      <c r="G1150" s="13">
        <v>45199</v>
      </c>
      <c r="H1150">
        <v>1149</v>
      </c>
      <c r="I1150">
        <v>45</v>
      </c>
      <c r="J1150">
        <v>2.5000000000000001E-3</v>
      </c>
      <c r="K1150" s="14">
        <v>5362.3368539828707</v>
      </c>
      <c r="L1150" s="14">
        <v>333914.14612083195</v>
      </c>
      <c r="M1150" s="36">
        <f>IF(Output[[#This Row],[Index]]=1,Output[[#This Row],[Droit Utilisation]],P1149)</f>
        <v>93990.24022720322</v>
      </c>
      <c r="N1150" s="15">
        <f>Output[[#This Row],[Capital Debut Period]]*Output[[#This Row],[Tx_interet_M]]</f>
        <v>234.97560056800805</v>
      </c>
      <c r="O1150" s="15">
        <f>Output[[#This Row],[Mensualité initial]]-Output[[#This Row],[Interet]]</f>
        <v>5765.0243994319917</v>
      </c>
      <c r="P1150" s="15">
        <f>Output[[#This Row],[Capital Debut Period]]-Output[[#This Row],[Paiement Principal]]</f>
        <v>88225.21582777123</v>
      </c>
      <c r="Q1150" s="15">
        <f>Output[[#This Row],[Droit Utilisation]]/Output[[#This Row],[Duree_Mois]]</f>
        <v>5565.2357686805326</v>
      </c>
    </row>
    <row r="1151" spans="1:17" x14ac:dyDescent="0.25">
      <c r="A1151" s="11" t="s">
        <v>19</v>
      </c>
      <c r="B1151" s="12">
        <v>43831</v>
      </c>
      <c r="C1151">
        <v>6000</v>
      </c>
      <c r="D1151">
        <v>5</v>
      </c>
      <c r="E1151">
        <v>0.03</v>
      </c>
      <c r="F1151">
        <v>60</v>
      </c>
      <c r="G1151" s="13">
        <v>45230</v>
      </c>
      <c r="H1151">
        <v>1150</v>
      </c>
      <c r="I1151">
        <v>46</v>
      </c>
      <c r="J1151">
        <v>2.5000000000000001E-3</v>
      </c>
      <c r="K1151" s="14">
        <v>5348.9644428756819</v>
      </c>
      <c r="L1151" s="14">
        <v>333914.14612083195</v>
      </c>
      <c r="M1151" s="36">
        <f>IF(Output[[#This Row],[Index]]=1,Output[[#This Row],[Droit Utilisation]],P1150)</f>
        <v>88225.21582777123</v>
      </c>
      <c r="N1151" s="15">
        <f>Output[[#This Row],[Capital Debut Period]]*Output[[#This Row],[Tx_interet_M]]</f>
        <v>220.56303956942807</v>
      </c>
      <c r="O1151" s="15">
        <f>Output[[#This Row],[Mensualité initial]]-Output[[#This Row],[Interet]]</f>
        <v>5779.4369604305721</v>
      </c>
      <c r="P1151" s="15">
        <f>Output[[#This Row],[Capital Debut Period]]-Output[[#This Row],[Paiement Principal]]</f>
        <v>82445.778867340661</v>
      </c>
      <c r="Q1151" s="15">
        <f>Output[[#This Row],[Droit Utilisation]]/Output[[#This Row],[Duree_Mois]]</f>
        <v>5565.2357686805326</v>
      </c>
    </row>
    <row r="1152" spans="1:17" x14ac:dyDescent="0.25">
      <c r="A1152" s="11" t="s">
        <v>19</v>
      </c>
      <c r="B1152" s="12">
        <v>43831</v>
      </c>
      <c r="C1152">
        <v>6000</v>
      </c>
      <c r="D1152">
        <v>5</v>
      </c>
      <c r="E1152">
        <v>0.03</v>
      </c>
      <c r="F1152">
        <v>60</v>
      </c>
      <c r="G1152" s="13">
        <v>45260</v>
      </c>
      <c r="H1152">
        <v>1151</v>
      </c>
      <c r="I1152">
        <v>47</v>
      </c>
      <c r="J1152">
        <v>2.5000000000000001E-3</v>
      </c>
      <c r="K1152" s="14">
        <v>5335.6253794271142</v>
      </c>
      <c r="L1152" s="14">
        <v>333914.14612083195</v>
      </c>
      <c r="M1152" s="36">
        <f>IF(Output[[#This Row],[Index]]=1,Output[[#This Row],[Droit Utilisation]],P1151)</f>
        <v>82445.778867340661</v>
      </c>
      <c r="N1152" s="15">
        <f>Output[[#This Row],[Capital Debut Period]]*Output[[#This Row],[Tx_interet_M]]</f>
        <v>206.11444716835166</v>
      </c>
      <c r="O1152" s="15">
        <f>Output[[#This Row],[Mensualité initial]]-Output[[#This Row],[Interet]]</f>
        <v>5793.8855528316481</v>
      </c>
      <c r="P1152" s="15">
        <f>Output[[#This Row],[Capital Debut Period]]-Output[[#This Row],[Paiement Principal]]</f>
        <v>76651.893314509012</v>
      </c>
      <c r="Q1152" s="15">
        <f>Output[[#This Row],[Droit Utilisation]]/Output[[#This Row],[Duree_Mois]]</f>
        <v>5565.2357686805326</v>
      </c>
    </row>
    <row r="1153" spans="1:17" x14ac:dyDescent="0.25">
      <c r="A1153" s="11" t="s">
        <v>19</v>
      </c>
      <c r="B1153" s="12">
        <v>43831</v>
      </c>
      <c r="C1153">
        <v>6000</v>
      </c>
      <c r="D1153">
        <v>5</v>
      </c>
      <c r="E1153">
        <v>0.03</v>
      </c>
      <c r="F1153">
        <v>60</v>
      </c>
      <c r="G1153" s="13">
        <v>45291</v>
      </c>
      <c r="H1153">
        <v>1152</v>
      </c>
      <c r="I1153">
        <v>48</v>
      </c>
      <c r="J1153">
        <v>2.5000000000000001E-3</v>
      </c>
      <c r="K1153" s="14">
        <v>5322.3195804759243</v>
      </c>
      <c r="L1153" s="14">
        <v>333914.14612083195</v>
      </c>
      <c r="M1153" s="36">
        <f>IF(Output[[#This Row],[Index]]=1,Output[[#This Row],[Droit Utilisation]],P1152)</f>
        <v>76651.893314509012</v>
      </c>
      <c r="N1153" s="15">
        <f>Output[[#This Row],[Capital Debut Period]]*Output[[#This Row],[Tx_interet_M]]</f>
        <v>191.62973328627254</v>
      </c>
      <c r="O1153" s="15">
        <f>Output[[#This Row],[Mensualité initial]]-Output[[#This Row],[Interet]]</f>
        <v>5808.3702667137277</v>
      </c>
      <c r="P1153" s="15">
        <f>Output[[#This Row],[Capital Debut Period]]-Output[[#This Row],[Paiement Principal]]</f>
        <v>70843.523047795286</v>
      </c>
      <c r="Q1153" s="15">
        <f>Output[[#This Row],[Droit Utilisation]]/Output[[#This Row],[Duree_Mois]]</f>
        <v>5565.2357686805326</v>
      </c>
    </row>
    <row r="1154" spans="1:17" x14ac:dyDescent="0.25">
      <c r="A1154" s="11" t="s">
        <v>19</v>
      </c>
      <c r="B1154" s="12">
        <v>43831</v>
      </c>
      <c r="C1154">
        <v>6000</v>
      </c>
      <c r="D1154">
        <v>5</v>
      </c>
      <c r="E1154">
        <v>0.03</v>
      </c>
      <c r="F1154">
        <v>60</v>
      </c>
      <c r="G1154" s="13">
        <v>45322</v>
      </c>
      <c r="H1154">
        <v>1153</v>
      </c>
      <c r="I1154">
        <v>49</v>
      </c>
      <c r="J1154">
        <v>2.5000000000000001E-3</v>
      </c>
      <c r="K1154" s="14">
        <v>5309.0469630682537</v>
      </c>
      <c r="L1154" s="14">
        <v>333914.14612083195</v>
      </c>
      <c r="M1154" s="36">
        <f>IF(Output[[#This Row],[Index]]=1,Output[[#This Row],[Droit Utilisation]],P1153)</f>
        <v>70843.523047795286</v>
      </c>
      <c r="N1154" s="15">
        <f>Output[[#This Row],[Capital Debut Period]]*Output[[#This Row],[Tx_interet_M]]</f>
        <v>177.10880761948823</v>
      </c>
      <c r="O1154" s="15">
        <f>Output[[#This Row],[Mensualité initial]]-Output[[#This Row],[Interet]]</f>
        <v>5822.8911923805117</v>
      </c>
      <c r="P1154" s="15">
        <f>Output[[#This Row],[Capital Debut Period]]-Output[[#This Row],[Paiement Principal]]</f>
        <v>65020.631855414773</v>
      </c>
      <c r="Q1154" s="15">
        <f>Output[[#This Row],[Droit Utilisation]]/Output[[#This Row],[Duree_Mois]]</f>
        <v>5565.2357686805326</v>
      </c>
    </row>
    <row r="1155" spans="1:17" x14ac:dyDescent="0.25">
      <c r="A1155" s="11" t="s">
        <v>19</v>
      </c>
      <c r="B1155" s="12">
        <v>43831</v>
      </c>
      <c r="C1155">
        <v>6000</v>
      </c>
      <c r="D1155">
        <v>5</v>
      </c>
      <c r="E1155">
        <v>0.03</v>
      </c>
      <c r="F1155">
        <v>60</v>
      </c>
      <c r="G1155" s="13">
        <v>45351</v>
      </c>
      <c r="H1155">
        <v>1154</v>
      </c>
      <c r="I1155">
        <v>50</v>
      </c>
      <c r="J1155">
        <v>2.5000000000000001E-3</v>
      </c>
      <c r="K1155" s="14">
        <v>5295.8074444571121</v>
      </c>
      <c r="L1155" s="14">
        <v>333914.14612083195</v>
      </c>
      <c r="M1155" s="36">
        <f>IF(Output[[#This Row],[Index]]=1,Output[[#This Row],[Droit Utilisation]],P1154)</f>
        <v>65020.631855414773</v>
      </c>
      <c r="N1155" s="15">
        <f>Output[[#This Row],[Capital Debut Period]]*Output[[#This Row],[Tx_interet_M]]</f>
        <v>162.55157963853694</v>
      </c>
      <c r="O1155" s="15">
        <f>Output[[#This Row],[Mensualité initial]]-Output[[#This Row],[Interet]]</f>
        <v>5837.4484203614629</v>
      </c>
      <c r="P1155" s="15">
        <f>Output[[#This Row],[Capital Debut Period]]-Output[[#This Row],[Paiement Principal]]</f>
        <v>59183.18343505331</v>
      </c>
      <c r="Q1155" s="15">
        <f>Output[[#This Row],[Droit Utilisation]]/Output[[#This Row],[Duree_Mois]]</f>
        <v>5565.2357686805326</v>
      </c>
    </row>
    <row r="1156" spans="1:17" x14ac:dyDescent="0.25">
      <c r="A1156" s="11" t="s">
        <v>19</v>
      </c>
      <c r="B1156" s="12">
        <v>43831</v>
      </c>
      <c r="C1156">
        <v>6000</v>
      </c>
      <c r="D1156">
        <v>5</v>
      </c>
      <c r="E1156">
        <v>0.03</v>
      </c>
      <c r="F1156">
        <v>60</v>
      </c>
      <c r="G1156" s="13">
        <v>45382</v>
      </c>
      <c r="H1156">
        <v>1155</v>
      </c>
      <c r="I1156">
        <v>51</v>
      </c>
      <c r="J1156">
        <v>2.5000000000000001E-3</v>
      </c>
      <c r="K1156" s="14">
        <v>5282.6009421018571</v>
      </c>
      <c r="L1156" s="14">
        <v>333914.14612083195</v>
      </c>
      <c r="M1156" s="36">
        <f>IF(Output[[#This Row],[Index]]=1,Output[[#This Row],[Droit Utilisation]],P1155)</f>
        <v>59183.18343505331</v>
      </c>
      <c r="N1156" s="15">
        <f>Output[[#This Row],[Capital Debut Period]]*Output[[#This Row],[Tx_interet_M]]</f>
        <v>147.95795858763327</v>
      </c>
      <c r="O1156" s="15">
        <f>Output[[#This Row],[Mensualité initial]]-Output[[#This Row],[Interet]]</f>
        <v>5852.0420414123664</v>
      </c>
      <c r="P1156" s="15">
        <f>Output[[#This Row],[Capital Debut Period]]-Output[[#This Row],[Paiement Principal]]</f>
        <v>53331.141393640944</v>
      </c>
      <c r="Q1156" s="15">
        <f>Output[[#This Row],[Droit Utilisation]]/Output[[#This Row],[Duree_Mois]]</f>
        <v>5565.2357686805326</v>
      </c>
    </row>
    <row r="1157" spans="1:17" x14ac:dyDescent="0.25">
      <c r="A1157" s="11" t="s">
        <v>19</v>
      </c>
      <c r="B1157" s="12">
        <v>43831</v>
      </c>
      <c r="C1157">
        <v>6000</v>
      </c>
      <c r="D1157">
        <v>5</v>
      </c>
      <c r="E1157">
        <v>0.03</v>
      </c>
      <c r="F1157">
        <v>60</v>
      </c>
      <c r="G1157" s="13">
        <v>45412</v>
      </c>
      <c r="H1157">
        <v>1156</v>
      </c>
      <c r="I1157">
        <v>52</v>
      </c>
      <c r="J1157">
        <v>2.5000000000000001E-3</v>
      </c>
      <c r="K1157" s="14">
        <v>5269.4273736676878</v>
      </c>
      <c r="L1157" s="14">
        <v>333914.14612083195</v>
      </c>
      <c r="M1157" s="36">
        <f>IF(Output[[#This Row],[Index]]=1,Output[[#This Row],[Droit Utilisation]],P1156)</f>
        <v>53331.141393640944</v>
      </c>
      <c r="N1157" s="15">
        <f>Output[[#This Row],[Capital Debut Period]]*Output[[#This Row],[Tx_interet_M]]</f>
        <v>133.32785348410238</v>
      </c>
      <c r="O1157" s="15">
        <f>Output[[#This Row],[Mensualité initial]]-Output[[#This Row],[Interet]]</f>
        <v>5866.672146515898</v>
      </c>
      <c r="P1157" s="15">
        <f>Output[[#This Row],[Capital Debut Period]]-Output[[#This Row],[Paiement Principal]]</f>
        <v>47464.469247125046</v>
      </c>
      <c r="Q1157" s="15">
        <f>Output[[#This Row],[Droit Utilisation]]/Output[[#This Row],[Duree_Mois]]</f>
        <v>5565.2357686805326</v>
      </c>
    </row>
    <row r="1158" spans="1:17" x14ac:dyDescent="0.25">
      <c r="A1158" s="11" t="s">
        <v>19</v>
      </c>
      <c r="B1158" s="12">
        <v>43831</v>
      </c>
      <c r="C1158">
        <v>6000</v>
      </c>
      <c r="D1158">
        <v>5</v>
      </c>
      <c r="E1158">
        <v>0.03</v>
      </c>
      <c r="F1158">
        <v>60</v>
      </c>
      <c r="G1158" s="13">
        <v>45443</v>
      </c>
      <c r="H1158">
        <v>1157</v>
      </c>
      <c r="I1158">
        <v>53</v>
      </c>
      <c r="J1158">
        <v>2.5000000000000001E-3</v>
      </c>
      <c r="K1158" s="14">
        <v>5256.2866570251254</v>
      </c>
      <c r="L1158" s="14">
        <v>333914.14612083195</v>
      </c>
      <c r="M1158" s="36">
        <f>IF(Output[[#This Row],[Index]]=1,Output[[#This Row],[Droit Utilisation]],P1157)</f>
        <v>47464.469247125046</v>
      </c>
      <c r="N1158" s="15">
        <f>Output[[#This Row],[Capital Debut Period]]*Output[[#This Row],[Tx_interet_M]]</f>
        <v>118.66117311781261</v>
      </c>
      <c r="O1158" s="15">
        <f>Output[[#This Row],[Mensualité initial]]-Output[[#This Row],[Interet]]</f>
        <v>5881.3388268821873</v>
      </c>
      <c r="P1158" s="15">
        <f>Output[[#This Row],[Capital Debut Period]]-Output[[#This Row],[Paiement Principal]]</f>
        <v>41583.130420242858</v>
      </c>
      <c r="Q1158" s="15">
        <f>Output[[#This Row],[Droit Utilisation]]/Output[[#This Row],[Duree_Mois]]</f>
        <v>5565.2357686805326</v>
      </c>
    </row>
    <row r="1159" spans="1:17" x14ac:dyDescent="0.25">
      <c r="A1159" s="11" t="s">
        <v>19</v>
      </c>
      <c r="B1159" s="12">
        <v>43831</v>
      </c>
      <c r="C1159">
        <v>6000</v>
      </c>
      <c r="D1159">
        <v>5</v>
      </c>
      <c r="E1159">
        <v>0.03</v>
      </c>
      <c r="F1159">
        <v>60</v>
      </c>
      <c r="G1159" s="13">
        <v>45473</v>
      </c>
      <c r="H1159">
        <v>1158</v>
      </c>
      <c r="I1159">
        <v>54</v>
      </c>
      <c r="J1159">
        <v>2.5000000000000001E-3</v>
      </c>
      <c r="K1159" s="14">
        <v>5243.1787102495018</v>
      </c>
      <c r="L1159" s="14">
        <v>333914.14612083195</v>
      </c>
      <c r="M1159" s="36">
        <f>IF(Output[[#This Row],[Index]]=1,Output[[#This Row],[Droit Utilisation]],P1158)</f>
        <v>41583.130420242858</v>
      </c>
      <c r="N1159" s="15">
        <f>Output[[#This Row],[Capital Debut Period]]*Output[[#This Row],[Tx_interet_M]]</f>
        <v>103.95782605060715</v>
      </c>
      <c r="O1159" s="15">
        <f>Output[[#This Row],[Mensualité initial]]-Output[[#This Row],[Interet]]</f>
        <v>5896.0421739493931</v>
      </c>
      <c r="P1159" s="15">
        <f>Output[[#This Row],[Capital Debut Period]]-Output[[#This Row],[Paiement Principal]]</f>
        <v>35687.088246293468</v>
      </c>
      <c r="Q1159" s="15">
        <f>Output[[#This Row],[Droit Utilisation]]/Output[[#This Row],[Duree_Mois]]</f>
        <v>5565.2357686805326</v>
      </c>
    </row>
    <row r="1160" spans="1:17" x14ac:dyDescent="0.25">
      <c r="A1160" s="11" t="s">
        <v>19</v>
      </c>
      <c r="B1160" s="12">
        <v>43831</v>
      </c>
      <c r="C1160">
        <v>6000</v>
      </c>
      <c r="D1160">
        <v>5</v>
      </c>
      <c r="E1160">
        <v>0.03</v>
      </c>
      <c r="F1160">
        <v>60</v>
      </c>
      <c r="G1160" s="13">
        <v>45504</v>
      </c>
      <c r="H1160">
        <v>1159</v>
      </c>
      <c r="I1160">
        <v>55</v>
      </c>
      <c r="J1160">
        <v>2.5000000000000001E-3</v>
      </c>
      <c r="K1160" s="14">
        <v>5230.1034516204509</v>
      </c>
      <c r="L1160" s="14">
        <v>333914.14612083195</v>
      </c>
      <c r="M1160" s="36">
        <f>IF(Output[[#This Row],[Index]]=1,Output[[#This Row],[Droit Utilisation]],P1159)</f>
        <v>35687.088246293468</v>
      </c>
      <c r="N1160" s="15">
        <f>Output[[#This Row],[Capital Debut Period]]*Output[[#This Row],[Tx_interet_M]]</f>
        <v>89.217720615733668</v>
      </c>
      <c r="O1160" s="15">
        <f>Output[[#This Row],[Mensualité initial]]-Output[[#This Row],[Interet]]</f>
        <v>5910.7822793842661</v>
      </c>
      <c r="P1160" s="15">
        <f>Output[[#This Row],[Capital Debut Period]]-Output[[#This Row],[Paiement Principal]]</f>
        <v>29776.305966909204</v>
      </c>
      <c r="Q1160" s="15">
        <f>Output[[#This Row],[Droit Utilisation]]/Output[[#This Row],[Duree_Mois]]</f>
        <v>5565.2357686805326</v>
      </c>
    </row>
    <row r="1161" spans="1:17" x14ac:dyDescent="0.25">
      <c r="A1161" s="11" t="s">
        <v>19</v>
      </c>
      <c r="B1161" s="12">
        <v>43831</v>
      </c>
      <c r="C1161">
        <v>6000</v>
      </c>
      <c r="D1161">
        <v>5</v>
      </c>
      <c r="E1161">
        <v>0.03</v>
      </c>
      <c r="F1161">
        <v>60</v>
      </c>
      <c r="G1161" s="13">
        <v>45535</v>
      </c>
      <c r="H1161">
        <v>1160</v>
      </c>
      <c r="I1161">
        <v>56</v>
      </c>
      <c r="J1161">
        <v>2.5000000000000001E-3</v>
      </c>
      <c r="K1161" s="14">
        <v>5217.0607996213976</v>
      </c>
      <c r="L1161" s="14">
        <v>333914.14612083195</v>
      </c>
      <c r="M1161" s="36">
        <f>IF(Output[[#This Row],[Index]]=1,Output[[#This Row],[Droit Utilisation]],P1160)</f>
        <v>29776.305966909204</v>
      </c>
      <c r="N1161" s="15">
        <f>Output[[#This Row],[Capital Debut Period]]*Output[[#This Row],[Tx_interet_M]]</f>
        <v>74.440764917273015</v>
      </c>
      <c r="O1161" s="15">
        <f>Output[[#This Row],[Mensualité initial]]-Output[[#This Row],[Interet]]</f>
        <v>5925.5592350827274</v>
      </c>
      <c r="P1161" s="15">
        <f>Output[[#This Row],[Capital Debut Period]]-Output[[#This Row],[Paiement Principal]]</f>
        <v>23850.746731826475</v>
      </c>
      <c r="Q1161" s="15">
        <f>Output[[#This Row],[Droit Utilisation]]/Output[[#This Row],[Duree_Mois]]</f>
        <v>5565.2357686805326</v>
      </c>
    </row>
    <row r="1162" spans="1:17" x14ac:dyDescent="0.25">
      <c r="A1162" s="11" t="s">
        <v>19</v>
      </c>
      <c r="B1162" s="12">
        <v>43831</v>
      </c>
      <c r="C1162">
        <v>6000</v>
      </c>
      <c r="D1162">
        <v>5</v>
      </c>
      <c r="E1162">
        <v>0.03</v>
      </c>
      <c r="F1162">
        <v>60</v>
      </c>
      <c r="G1162" s="13">
        <v>45565</v>
      </c>
      <c r="H1162">
        <v>1161</v>
      </c>
      <c r="I1162">
        <v>57</v>
      </c>
      <c r="J1162">
        <v>2.5000000000000001E-3</v>
      </c>
      <c r="K1162" s="14">
        <v>5204.0506729390509</v>
      </c>
      <c r="L1162" s="14">
        <v>333914.14612083195</v>
      </c>
      <c r="M1162" s="36">
        <f>IF(Output[[#This Row],[Index]]=1,Output[[#This Row],[Droit Utilisation]],P1161)</f>
        <v>23850.746731826475</v>
      </c>
      <c r="N1162" s="15">
        <f>Output[[#This Row],[Capital Debut Period]]*Output[[#This Row],[Tx_interet_M]]</f>
        <v>59.62686682956619</v>
      </c>
      <c r="O1162" s="15">
        <f>Output[[#This Row],[Mensualité initial]]-Output[[#This Row],[Interet]]</f>
        <v>5940.3731331704339</v>
      </c>
      <c r="P1162" s="15">
        <f>Output[[#This Row],[Capital Debut Period]]-Output[[#This Row],[Paiement Principal]]</f>
        <v>17910.373598656042</v>
      </c>
      <c r="Q1162" s="15">
        <f>Output[[#This Row],[Droit Utilisation]]/Output[[#This Row],[Duree_Mois]]</f>
        <v>5565.2357686805326</v>
      </c>
    </row>
    <row r="1163" spans="1:17" x14ac:dyDescent="0.25">
      <c r="A1163" s="11" t="s">
        <v>19</v>
      </c>
      <c r="B1163" s="12">
        <v>43831</v>
      </c>
      <c r="C1163">
        <v>6000</v>
      </c>
      <c r="D1163">
        <v>5</v>
      </c>
      <c r="E1163">
        <v>0.03</v>
      </c>
      <c r="F1163">
        <v>60</v>
      </c>
      <c r="G1163" s="13">
        <v>45596</v>
      </c>
      <c r="H1163">
        <v>1162</v>
      </c>
      <c r="I1163">
        <v>58</v>
      </c>
      <c r="J1163">
        <v>2.5000000000000001E-3</v>
      </c>
      <c r="K1163" s="14">
        <v>5191.0729904628934</v>
      </c>
      <c r="L1163" s="14">
        <v>333914.14612083195</v>
      </c>
      <c r="M1163" s="36">
        <f>IF(Output[[#This Row],[Index]]=1,Output[[#This Row],[Droit Utilisation]],P1162)</f>
        <v>17910.373598656042</v>
      </c>
      <c r="N1163" s="15">
        <f>Output[[#This Row],[Capital Debut Period]]*Output[[#This Row],[Tx_interet_M]]</f>
        <v>44.775933996640106</v>
      </c>
      <c r="O1163" s="15">
        <f>Output[[#This Row],[Mensualité initial]]-Output[[#This Row],[Interet]]</f>
        <v>5955.2240660033603</v>
      </c>
      <c r="P1163" s="15">
        <f>Output[[#This Row],[Capital Debut Period]]-Output[[#This Row],[Paiement Principal]]</f>
        <v>11955.149532652682</v>
      </c>
      <c r="Q1163" s="15">
        <f>Output[[#This Row],[Droit Utilisation]]/Output[[#This Row],[Duree_Mois]]</f>
        <v>5565.2357686805326</v>
      </c>
    </row>
    <row r="1164" spans="1:17" x14ac:dyDescent="0.25">
      <c r="A1164" s="11" t="s">
        <v>19</v>
      </c>
      <c r="B1164" s="12">
        <v>43831</v>
      </c>
      <c r="C1164">
        <v>6000</v>
      </c>
      <c r="D1164">
        <v>5</v>
      </c>
      <c r="E1164">
        <v>0.03</v>
      </c>
      <c r="F1164">
        <v>60</v>
      </c>
      <c r="G1164" s="13">
        <v>45626</v>
      </c>
      <c r="H1164">
        <v>1163</v>
      </c>
      <c r="I1164">
        <v>59</v>
      </c>
      <c r="J1164">
        <v>2.5000000000000001E-3</v>
      </c>
      <c r="K1164" s="14">
        <v>5178.127671284682</v>
      </c>
      <c r="L1164" s="14">
        <v>333914.14612083195</v>
      </c>
      <c r="M1164" s="36">
        <f>IF(Output[[#This Row],[Index]]=1,Output[[#This Row],[Droit Utilisation]],P1163)</f>
        <v>11955.149532652682</v>
      </c>
      <c r="N1164" s="15">
        <f>Output[[#This Row],[Capital Debut Period]]*Output[[#This Row],[Tx_interet_M]]</f>
        <v>29.887873831631705</v>
      </c>
      <c r="O1164" s="15">
        <f>Output[[#This Row],[Mensualité initial]]-Output[[#This Row],[Interet]]</f>
        <v>5970.1121261683684</v>
      </c>
      <c r="P1164" s="15">
        <f>Output[[#This Row],[Capital Debut Period]]-Output[[#This Row],[Paiement Principal]]</f>
        <v>5985.0374064843136</v>
      </c>
      <c r="Q1164" s="15">
        <f>Output[[#This Row],[Droit Utilisation]]/Output[[#This Row],[Duree_Mois]]</f>
        <v>5565.2357686805326</v>
      </c>
    </row>
    <row r="1165" spans="1:17" x14ac:dyDescent="0.25">
      <c r="A1165" s="11" t="s">
        <v>19</v>
      </c>
      <c r="B1165" s="12">
        <v>43831</v>
      </c>
      <c r="C1165">
        <v>6000</v>
      </c>
      <c r="D1165">
        <v>5</v>
      </c>
      <c r="E1165">
        <v>0.03</v>
      </c>
      <c r="F1165">
        <v>60</v>
      </c>
      <c r="G1165" s="13">
        <v>45657</v>
      </c>
      <c r="H1165">
        <v>1164</v>
      </c>
      <c r="I1165">
        <v>60</v>
      </c>
      <c r="J1165">
        <v>2.5000000000000001E-3</v>
      </c>
      <c r="K1165" s="14">
        <v>5165.2146346979371</v>
      </c>
      <c r="L1165" s="14">
        <v>333914.14612083195</v>
      </c>
      <c r="M1165" s="36">
        <f>IF(Output[[#This Row],[Index]]=1,Output[[#This Row],[Droit Utilisation]],P1164)</f>
        <v>5985.0374064843136</v>
      </c>
      <c r="N1165" s="15">
        <f>Output[[#This Row],[Capital Debut Period]]*Output[[#This Row],[Tx_interet_M]]</f>
        <v>14.962593516210784</v>
      </c>
      <c r="O1165" s="15">
        <f>Output[[#This Row],[Mensualité initial]]-Output[[#This Row],[Interet]]</f>
        <v>5985.0374064837888</v>
      </c>
      <c r="P1165" s="15">
        <f>Output[[#This Row],[Capital Debut Period]]-Output[[#This Row],[Paiement Principal]]</f>
        <v>5.2477844292297959E-10</v>
      </c>
      <c r="Q1165" s="15">
        <f>Output[[#This Row],[Droit Utilisation]]/Output[[#This Row],[Duree_Mois]]</f>
        <v>5565.2357686805326</v>
      </c>
    </row>
    <row r="1166" spans="1:17" x14ac:dyDescent="0.25">
      <c r="A1166" s="11" t="s">
        <v>20</v>
      </c>
      <c r="B1166" s="12">
        <v>43831</v>
      </c>
      <c r="C1166">
        <v>6000</v>
      </c>
      <c r="D1166">
        <v>5</v>
      </c>
      <c r="E1166">
        <v>0.03</v>
      </c>
      <c r="F1166">
        <v>60</v>
      </c>
      <c r="G1166" s="13">
        <v>43861</v>
      </c>
      <c r="H1166">
        <v>1165</v>
      </c>
      <c r="I1166">
        <v>1</v>
      </c>
      <c r="J1166">
        <v>2.5000000000000001E-3</v>
      </c>
      <c r="K1166" s="14">
        <v>5985.0374064837906</v>
      </c>
      <c r="L1166" s="14">
        <v>333914.14612083195</v>
      </c>
      <c r="M1166" s="36">
        <f>IF(Output[[#This Row],[Index]]=1,Output[[#This Row],[Droit Utilisation]],P1165)</f>
        <v>333914.14612083195</v>
      </c>
      <c r="N1166" s="15">
        <f>Output[[#This Row],[Capital Debut Period]]*Output[[#This Row],[Tx_interet_M]]</f>
        <v>834.78536530207987</v>
      </c>
      <c r="O1166" s="15">
        <f>Output[[#This Row],[Mensualité initial]]-Output[[#This Row],[Interet]]</f>
        <v>5165.2146346979198</v>
      </c>
      <c r="P1166" s="15">
        <f>Output[[#This Row],[Capital Debut Period]]-Output[[#This Row],[Paiement Principal]]</f>
        <v>328748.93148613401</v>
      </c>
      <c r="Q1166" s="15">
        <f>Output[[#This Row],[Droit Utilisation]]/Output[[#This Row],[Duree_Mois]]</f>
        <v>5565.2357686805326</v>
      </c>
    </row>
    <row r="1167" spans="1:17" x14ac:dyDescent="0.25">
      <c r="A1167" s="11" t="s">
        <v>20</v>
      </c>
      <c r="B1167" s="12">
        <v>43831</v>
      </c>
      <c r="C1167">
        <v>6000</v>
      </c>
      <c r="D1167">
        <v>5</v>
      </c>
      <c r="E1167">
        <v>0.03</v>
      </c>
      <c r="F1167">
        <v>60</v>
      </c>
      <c r="G1167" s="13">
        <v>43890</v>
      </c>
      <c r="H1167">
        <v>1166</v>
      </c>
      <c r="I1167">
        <v>2</v>
      </c>
      <c r="J1167">
        <v>2.5000000000000001E-3</v>
      </c>
      <c r="K1167" s="14">
        <v>5970.1121261683702</v>
      </c>
      <c r="L1167" s="14">
        <v>333914.14612083195</v>
      </c>
      <c r="M1167" s="36">
        <f>IF(Output[[#This Row],[Index]]=1,Output[[#This Row],[Droit Utilisation]],P1166)</f>
        <v>328748.93148613401</v>
      </c>
      <c r="N1167" s="15">
        <f>Output[[#This Row],[Capital Debut Period]]*Output[[#This Row],[Tx_interet_M]]</f>
        <v>821.87232871533502</v>
      </c>
      <c r="O1167" s="15">
        <f>Output[[#This Row],[Mensualité initial]]-Output[[#This Row],[Interet]]</f>
        <v>5178.1276712846648</v>
      </c>
      <c r="P1167" s="15">
        <f>Output[[#This Row],[Capital Debut Period]]-Output[[#This Row],[Paiement Principal]]</f>
        <v>323570.80381484935</v>
      </c>
      <c r="Q1167" s="15">
        <f>Output[[#This Row],[Droit Utilisation]]/Output[[#This Row],[Duree_Mois]]</f>
        <v>5565.2357686805326</v>
      </c>
    </row>
    <row r="1168" spans="1:17" x14ac:dyDescent="0.25">
      <c r="A1168" s="11" t="s">
        <v>20</v>
      </c>
      <c r="B1168" s="12">
        <v>43831</v>
      </c>
      <c r="C1168">
        <v>6000</v>
      </c>
      <c r="D1168">
        <v>5</v>
      </c>
      <c r="E1168">
        <v>0.03</v>
      </c>
      <c r="F1168">
        <v>60</v>
      </c>
      <c r="G1168" s="13">
        <v>43921</v>
      </c>
      <c r="H1168">
        <v>1167</v>
      </c>
      <c r="I1168">
        <v>3</v>
      </c>
      <c r="J1168">
        <v>2.5000000000000001E-3</v>
      </c>
      <c r="K1168" s="14">
        <v>5955.2240660033622</v>
      </c>
      <c r="L1168" s="14">
        <v>333914.14612083195</v>
      </c>
      <c r="M1168" s="36">
        <f>IF(Output[[#This Row],[Index]]=1,Output[[#This Row],[Droit Utilisation]],P1167)</f>
        <v>323570.80381484935</v>
      </c>
      <c r="N1168" s="15">
        <f>Output[[#This Row],[Capital Debut Period]]*Output[[#This Row],[Tx_interet_M]]</f>
        <v>808.92700953712335</v>
      </c>
      <c r="O1168" s="15">
        <f>Output[[#This Row],[Mensualité initial]]-Output[[#This Row],[Interet]]</f>
        <v>5191.072990462877</v>
      </c>
      <c r="P1168" s="15">
        <f>Output[[#This Row],[Capital Debut Period]]-Output[[#This Row],[Paiement Principal]]</f>
        <v>318379.73082438647</v>
      </c>
      <c r="Q1168" s="15">
        <f>Output[[#This Row],[Droit Utilisation]]/Output[[#This Row],[Duree_Mois]]</f>
        <v>5565.2357686805326</v>
      </c>
    </row>
    <row r="1169" spans="1:17" x14ac:dyDescent="0.25">
      <c r="A1169" s="11" t="s">
        <v>20</v>
      </c>
      <c r="B1169" s="12">
        <v>43831</v>
      </c>
      <c r="C1169">
        <v>6000</v>
      </c>
      <c r="D1169">
        <v>5</v>
      </c>
      <c r="E1169">
        <v>0.03</v>
      </c>
      <c r="F1169">
        <v>60</v>
      </c>
      <c r="G1169" s="13">
        <v>43951</v>
      </c>
      <c r="H1169">
        <v>1168</v>
      </c>
      <c r="I1169">
        <v>4</v>
      </c>
      <c r="J1169">
        <v>2.5000000000000001E-3</v>
      </c>
      <c r="K1169" s="14">
        <v>5940.3731331704357</v>
      </c>
      <c r="L1169" s="14">
        <v>333914.14612083195</v>
      </c>
      <c r="M1169" s="36">
        <f>IF(Output[[#This Row],[Index]]=1,Output[[#This Row],[Droit Utilisation]],P1168)</f>
        <v>318379.73082438647</v>
      </c>
      <c r="N1169" s="15">
        <f>Output[[#This Row],[Capital Debut Period]]*Output[[#This Row],[Tx_interet_M]]</f>
        <v>795.9493270609662</v>
      </c>
      <c r="O1169" s="15">
        <f>Output[[#This Row],[Mensualité initial]]-Output[[#This Row],[Interet]]</f>
        <v>5204.0506729390336</v>
      </c>
      <c r="P1169" s="15">
        <f>Output[[#This Row],[Capital Debut Period]]-Output[[#This Row],[Paiement Principal]]</f>
        <v>313175.68015144742</v>
      </c>
      <c r="Q1169" s="15">
        <f>Output[[#This Row],[Droit Utilisation]]/Output[[#This Row],[Duree_Mois]]</f>
        <v>5565.2357686805326</v>
      </c>
    </row>
    <row r="1170" spans="1:17" x14ac:dyDescent="0.25">
      <c r="A1170" s="11" t="s">
        <v>20</v>
      </c>
      <c r="B1170" s="12">
        <v>43831</v>
      </c>
      <c r="C1170">
        <v>6000</v>
      </c>
      <c r="D1170">
        <v>5</v>
      </c>
      <c r="E1170">
        <v>0.03</v>
      </c>
      <c r="F1170">
        <v>60</v>
      </c>
      <c r="G1170" s="13">
        <v>43982</v>
      </c>
      <c r="H1170">
        <v>1169</v>
      </c>
      <c r="I1170">
        <v>5</v>
      </c>
      <c r="J1170">
        <v>2.5000000000000001E-3</v>
      </c>
      <c r="K1170" s="14">
        <v>5925.5592350827301</v>
      </c>
      <c r="L1170" s="14">
        <v>333914.14612083195</v>
      </c>
      <c r="M1170" s="36">
        <f>IF(Output[[#This Row],[Index]]=1,Output[[#This Row],[Droit Utilisation]],P1169)</f>
        <v>313175.68015144742</v>
      </c>
      <c r="N1170" s="15">
        <f>Output[[#This Row],[Capital Debut Period]]*Output[[#This Row],[Tx_interet_M]]</f>
        <v>782.93920037861858</v>
      </c>
      <c r="O1170" s="15">
        <f>Output[[#This Row],[Mensualité initial]]-Output[[#This Row],[Interet]]</f>
        <v>5217.0607996213812</v>
      </c>
      <c r="P1170" s="15">
        <f>Output[[#This Row],[Capital Debut Period]]-Output[[#This Row],[Paiement Principal]]</f>
        <v>307958.61935182603</v>
      </c>
      <c r="Q1170" s="15">
        <f>Output[[#This Row],[Droit Utilisation]]/Output[[#This Row],[Duree_Mois]]</f>
        <v>5565.2357686805326</v>
      </c>
    </row>
    <row r="1171" spans="1:17" x14ac:dyDescent="0.25">
      <c r="A1171" s="11" t="s">
        <v>20</v>
      </c>
      <c r="B1171" s="12">
        <v>43831</v>
      </c>
      <c r="C1171">
        <v>6000</v>
      </c>
      <c r="D1171">
        <v>5</v>
      </c>
      <c r="E1171">
        <v>0.03</v>
      </c>
      <c r="F1171">
        <v>60</v>
      </c>
      <c r="G1171" s="13">
        <v>44012</v>
      </c>
      <c r="H1171">
        <v>1170</v>
      </c>
      <c r="I1171">
        <v>6</v>
      </c>
      <c r="J1171">
        <v>2.5000000000000001E-3</v>
      </c>
      <c r="K1171" s="14">
        <v>5910.7822793842697</v>
      </c>
      <c r="L1171" s="14">
        <v>333914.14612083195</v>
      </c>
      <c r="M1171" s="36">
        <f>IF(Output[[#This Row],[Index]]=1,Output[[#This Row],[Droit Utilisation]],P1170)</f>
        <v>307958.61935182603</v>
      </c>
      <c r="N1171" s="15">
        <f>Output[[#This Row],[Capital Debut Period]]*Output[[#This Row],[Tx_interet_M]]</f>
        <v>769.89654837956505</v>
      </c>
      <c r="O1171" s="15">
        <f>Output[[#This Row],[Mensualité initial]]-Output[[#This Row],[Interet]]</f>
        <v>5230.1034516204345</v>
      </c>
      <c r="P1171" s="15">
        <f>Output[[#This Row],[Capital Debut Period]]-Output[[#This Row],[Paiement Principal]]</f>
        <v>302728.51590020559</v>
      </c>
      <c r="Q1171" s="15">
        <f>Output[[#This Row],[Droit Utilisation]]/Output[[#This Row],[Duree_Mois]]</f>
        <v>5565.2357686805326</v>
      </c>
    </row>
    <row r="1172" spans="1:17" x14ac:dyDescent="0.25">
      <c r="A1172" s="11" t="s">
        <v>20</v>
      </c>
      <c r="B1172" s="12">
        <v>43831</v>
      </c>
      <c r="C1172">
        <v>6000</v>
      </c>
      <c r="D1172">
        <v>5</v>
      </c>
      <c r="E1172">
        <v>0.03</v>
      </c>
      <c r="F1172">
        <v>60</v>
      </c>
      <c r="G1172" s="13">
        <v>44043</v>
      </c>
      <c r="H1172">
        <v>1171</v>
      </c>
      <c r="I1172">
        <v>7</v>
      </c>
      <c r="J1172">
        <v>2.5000000000000001E-3</v>
      </c>
      <c r="K1172" s="14">
        <v>5896.0421739493959</v>
      </c>
      <c r="L1172" s="14">
        <v>333914.14612083195</v>
      </c>
      <c r="M1172" s="36">
        <f>IF(Output[[#This Row],[Index]]=1,Output[[#This Row],[Droit Utilisation]],P1171)</f>
        <v>302728.51590020559</v>
      </c>
      <c r="N1172" s="15">
        <f>Output[[#This Row],[Capital Debut Period]]*Output[[#This Row],[Tx_interet_M]]</f>
        <v>756.82128975051398</v>
      </c>
      <c r="O1172" s="15">
        <f>Output[[#This Row],[Mensualité initial]]-Output[[#This Row],[Interet]]</f>
        <v>5243.1787102494864</v>
      </c>
      <c r="P1172" s="15">
        <f>Output[[#This Row],[Capital Debut Period]]-Output[[#This Row],[Paiement Principal]]</f>
        <v>297485.3371899561</v>
      </c>
      <c r="Q1172" s="15">
        <f>Output[[#This Row],[Droit Utilisation]]/Output[[#This Row],[Duree_Mois]]</f>
        <v>5565.2357686805326</v>
      </c>
    </row>
    <row r="1173" spans="1:17" x14ac:dyDescent="0.25">
      <c r="A1173" s="11" t="s">
        <v>20</v>
      </c>
      <c r="B1173" s="12">
        <v>43831</v>
      </c>
      <c r="C1173">
        <v>6000</v>
      </c>
      <c r="D1173">
        <v>5</v>
      </c>
      <c r="E1173">
        <v>0.03</v>
      </c>
      <c r="F1173">
        <v>60</v>
      </c>
      <c r="G1173" s="13">
        <v>44074</v>
      </c>
      <c r="H1173">
        <v>1172</v>
      </c>
      <c r="I1173">
        <v>8</v>
      </c>
      <c r="J1173">
        <v>2.5000000000000001E-3</v>
      </c>
      <c r="K1173" s="14">
        <v>5881.3388268821909</v>
      </c>
      <c r="L1173" s="14">
        <v>333914.14612083195</v>
      </c>
      <c r="M1173" s="36">
        <f>IF(Output[[#This Row],[Index]]=1,Output[[#This Row],[Droit Utilisation]],P1172)</f>
        <v>297485.3371899561</v>
      </c>
      <c r="N1173" s="15">
        <f>Output[[#This Row],[Capital Debut Period]]*Output[[#This Row],[Tx_interet_M]]</f>
        <v>743.71334297489022</v>
      </c>
      <c r="O1173" s="15">
        <f>Output[[#This Row],[Mensualité initial]]-Output[[#This Row],[Interet]]</f>
        <v>5256.2866570251099</v>
      </c>
      <c r="P1173" s="15">
        <f>Output[[#This Row],[Capital Debut Period]]-Output[[#This Row],[Paiement Principal]]</f>
        <v>292229.050532931</v>
      </c>
      <c r="Q1173" s="15">
        <f>Output[[#This Row],[Droit Utilisation]]/Output[[#This Row],[Duree_Mois]]</f>
        <v>5565.2357686805326</v>
      </c>
    </row>
    <row r="1174" spans="1:17" x14ac:dyDescent="0.25">
      <c r="A1174" s="11" t="s">
        <v>20</v>
      </c>
      <c r="B1174" s="12">
        <v>43831</v>
      </c>
      <c r="C1174">
        <v>6000</v>
      </c>
      <c r="D1174">
        <v>5</v>
      </c>
      <c r="E1174">
        <v>0.03</v>
      </c>
      <c r="F1174">
        <v>60</v>
      </c>
      <c r="G1174" s="13">
        <v>44104</v>
      </c>
      <c r="H1174">
        <v>1173</v>
      </c>
      <c r="I1174">
        <v>9</v>
      </c>
      <c r="J1174">
        <v>2.5000000000000001E-3</v>
      </c>
      <c r="K1174" s="14">
        <v>5866.6721465159017</v>
      </c>
      <c r="L1174" s="14">
        <v>333914.14612083195</v>
      </c>
      <c r="M1174" s="36">
        <f>IF(Output[[#This Row],[Index]]=1,Output[[#This Row],[Droit Utilisation]],P1173)</f>
        <v>292229.050532931</v>
      </c>
      <c r="N1174" s="15">
        <f>Output[[#This Row],[Capital Debut Period]]*Output[[#This Row],[Tx_interet_M]]</f>
        <v>730.57262633232756</v>
      </c>
      <c r="O1174" s="15">
        <f>Output[[#This Row],[Mensualité initial]]-Output[[#This Row],[Interet]]</f>
        <v>5269.4273736676723</v>
      </c>
      <c r="P1174" s="15">
        <f>Output[[#This Row],[Capital Debut Period]]-Output[[#This Row],[Paiement Principal]]</f>
        <v>286959.62315926334</v>
      </c>
      <c r="Q1174" s="15">
        <f>Output[[#This Row],[Droit Utilisation]]/Output[[#This Row],[Duree_Mois]]</f>
        <v>5565.2357686805326</v>
      </c>
    </row>
    <row r="1175" spans="1:17" x14ac:dyDescent="0.25">
      <c r="A1175" s="11" t="s">
        <v>20</v>
      </c>
      <c r="B1175" s="12">
        <v>43831</v>
      </c>
      <c r="C1175">
        <v>6000</v>
      </c>
      <c r="D1175">
        <v>5</v>
      </c>
      <c r="E1175">
        <v>0.03</v>
      </c>
      <c r="F1175">
        <v>60</v>
      </c>
      <c r="G1175" s="13">
        <v>44135</v>
      </c>
      <c r="H1175">
        <v>1174</v>
      </c>
      <c r="I1175">
        <v>10</v>
      </c>
      <c r="J1175">
        <v>2.5000000000000001E-3</v>
      </c>
      <c r="K1175" s="14">
        <v>5852.042041412371</v>
      </c>
      <c r="L1175" s="14">
        <v>333914.14612083195</v>
      </c>
      <c r="M1175" s="36">
        <f>IF(Output[[#This Row],[Index]]=1,Output[[#This Row],[Droit Utilisation]],P1174)</f>
        <v>286959.62315926334</v>
      </c>
      <c r="N1175" s="15">
        <f>Output[[#This Row],[Capital Debut Period]]*Output[[#This Row],[Tx_interet_M]]</f>
        <v>717.39905789815839</v>
      </c>
      <c r="O1175" s="15">
        <f>Output[[#This Row],[Mensualité initial]]-Output[[#This Row],[Interet]]</f>
        <v>5282.6009421018416</v>
      </c>
      <c r="P1175" s="15">
        <f>Output[[#This Row],[Capital Debut Period]]-Output[[#This Row],[Paiement Principal]]</f>
        <v>281677.02221716149</v>
      </c>
      <c r="Q1175" s="15">
        <f>Output[[#This Row],[Droit Utilisation]]/Output[[#This Row],[Duree_Mois]]</f>
        <v>5565.2357686805326</v>
      </c>
    </row>
    <row r="1176" spans="1:17" x14ac:dyDescent="0.25">
      <c r="A1176" s="11" t="s">
        <v>20</v>
      </c>
      <c r="B1176" s="12">
        <v>43831</v>
      </c>
      <c r="C1176">
        <v>6000</v>
      </c>
      <c r="D1176">
        <v>5</v>
      </c>
      <c r="E1176">
        <v>0.03</v>
      </c>
      <c r="F1176">
        <v>60</v>
      </c>
      <c r="G1176" s="13">
        <v>44165</v>
      </c>
      <c r="H1176">
        <v>1175</v>
      </c>
      <c r="I1176">
        <v>11</v>
      </c>
      <c r="J1176">
        <v>2.5000000000000001E-3</v>
      </c>
      <c r="K1176" s="14">
        <v>5837.4484203614675</v>
      </c>
      <c r="L1176" s="14">
        <v>333914.14612083195</v>
      </c>
      <c r="M1176" s="36">
        <f>IF(Output[[#This Row],[Index]]=1,Output[[#This Row],[Droit Utilisation]],P1175)</f>
        <v>281677.02221716149</v>
      </c>
      <c r="N1176" s="15">
        <f>Output[[#This Row],[Capital Debut Period]]*Output[[#This Row],[Tx_interet_M]]</f>
        <v>704.19255554290373</v>
      </c>
      <c r="O1176" s="15">
        <f>Output[[#This Row],[Mensualité initial]]-Output[[#This Row],[Interet]]</f>
        <v>5295.8074444570966</v>
      </c>
      <c r="P1176" s="15">
        <f>Output[[#This Row],[Capital Debut Period]]-Output[[#This Row],[Paiement Principal]]</f>
        <v>276381.21477270441</v>
      </c>
      <c r="Q1176" s="15">
        <f>Output[[#This Row],[Droit Utilisation]]/Output[[#This Row],[Duree_Mois]]</f>
        <v>5565.2357686805326</v>
      </c>
    </row>
    <row r="1177" spans="1:17" x14ac:dyDescent="0.25">
      <c r="A1177" s="11" t="s">
        <v>20</v>
      </c>
      <c r="B1177" s="12">
        <v>43831</v>
      </c>
      <c r="C1177">
        <v>6000</v>
      </c>
      <c r="D1177">
        <v>5</v>
      </c>
      <c r="E1177">
        <v>0.03</v>
      </c>
      <c r="F1177">
        <v>60</v>
      </c>
      <c r="G1177" s="13">
        <v>44196</v>
      </c>
      <c r="H1177">
        <v>1176</v>
      </c>
      <c r="I1177">
        <v>12</v>
      </c>
      <c r="J1177">
        <v>2.5000000000000001E-3</v>
      </c>
      <c r="K1177" s="14">
        <v>5822.8911923805163</v>
      </c>
      <c r="L1177" s="14">
        <v>333914.14612083195</v>
      </c>
      <c r="M1177" s="36">
        <f>IF(Output[[#This Row],[Index]]=1,Output[[#This Row],[Droit Utilisation]],P1176)</f>
        <v>276381.21477270441</v>
      </c>
      <c r="N1177" s="15">
        <f>Output[[#This Row],[Capital Debut Period]]*Output[[#This Row],[Tx_interet_M]]</f>
        <v>690.95303693176106</v>
      </c>
      <c r="O1177" s="15">
        <f>Output[[#This Row],[Mensualité initial]]-Output[[#This Row],[Interet]]</f>
        <v>5309.0469630682392</v>
      </c>
      <c r="P1177" s="15">
        <f>Output[[#This Row],[Capital Debut Period]]-Output[[#This Row],[Paiement Principal]]</f>
        <v>271072.16780963616</v>
      </c>
      <c r="Q1177" s="15">
        <f>Output[[#This Row],[Droit Utilisation]]/Output[[#This Row],[Duree_Mois]]</f>
        <v>5565.2357686805326</v>
      </c>
    </row>
    <row r="1178" spans="1:17" x14ac:dyDescent="0.25">
      <c r="A1178" s="11" t="s">
        <v>20</v>
      </c>
      <c r="B1178" s="12">
        <v>43831</v>
      </c>
      <c r="C1178">
        <v>6000</v>
      </c>
      <c r="D1178">
        <v>5</v>
      </c>
      <c r="E1178">
        <v>0.03</v>
      </c>
      <c r="F1178">
        <v>60</v>
      </c>
      <c r="G1178" s="13">
        <v>44227</v>
      </c>
      <c r="H1178">
        <v>1177</v>
      </c>
      <c r="I1178">
        <v>13</v>
      </c>
      <c r="J1178">
        <v>2.5000000000000001E-3</v>
      </c>
      <c r="K1178" s="14">
        <v>5808.3702667137322</v>
      </c>
      <c r="L1178" s="14">
        <v>333914.14612083195</v>
      </c>
      <c r="M1178" s="36">
        <f>IF(Output[[#This Row],[Index]]=1,Output[[#This Row],[Droit Utilisation]],P1177)</f>
        <v>271072.16780963616</v>
      </c>
      <c r="N1178" s="15">
        <f>Output[[#This Row],[Capital Debut Period]]*Output[[#This Row],[Tx_interet_M]]</f>
        <v>677.68041952409044</v>
      </c>
      <c r="O1178" s="15">
        <f>Output[[#This Row],[Mensualité initial]]-Output[[#This Row],[Interet]]</f>
        <v>5322.3195804759098</v>
      </c>
      <c r="P1178" s="15">
        <f>Output[[#This Row],[Capital Debut Period]]-Output[[#This Row],[Paiement Principal]]</f>
        <v>265749.84822916024</v>
      </c>
      <c r="Q1178" s="15">
        <f>Output[[#This Row],[Droit Utilisation]]/Output[[#This Row],[Duree_Mois]]</f>
        <v>5565.2357686805326</v>
      </c>
    </row>
    <row r="1179" spans="1:17" x14ac:dyDescent="0.25">
      <c r="A1179" s="11" t="s">
        <v>20</v>
      </c>
      <c r="B1179" s="12">
        <v>43831</v>
      </c>
      <c r="C1179">
        <v>6000</v>
      </c>
      <c r="D1179">
        <v>5</v>
      </c>
      <c r="E1179">
        <v>0.03</v>
      </c>
      <c r="F1179">
        <v>60</v>
      </c>
      <c r="G1179" s="13">
        <v>44255</v>
      </c>
      <c r="H1179">
        <v>1178</v>
      </c>
      <c r="I1179">
        <v>14</v>
      </c>
      <c r="J1179">
        <v>2.5000000000000001E-3</v>
      </c>
      <c r="K1179" s="14">
        <v>5793.8855528316535</v>
      </c>
      <c r="L1179" s="14">
        <v>333914.14612083195</v>
      </c>
      <c r="M1179" s="36">
        <f>IF(Output[[#This Row],[Index]]=1,Output[[#This Row],[Droit Utilisation]],P1178)</f>
        <v>265749.84822916024</v>
      </c>
      <c r="N1179" s="15">
        <f>Output[[#This Row],[Capital Debut Period]]*Output[[#This Row],[Tx_interet_M]]</f>
        <v>664.37462057290065</v>
      </c>
      <c r="O1179" s="15">
        <f>Output[[#This Row],[Mensualité initial]]-Output[[#This Row],[Interet]]</f>
        <v>5335.6253794270997</v>
      </c>
      <c r="P1179" s="15">
        <f>Output[[#This Row],[Capital Debut Period]]-Output[[#This Row],[Paiement Principal]]</f>
        <v>260414.22284973314</v>
      </c>
      <c r="Q1179" s="15">
        <f>Output[[#This Row],[Droit Utilisation]]/Output[[#This Row],[Duree_Mois]]</f>
        <v>5565.2357686805326</v>
      </c>
    </row>
    <row r="1180" spans="1:17" x14ac:dyDescent="0.25">
      <c r="A1180" s="11" t="s">
        <v>20</v>
      </c>
      <c r="B1180" s="12">
        <v>43831</v>
      </c>
      <c r="C1180">
        <v>6000</v>
      </c>
      <c r="D1180">
        <v>5</v>
      </c>
      <c r="E1180">
        <v>0.03</v>
      </c>
      <c r="F1180">
        <v>60</v>
      </c>
      <c r="G1180" s="13">
        <v>44286</v>
      </c>
      <c r="H1180">
        <v>1179</v>
      </c>
      <c r="I1180">
        <v>15</v>
      </c>
      <c r="J1180">
        <v>2.5000000000000001E-3</v>
      </c>
      <c r="K1180" s="14">
        <v>5779.4369604305775</v>
      </c>
      <c r="L1180" s="14">
        <v>333914.14612083195</v>
      </c>
      <c r="M1180" s="36">
        <f>IF(Output[[#This Row],[Index]]=1,Output[[#This Row],[Droit Utilisation]],P1179)</f>
        <v>260414.22284973314</v>
      </c>
      <c r="N1180" s="15">
        <f>Output[[#This Row],[Capital Debut Period]]*Output[[#This Row],[Tx_interet_M]]</f>
        <v>651.03555712433285</v>
      </c>
      <c r="O1180" s="15">
        <f>Output[[#This Row],[Mensualité initial]]-Output[[#This Row],[Interet]]</f>
        <v>5348.9644428756674</v>
      </c>
      <c r="P1180" s="15">
        <f>Output[[#This Row],[Capital Debut Period]]-Output[[#This Row],[Paiement Principal]]</f>
        <v>255065.25840685747</v>
      </c>
      <c r="Q1180" s="15">
        <f>Output[[#This Row],[Droit Utilisation]]/Output[[#This Row],[Duree_Mois]]</f>
        <v>5565.2357686805326</v>
      </c>
    </row>
    <row r="1181" spans="1:17" x14ac:dyDescent="0.25">
      <c r="A1181" s="11" t="s">
        <v>20</v>
      </c>
      <c r="B1181" s="12">
        <v>43831</v>
      </c>
      <c r="C1181">
        <v>6000</v>
      </c>
      <c r="D1181">
        <v>5</v>
      </c>
      <c r="E1181">
        <v>0.03</v>
      </c>
      <c r="F1181">
        <v>60</v>
      </c>
      <c r="G1181" s="13">
        <v>44316</v>
      </c>
      <c r="H1181">
        <v>1180</v>
      </c>
      <c r="I1181">
        <v>16</v>
      </c>
      <c r="J1181">
        <v>2.5000000000000001E-3</v>
      </c>
      <c r="K1181" s="14">
        <v>5765.0243994319981</v>
      </c>
      <c r="L1181" s="14">
        <v>333914.14612083195</v>
      </c>
      <c r="M1181" s="36">
        <f>IF(Output[[#This Row],[Index]]=1,Output[[#This Row],[Droit Utilisation]],P1180)</f>
        <v>255065.25840685747</v>
      </c>
      <c r="N1181" s="15">
        <f>Output[[#This Row],[Capital Debut Period]]*Output[[#This Row],[Tx_interet_M]]</f>
        <v>637.66314601714373</v>
      </c>
      <c r="O1181" s="15">
        <f>Output[[#This Row],[Mensualité initial]]-Output[[#This Row],[Interet]]</f>
        <v>5362.3368539828562</v>
      </c>
      <c r="P1181" s="15">
        <f>Output[[#This Row],[Capital Debut Period]]-Output[[#This Row],[Paiement Principal]]</f>
        <v>249702.92155287461</v>
      </c>
      <c r="Q1181" s="15">
        <f>Output[[#This Row],[Droit Utilisation]]/Output[[#This Row],[Duree_Mois]]</f>
        <v>5565.2357686805326</v>
      </c>
    </row>
    <row r="1182" spans="1:17" x14ac:dyDescent="0.25">
      <c r="A1182" s="11" t="s">
        <v>20</v>
      </c>
      <c r="B1182" s="12">
        <v>43831</v>
      </c>
      <c r="C1182">
        <v>6000</v>
      </c>
      <c r="D1182">
        <v>5</v>
      </c>
      <c r="E1182">
        <v>0.03</v>
      </c>
      <c r="F1182">
        <v>60</v>
      </c>
      <c r="G1182" s="13">
        <v>44347</v>
      </c>
      <c r="H1182">
        <v>1181</v>
      </c>
      <c r="I1182">
        <v>17</v>
      </c>
      <c r="J1182">
        <v>2.5000000000000001E-3</v>
      </c>
      <c r="K1182" s="14">
        <v>5750.6477799820432</v>
      </c>
      <c r="L1182" s="14">
        <v>333914.14612083195</v>
      </c>
      <c r="M1182" s="36">
        <f>IF(Output[[#This Row],[Index]]=1,Output[[#This Row],[Droit Utilisation]],P1181)</f>
        <v>249702.92155287461</v>
      </c>
      <c r="N1182" s="15">
        <f>Output[[#This Row],[Capital Debut Period]]*Output[[#This Row],[Tx_interet_M]]</f>
        <v>624.25730388218653</v>
      </c>
      <c r="O1182" s="15">
        <f>Output[[#This Row],[Mensualité initial]]-Output[[#This Row],[Interet]]</f>
        <v>5375.7426961178135</v>
      </c>
      <c r="P1182" s="15">
        <f>Output[[#This Row],[Capital Debut Period]]-Output[[#This Row],[Paiement Principal]]</f>
        <v>244327.1788567568</v>
      </c>
      <c r="Q1182" s="15">
        <f>Output[[#This Row],[Droit Utilisation]]/Output[[#This Row],[Duree_Mois]]</f>
        <v>5565.2357686805326</v>
      </c>
    </row>
    <row r="1183" spans="1:17" x14ac:dyDescent="0.25">
      <c r="A1183" s="11" t="s">
        <v>20</v>
      </c>
      <c r="B1183" s="12">
        <v>43831</v>
      </c>
      <c r="C1183">
        <v>6000</v>
      </c>
      <c r="D1183">
        <v>5</v>
      </c>
      <c r="E1183">
        <v>0.03</v>
      </c>
      <c r="F1183">
        <v>60</v>
      </c>
      <c r="G1183" s="13">
        <v>44377</v>
      </c>
      <c r="H1183">
        <v>1182</v>
      </c>
      <c r="I1183">
        <v>18</v>
      </c>
      <c r="J1183">
        <v>2.5000000000000001E-3</v>
      </c>
      <c r="K1183" s="14">
        <v>5736.3070124509168</v>
      </c>
      <c r="L1183" s="14">
        <v>333914.14612083195</v>
      </c>
      <c r="M1183" s="36">
        <f>IF(Output[[#This Row],[Index]]=1,Output[[#This Row],[Droit Utilisation]],P1182)</f>
        <v>244327.1788567568</v>
      </c>
      <c r="N1183" s="15">
        <f>Output[[#This Row],[Capital Debut Period]]*Output[[#This Row],[Tx_interet_M]]</f>
        <v>610.81794714189198</v>
      </c>
      <c r="O1183" s="15">
        <f>Output[[#This Row],[Mensualité initial]]-Output[[#This Row],[Interet]]</f>
        <v>5389.1820528581084</v>
      </c>
      <c r="P1183" s="15">
        <f>Output[[#This Row],[Capital Debut Period]]-Output[[#This Row],[Paiement Principal]]</f>
        <v>238937.99680389868</v>
      </c>
      <c r="Q1183" s="15">
        <f>Output[[#This Row],[Droit Utilisation]]/Output[[#This Row],[Duree_Mois]]</f>
        <v>5565.2357686805326</v>
      </c>
    </row>
    <row r="1184" spans="1:17" x14ac:dyDescent="0.25">
      <c r="A1184" s="11" t="s">
        <v>20</v>
      </c>
      <c r="B1184" s="12">
        <v>43831</v>
      </c>
      <c r="C1184">
        <v>6000</v>
      </c>
      <c r="D1184">
        <v>5</v>
      </c>
      <c r="E1184">
        <v>0.03</v>
      </c>
      <c r="F1184">
        <v>60</v>
      </c>
      <c r="G1184" s="13">
        <v>44408</v>
      </c>
      <c r="H1184">
        <v>1183</v>
      </c>
      <c r="I1184">
        <v>19</v>
      </c>
      <c r="J1184">
        <v>2.5000000000000001E-3</v>
      </c>
      <c r="K1184" s="14">
        <v>5722.0020074323356</v>
      </c>
      <c r="L1184" s="14">
        <v>333914.14612083195</v>
      </c>
      <c r="M1184" s="36">
        <f>IF(Output[[#This Row],[Index]]=1,Output[[#This Row],[Droit Utilisation]],P1183)</f>
        <v>238937.99680389868</v>
      </c>
      <c r="N1184" s="15">
        <f>Output[[#This Row],[Capital Debut Period]]*Output[[#This Row],[Tx_interet_M]]</f>
        <v>597.34499200974676</v>
      </c>
      <c r="O1184" s="15">
        <f>Output[[#This Row],[Mensualité initial]]-Output[[#This Row],[Interet]]</f>
        <v>5402.6550079902536</v>
      </c>
      <c r="P1184" s="15">
        <f>Output[[#This Row],[Capital Debut Period]]-Output[[#This Row],[Paiement Principal]]</f>
        <v>233535.34179590843</v>
      </c>
      <c r="Q1184" s="15">
        <f>Output[[#This Row],[Droit Utilisation]]/Output[[#This Row],[Duree_Mois]]</f>
        <v>5565.2357686805326</v>
      </c>
    </row>
    <row r="1185" spans="1:17" x14ac:dyDescent="0.25">
      <c r="A1185" s="11" t="s">
        <v>20</v>
      </c>
      <c r="B1185" s="12">
        <v>43831</v>
      </c>
      <c r="C1185">
        <v>6000</v>
      </c>
      <c r="D1185">
        <v>5</v>
      </c>
      <c r="E1185">
        <v>0.03</v>
      </c>
      <c r="F1185">
        <v>60</v>
      </c>
      <c r="G1185" s="13">
        <v>44439</v>
      </c>
      <c r="H1185">
        <v>1184</v>
      </c>
      <c r="I1185">
        <v>20</v>
      </c>
      <c r="J1185">
        <v>2.5000000000000001E-3</v>
      </c>
      <c r="K1185" s="14">
        <v>5707.7326757429792</v>
      </c>
      <c r="L1185" s="14">
        <v>333914.14612083195</v>
      </c>
      <c r="M1185" s="36">
        <f>IF(Output[[#This Row],[Index]]=1,Output[[#This Row],[Droit Utilisation]],P1184)</f>
        <v>233535.34179590843</v>
      </c>
      <c r="N1185" s="15">
        <f>Output[[#This Row],[Capital Debut Period]]*Output[[#This Row],[Tx_interet_M]]</f>
        <v>583.83835448977106</v>
      </c>
      <c r="O1185" s="15">
        <f>Output[[#This Row],[Mensualité initial]]-Output[[#This Row],[Interet]]</f>
        <v>5416.1616455102285</v>
      </c>
      <c r="P1185" s="15">
        <f>Output[[#This Row],[Capital Debut Period]]-Output[[#This Row],[Paiement Principal]]</f>
        <v>228119.1801503982</v>
      </c>
      <c r="Q1185" s="15">
        <f>Output[[#This Row],[Droit Utilisation]]/Output[[#This Row],[Duree_Mois]]</f>
        <v>5565.2357686805326</v>
      </c>
    </row>
    <row r="1186" spans="1:17" x14ac:dyDescent="0.25">
      <c r="A1186" s="11" t="s">
        <v>20</v>
      </c>
      <c r="B1186" s="12">
        <v>43831</v>
      </c>
      <c r="C1186">
        <v>6000</v>
      </c>
      <c r="D1186">
        <v>5</v>
      </c>
      <c r="E1186">
        <v>0.03</v>
      </c>
      <c r="F1186">
        <v>60</v>
      </c>
      <c r="G1186" s="13">
        <v>44469</v>
      </c>
      <c r="H1186">
        <v>1185</v>
      </c>
      <c r="I1186">
        <v>21</v>
      </c>
      <c r="J1186">
        <v>2.5000000000000001E-3</v>
      </c>
      <c r="K1186" s="14">
        <v>5693.4989284219246</v>
      </c>
      <c r="L1186" s="14">
        <v>333914.14612083195</v>
      </c>
      <c r="M1186" s="36">
        <f>IF(Output[[#This Row],[Index]]=1,Output[[#This Row],[Droit Utilisation]],P1185)</f>
        <v>228119.1801503982</v>
      </c>
      <c r="N1186" s="15">
        <f>Output[[#This Row],[Capital Debut Period]]*Output[[#This Row],[Tx_interet_M]]</f>
        <v>570.29795037599547</v>
      </c>
      <c r="O1186" s="15">
        <f>Output[[#This Row],[Mensualité initial]]-Output[[#This Row],[Interet]]</f>
        <v>5429.7020496240048</v>
      </c>
      <c r="P1186" s="15">
        <f>Output[[#This Row],[Capital Debut Period]]-Output[[#This Row],[Paiement Principal]]</f>
        <v>222689.4781007742</v>
      </c>
      <c r="Q1186" s="15">
        <f>Output[[#This Row],[Droit Utilisation]]/Output[[#This Row],[Duree_Mois]]</f>
        <v>5565.2357686805326</v>
      </c>
    </row>
    <row r="1187" spans="1:17" x14ac:dyDescent="0.25">
      <c r="A1187" s="11" t="s">
        <v>20</v>
      </c>
      <c r="B1187" s="12">
        <v>43831</v>
      </c>
      <c r="C1187">
        <v>6000</v>
      </c>
      <c r="D1187">
        <v>5</v>
      </c>
      <c r="E1187">
        <v>0.03</v>
      </c>
      <c r="F1187">
        <v>60</v>
      </c>
      <c r="G1187" s="13">
        <v>44500</v>
      </c>
      <c r="H1187">
        <v>1186</v>
      </c>
      <c r="I1187">
        <v>22</v>
      </c>
      <c r="J1187">
        <v>2.5000000000000001E-3</v>
      </c>
      <c r="K1187" s="14">
        <v>5679.3006767300994</v>
      </c>
      <c r="L1187" s="14">
        <v>333914.14612083195</v>
      </c>
      <c r="M1187" s="36">
        <f>IF(Output[[#This Row],[Index]]=1,Output[[#This Row],[Droit Utilisation]],P1186)</f>
        <v>222689.4781007742</v>
      </c>
      <c r="N1187" s="15">
        <f>Output[[#This Row],[Capital Debut Period]]*Output[[#This Row],[Tx_interet_M]]</f>
        <v>556.72369525193551</v>
      </c>
      <c r="O1187" s="15">
        <f>Output[[#This Row],[Mensualité initial]]-Output[[#This Row],[Interet]]</f>
        <v>5443.2763047480648</v>
      </c>
      <c r="P1187" s="15">
        <f>Output[[#This Row],[Capital Debut Period]]-Output[[#This Row],[Paiement Principal]]</f>
        <v>217246.20179602614</v>
      </c>
      <c r="Q1187" s="15">
        <f>Output[[#This Row],[Droit Utilisation]]/Output[[#This Row],[Duree_Mois]]</f>
        <v>5565.2357686805326</v>
      </c>
    </row>
    <row r="1188" spans="1:17" x14ac:dyDescent="0.25">
      <c r="A1188" s="11" t="s">
        <v>20</v>
      </c>
      <c r="B1188" s="12">
        <v>43831</v>
      </c>
      <c r="C1188">
        <v>6000</v>
      </c>
      <c r="D1188">
        <v>5</v>
      </c>
      <c r="E1188">
        <v>0.03</v>
      </c>
      <c r="F1188">
        <v>60</v>
      </c>
      <c r="G1188" s="13">
        <v>44530</v>
      </c>
      <c r="H1188">
        <v>1187</v>
      </c>
      <c r="I1188">
        <v>23</v>
      </c>
      <c r="J1188">
        <v>2.5000000000000001E-3</v>
      </c>
      <c r="K1188" s="14">
        <v>5665.137832149725</v>
      </c>
      <c r="L1188" s="14">
        <v>333914.14612083195</v>
      </c>
      <c r="M1188" s="36">
        <f>IF(Output[[#This Row],[Index]]=1,Output[[#This Row],[Droit Utilisation]],P1187)</f>
        <v>217246.20179602614</v>
      </c>
      <c r="N1188" s="15">
        <f>Output[[#This Row],[Capital Debut Period]]*Output[[#This Row],[Tx_interet_M]]</f>
        <v>543.1155044900654</v>
      </c>
      <c r="O1188" s="15">
        <f>Output[[#This Row],[Mensualité initial]]-Output[[#This Row],[Interet]]</f>
        <v>5456.8844955099348</v>
      </c>
      <c r="P1188" s="15">
        <f>Output[[#This Row],[Capital Debut Period]]-Output[[#This Row],[Paiement Principal]]</f>
        <v>211789.31730051621</v>
      </c>
      <c r="Q1188" s="15">
        <f>Output[[#This Row],[Droit Utilisation]]/Output[[#This Row],[Duree_Mois]]</f>
        <v>5565.2357686805326</v>
      </c>
    </row>
    <row r="1189" spans="1:17" x14ac:dyDescent="0.25">
      <c r="A1189" s="11" t="s">
        <v>20</v>
      </c>
      <c r="B1189" s="12">
        <v>43831</v>
      </c>
      <c r="C1189">
        <v>6000</v>
      </c>
      <c r="D1189">
        <v>5</v>
      </c>
      <c r="E1189">
        <v>0.03</v>
      </c>
      <c r="F1189">
        <v>60</v>
      </c>
      <c r="G1189" s="13">
        <v>44561</v>
      </c>
      <c r="H1189">
        <v>1188</v>
      </c>
      <c r="I1189">
        <v>24</v>
      </c>
      <c r="J1189">
        <v>2.5000000000000001E-3</v>
      </c>
      <c r="K1189" s="14">
        <v>5651.010306383766</v>
      </c>
      <c r="L1189" s="14">
        <v>333914.14612083195</v>
      </c>
      <c r="M1189" s="36">
        <f>IF(Output[[#This Row],[Index]]=1,Output[[#This Row],[Droit Utilisation]],P1188)</f>
        <v>211789.31730051621</v>
      </c>
      <c r="N1189" s="15">
        <f>Output[[#This Row],[Capital Debut Period]]*Output[[#This Row],[Tx_interet_M]]</f>
        <v>529.47329325129056</v>
      </c>
      <c r="O1189" s="15">
        <f>Output[[#This Row],[Mensualité initial]]-Output[[#This Row],[Interet]]</f>
        <v>5470.5267067487093</v>
      </c>
      <c r="P1189" s="15">
        <f>Output[[#This Row],[Capital Debut Period]]-Output[[#This Row],[Paiement Principal]]</f>
        <v>206318.79059376751</v>
      </c>
      <c r="Q1189" s="15">
        <f>Output[[#This Row],[Droit Utilisation]]/Output[[#This Row],[Duree_Mois]]</f>
        <v>5565.2357686805326</v>
      </c>
    </row>
    <row r="1190" spans="1:17" x14ac:dyDescent="0.25">
      <c r="A1190" s="11" t="s">
        <v>20</v>
      </c>
      <c r="B1190" s="12">
        <v>43831</v>
      </c>
      <c r="C1190">
        <v>6000</v>
      </c>
      <c r="D1190">
        <v>5</v>
      </c>
      <c r="E1190">
        <v>0.03</v>
      </c>
      <c r="F1190">
        <v>60</v>
      </c>
      <c r="G1190" s="13">
        <v>44592</v>
      </c>
      <c r="H1190">
        <v>1189</v>
      </c>
      <c r="I1190">
        <v>25</v>
      </c>
      <c r="J1190">
        <v>2.5000000000000001E-3</v>
      </c>
      <c r="K1190" s="14">
        <v>5636.9180113553775</v>
      </c>
      <c r="L1190" s="14">
        <v>333914.14612083195</v>
      </c>
      <c r="M1190" s="36">
        <f>IF(Output[[#This Row],[Index]]=1,Output[[#This Row],[Droit Utilisation]],P1189)</f>
        <v>206318.79059376751</v>
      </c>
      <c r="N1190" s="15">
        <f>Output[[#This Row],[Capital Debut Period]]*Output[[#This Row],[Tx_interet_M]]</f>
        <v>515.79697648441879</v>
      </c>
      <c r="O1190" s="15">
        <f>Output[[#This Row],[Mensualité initial]]-Output[[#This Row],[Interet]]</f>
        <v>5484.2030235155817</v>
      </c>
      <c r="P1190" s="15">
        <f>Output[[#This Row],[Capital Debut Period]]-Output[[#This Row],[Paiement Principal]]</f>
        <v>200834.58757025193</v>
      </c>
      <c r="Q1190" s="15">
        <f>Output[[#This Row],[Droit Utilisation]]/Output[[#This Row],[Duree_Mois]]</f>
        <v>5565.2357686805326</v>
      </c>
    </row>
    <row r="1191" spans="1:17" x14ac:dyDescent="0.25">
      <c r="A1191" s="11" t="s">
        <v>20</v>
      </c>
      <c r="B1191" s="12">
        <v>43831</v>
      </c>
      <c r="C1191">
        <v>6000</v>
      </c>
      <c r="D1191">
        <v>5</v>
      </c>
      <c r="E1191">
        <v>0.03</v>
      </c>
      <c r="F1191">
        <v>60</v>
      </c>
      <c r="G1191" s="13">
        <v>44620</v>
      </c>
      <c r="H1191">
        <v>1190</v>
      </c>
      <c r="I1191">
        <v>26</v>
      </c>
      <c r="J1191">
        <v>2.5000000000000001E-3</v>
      </c>
      <c r="K1191" s="14">
        <v>5622.8608592073597</v>
      </c>
      <c r="L1191" s="14">
        <v>333914.14612083195</v>
      </c>
      <c r="M1191" s="36">
        <f>IF(Output[[#This Row],[Index]]=1,Output[[#This Row],[Droit Utilisation]],P1190)</f>
        <v>200834.58757025193</v>
      </c>
      <c r="N1191" s="15">
        <f>Output[[#This Row],[Capital Debut Period]]*Output[[#This Row],[Tx_interet_M]]</f>
        <v>502.08646892562984</v>
      </c>
      <c r="O1191" s="15">
        <f>Output[[#This Row],[Mensualité initial]]-Output[[#This Row],[Interet]]</f>
        <v>5497.9135310743704</v>
      </c>
      <c r="P1191" s="15">
        <f>Output[[#This Row],[Capital Debut Period]]-Output[[#This Row],[Paiement Principal]]</f>
        <v>195336.67403917757</v>
      </c>
      <c r="Q1191" s="15">
        <f>Output[[#This Row],[Droit Utilisation]]/Output[[#This Row],[Duree_Mois]]</f>
        <v>5565.2357686805326</v>
      </c>
    </row>
    <row r="1192" spans="1:17" x14ac:dyDescent="0.25">
      <c r="A1192" s="11" t="s">
        <v>20</v>
      </c>
      <c r="B1192" s="12">
        <v>43831</v>
      </c>
      <c r="C1192">
        <v>6000</v>
      </c>
      <c r="D1192">
        <v>5</v>
      </c>
      <c r="E1192">
        <v>0.03</v>
      </c>
      <c r="F1192">
        <v>60</v>
      </c>
      <c r="G1192" s="13">
        <v>44651</v>
      </c>
      <c r="H1192">
        <v>1191</v>
      </c>
      <c r="I1192">
        <v>27</v>
      </c>
      <c r="J1192">
        <v>2.5000000000000001E-3</v>
      </c>
      <c r="K1192" s="14">
        <v>5608.838762301606</v>
      </c>
      <c r="L1192" s="14">
        <v>333914.14612083195</v>
      </c>
      <c r="M1192" s="36">
        <f>IF(Output[[#This Row],[Index]]=1,Output[[#This Row],[Droit Utilisation]],P1191)</f>
        <v>195336.67403917757</v>
      </c>
      <c r="N1192" s="15">
        <f>Output[[#This Row],[Capital Debut Period]]*Output[[#This Row],[Tx_interet_M]]</f>
        <v>488.34168509794392</v>
      </c>
      <c r="O1192" s="15">
        <f>Output[[#This Row],[Mensualité initial]]-Output[[#This Row],[Interet]]</f>
        <v>5511.6583149020562</v>
      </c>
      <c r="P1192" s="15">
        <f>Output[[#This Row],[Capital Debut Period]]-Output[[#This Row],[Paiement Principal]]</f>
        <v>189825.01572427552</v>
      </c>
      <c r="Q1192" s="15">
        <f>Output[[#This Row],[Droit Utilisation]]/Output[[#This Row],[Duree_Mois]]</f>
        <v>5565.2357686805326</v>
      </c>
    </row>
    <row r="1193" spans="1:17" x14ac:dyDescent="0.25">
      <c r="A1193" s="11" t="s">
        <v>20</v>
      </c>
      <c r="B1193" s="12">
        <v>43831</v>
      </c>
      <c r="C1193">
        <v>6000</v>
      </c>
      <c r="D1193">
        <v>5</v>
      </c>
      <c r="E1193">
        <v>0.03</v>
      </c>
      <c r="F1193">
        <v>60</v>
      </c>
      <c r="G1193" s="13">
        <v>44681</v>
      </c>
      <c r="H1193">
        <v>1192</v>
      </c>
      <c r="I1193">
        <v>28</v>
      </c>
      <c r="J1193">
        <v>2.5000000000000001E-3</v>
      </c>
      <c r="K1193" s="14">
        <v>5594.85163321856</v>
      </c>
      <c r="L1193" s="14">
        <v>333914.14612083195</v>
      </c>
      <c r="M1193" s="36">
        <f>IF(Output[[#This Row],[Index]]=1,Output[[#This Row],[Droit Utilisation]],P1192)</f>
        <v>189825.01572427552</v>
      </c>
      <c r="N1193" s="15">
        <f>Output[[#This Row],[Capital Debut Period]]*Output[[#This Row],[Tx_interet_M]]</f>
        <v>474.56253931068881</v>
      </c>
      <c r="O1193" s="15">
        <f>Output[[#This Row],[Mensualité initial]]-Output[[#This Row],[Interet]]</f>
        <v>5525.4374606893116</v>
      </c>
      <c r="P1193" s="15">
        <f>Output[[#This Row],[Capital Debut Period]]-Output[[#This Row],[Paiement Principal]]</f>
        <v>184299.57826358621</v>
      </c>
      <c r="Q1193" s="15">
        <f>Output[[#This Row],[Droit Utilisation]]/Output[[#This Row],[Duree_Mois]]</f>
        <v>5565.2357686805326</v>
      </c>
    </row>
    <row r="1194" spans="1:17" x14ac:dyDescent="0.25">
      <c r="A1194" s="11" t="s">
        <v>20</v>
      </c>
      <c r="B1194" s="12">
        <v>43831</v>
      </c>
      <c r="C1194">
        <v>6000</v>
      </c>
      <c r="D1194">
        <v>5</v>
      </c>
      <c r="E1194">
        <v>0.03</v>
      </c>
      <c r="F1194">
        <v>60</v>
      </c>
      <c r="G1194" s="13">
        <v>44712</v>
      </c>
      <c r="H1194">
        <v>1193</v>
      </c>
      <c r="I1194">
        <v>29</v>
      </c>
      <c r="J1194">
        <v>2.5000000000000001E-3</v>
      </c>
      <c r="K1194" s="14">
        <v>5580.899384756669</v>
      </c>
      <c r="L1194" s="14">
        <v>333914.14612083195</v>
      </c>
      <c r="M1194" s="36">
        <f>IF(Output[[#This Row],[Index]]=1,Output[[#This Row],[Droit Utilisation]],P1193)</f>
        <v>184299.57826358621</v>
      </c>
      <c r="N1194" s="15">
        <f>Output[[#This Row],[Capital Debut Period]]*Output[[#This Row],[Tx_interet_M]]</f>
        <v>460.74894565896557</v>
      </c>
      <c r="O1194" s="15">
        <f>Output[[#This Row],[Mensualité initial]]-Output[[#This Row],[Interet]]</f>
        <v>5539.2510543410344</v>
      </c>
      <c r="P1194" s="15">
        <f>Output[[#This Row],[Capital Debut Period]]-Output[[#This Row],[Paiement Principal]]</f>
        <v>178760.32720924518</v>
      </c>
      <c r="Q1194" s="15">
        <f>Output[[#This Row],[Droit Utilisation]]/Output[[#This Row],[Duree_Mois]]</f>
        <v>5565.2357686805326</v>
      </c>
    </row>
    <row r="1195" spans="1:17" x14ac:dyDescent="0.25">
      <c r="A1195" s="11" t="s">
        <v>20</v>
      </c>
      <c r="B1195" s="12">
        <v>43831</v>
      </c>
      <c r="C1195">
        <v>6000</v>
      </c>
      <c r="D1195">
        <v>5</v>
      </c>
      <c r="E1195">
        <v>0.03</v>
      </c>
      <c r="F1195">
        <v>60</v>
      </c>
      <c r="G1195" s="13">
        <v>44742</v>
      </c>
      <c r="H1195">
        <v>1194</v>
      </c>
      <c r="I1195">
        <v>30</v>
      </c>
      <c r="J1195">
        <v>2.5000000000000001E-3</v>
      </c>
      <c r="K1195" s="14">
        <v>5566.9819299318397</v>
      </c>
      <c r="L1195" s="14">
        <v>333914.14612083195</v>
      </c>
      <c r="M1195" s="36">
        <f>IF(Output[[#This Row],[Index]]=1,Output[[#This Row],[Droit Utilisation]],P1194)</f>
        <v>178760.32720924518</v>
      </c>
      <c r="N1195" s="15">
        <f>Output[[#This Row],[Capital Debut Period]]*Output[[#This Row],[Tx_interet_M]]</f>
        <v>446.90081802311295</v>
      </c>
      <c r="O1195" s="15">
        <f>Output[[#This Row],[Mensualité initial]]-Output[[#This Row],[Interet]]</f>
        <v>5553.0991819768869</v>
      </c>
      <c r="P1195" s="15">
        <f>Output[[#This Row],[Capital Debut Period]]-Output[[#This Row],[Paiement Principal]]</f>
        <v>173207.22802726828</v>
      </c>
      <c r="Q1195" s="15">
        <f>Output[[#This Row],[Droit Utilisation]]/Output[[#This Row],[Duree_Mois]]</f>
        <v>5565.2357686805326</v>
      </c>
    </row>
    <row r="1196" spans="1:17" x14ac:dyDescent="0.25">
      <c r="A1196" s="11" t="s">
        <v>20</v>
      </c>
      <c r="B1196" s="12">
        <v>43831</v>
      </c>
      <c r="C1196">
        <v>6000</v>
      </c>
      <c r="D1196">
        <v>5</v>
      </c>
      <c r="E1196">
        <v>0.03</v>
      </c>
      <c r="F1196">
        <v>60</v>
      </c>
      <c r="G1196" s="13">
        <v>44773</v>
      </c>
      <c r="H1196">
        <v>1195</v>
      </c>
      <c r="I1196">
        <v>31</v>
      </c>
      <c r="J1196">
        <v>2.5000000000000001E-3</v>
      </c>
      <c r="K1196" s="14">
        <v>5553.0991819768969</v>
      </c>
      <c r="L1196" s="14">
        <v>333914.14612083195</v>
      </c>
      <c r="M1196" s="36">
        <f>IF(Output[[#This Row],[Index]]=1,Output[[#This Row],[Droit Utilisation]],P1195)</f>
        <v>173207.22802726828</v>
      </c>
      <c r="N1196" s="15">
        <f>Output[[#This Row],[Capital Debut Period]]*Output[[#This Row],[Tx_interet_M]]</f>
        <v>433.01807006817074</v>
      </c>
      <c r="O1196" s="15">
        <f>Output[[#This Row],[Mensualité initial]]-Output[[#This Row],[Interet]]</f>
        <v>5566.9819299318297</v>
      </c>
      <c r="P1196" s="15">
        <f>Output[[#This Row],[Capital Debut Period]]-Output[[#This Row],[Paiement Principal]]</f>
        <v>167640.24609733647</v>
      </c>
      <c r="Q1196" s="15">
        <f>Output[[#This Row],[Droit Utilisation]]/Output[[#This Row],[Duree_Mois]]</f>
        <v>5565.2357686805326</v>
      </c>
    </row>
    <row r="1197" spans="1:17" x14ac:dyDescent="0.25">
      <c r="A1197" s="11" t="s">
        <v>20</v>
      </c>
      <c r="B1197" s="12">
        <v>43831</v>
      </c>
      <c r="C1197">
        <v>6000</v>
      </c>
      <c r="D1197">
        <v>5</v>
      </c>
      <c r="E1197">
        <v>0.03</v>
      </c>
      <c r="F1197">
        <v>60</v>
      </c>
      <c r="G1197" s="13">
        <v>44804</v>
      </c>
      <c r="H1197">
        <v>1196</v>
      </c>
      <c r="I1197">
        <v>32</v>
      </c>
      <c r="J1197">
        <v>2.5000000000000001E-3</v>
      </c>
      <c r="K1197" s="14">
        <v>5539.2510543410453</v>
      </c>
      <c r="L1197" s="14">
        <v>333914.14612083195</v>
      </c>
      <c r="M1197" s="36">
        <f>IF(Output[[#This Row],[Index]]=1,Output[[#This Row],[Droit Utilisation]],P1196)</f>
        <v>167640.24609733647</v>
      </c>
      <c r="N1197" s="15">
        <f>Output[[#This Row],[Capital Debut Period]]*Output[[#This Row],[Tx_interet_M]]</f>
        <v>419.10061524334117</v>
      </c>
      <c r="O1197" s="15">
        <f>Output[[#This Row],[Mensualité initial]]-Output[[#This Row],[Interet]]</f>
        <v>5580.8993847566589</v>
      </c>
      <c r="P1197" s="15">
        <f>Output[[#This Row],[Capital Debut Period]]-Output[[#This Row],[Paiement Principal]]</f>
        <v>162059.34671257981</v>
      </c>
      <c r="Q1197" s="15">
        <f>Output[[#This Row],[Droit Utilisation]]/Output[[#This Row],[Duree_Mois]]</f>
        <v>5565.2357686805326</v>
      </c>
    </row>
    <row r="1198" spans="1:17" x14ac:dyDescent="0.25">
      <c r="A1198" s="11" t="s">
        <v>20</v>
      </c>
      <c r="B1198" s="12">
        <v>43831</v>
      </c>
      <c r="C1198">
        <v>6000</v>
      </c>
      <c r="D1198">
        <v>5</v>
      </c>
      <c r="E1198">
        <v>0.03</v>
      </c>
      <c r="F1198">
        <v>60</v>
      </c>
      <c r="G1198" s="13">
        <v>44834</v>
      </c>
      <c r="H1198">
        <v>1197</v>
      </c>
      <c r="I1198">
        <v>33</v>
      </c>
      <c r="J1198">
        <v>2.5000000000000001E-3</v>
      </c>
      <c r="K1198" s="14">
        <v>5525.4374606893225</v>
      </c>
      <c r="L1198" s="14">
        <v>333914.14612083195</v>
      </c>
      <c r="M1198" s="36">
        <f>IF(Output[[#This Row],[Index]]=1,Output[[#This Row],[Droit Utilisation]],P1197)</f>
        <v>162059.34671257981</v>
      </c>
      <c r="N1198" s="15">
        <f>Output[[#This Row],[Capital Debut Period]]*Output[[#This Row],[Tx_interet_M]]</f>
        <v>405.14836678144951</v>
      </c>
      <c r="O1198" s="15">
        <f>Output[[#This Row],[Mensualité initial]]-Output[[#This Row],[Interet]]</f>
        <v>5594.8516332185509</v>
      </c>
      <c r="P1198" s="15">
        <f>Output[[#This Row],[Capital Debut Period]]-Output[[#This Row],[Paiement Principal]]</f>
        <v>156464.49507936125</v>
      </c>
      <c r="Q1198" s="15">
        <f>Output[[#This Row],[Droit Utilisation]]/Output[[#This Row],[Duree_Mois]]</f>
        <v>5565.2357686805326</v>
      </c>
    </row>
    <row r="1199" spans="1:17" x14ac:dyDescent="0.25">
      <c r="A1199" s="11" t="s">
        <v>20</v>
      </c>
      <c r="B1199" s="12">
        <v>43831</v>
      </c>
      <c r="C1199">
        <v>6000</v>
      </c>
      <c r="D1199">
        <v>5</v>
      </c>
      <c r="E1199">
        <v>0.03</v>
      </c>
      <c r="F1199">
        <v>60</v>
      </c>
      <c r="G1199" s="13">
        <v>44865</v>
      </c>
      <c r="H1199">
        <v>1198</v>
      </c>
      <c r="I1199">
        <v>34</v>
      </c>
      <c r="J1199">
        <v>2.5000000000000001E-3</v>
      </c>
      <c r="K1199" s="14">
        <v>5511.6583149020671</v>
      </c>
      <c r="L1199" s="14">
        <v>333914.14612083195</v>
      </c>
      <c r="M1199" s="36">
        <f>IF(Output[[#This Row],[Index]]=1,Output[[#This Row],[Droit Utilisation]],P1198)</f>
        <v>156464.49507936125</v>
      </c>
      <c r="N1199" s="15">
        <f>Output[[#This Row],[Capital Debut Period]]*Output[[#This Row],[Tx_interet_M]]</f>
        <v>391.16123769840311</v>
      </c>
      <c r="O1199" s="15">
        <f>Output[[#This Row],[Mensualité initial]]-Output[[#This Row],[Interet]]</f>
        <v>5608.8387623015969</v>
      </c>
      <c r="P1199" s="15">
        <f>Output[[#This Row],[Capital Debut Period]]-Output[[#This Row],[Paiement Principal]]</f>
        <v>150855.65631705965</v>
      </c>
      <c r="Q1199" s="15">
        <f>Output[[#This Row],[Droit Utilisation]]/Output[[#This Row],[Duree_Mois]]</f>
        <v>5565.2357686805326</v>
      </c>
    </row>
    <row r="1200" spans="1:17" x14ac:dyDescent="0.25">
      <c r="A1200" s="11" t="s">
        <v>20</v>
      </c>
      <c r="B1200" s="12">
        <v>43831</v>
      </c>
      <c r="C1200">
        <v>6000</v>
      </c>
      <c r="D1200">
        <v>5</v>
      </c>
      <c r="E1200">
        <v>0.03</v>
      </c>
      <c r="F1200">
        <v>60</v>
      </c>
      <c r="G1200" s="13">
        <v>44895</v>
      </c>
      <c r="H1200">
        <v>1199</v>
      </c>
      <c r="I1200">
        <v>35</v>
      </c>
      <c r="J1200">
        <v>2.5000000000000001E-3</v>
      </c>
      <c r="K1200" s="14">
        <v>5497.9135310743814</v>
      </c>
      <c r="L1200" s="14">
        <v>333914.14612083195</v>
      </c>
      <c r="M1200" s="36">
        <f>IF(Output[[#This Row],[Index]]=1,Output[[#This Row],[Droit Utilisation]],P1199)</f>
        <v>150855.65631705965</v>
      </c>
      <c r="N1200" s="15">
        <f>Output[[#This Row],[Capital Debut Period]]*Output[[#This Row],[Tx_interet_M]]</f>
        <v>377.13914079264913</v>
      </c>
      <c r="O1200" s="15">
        <f>Output[[#This Row],[Mensualité initial]]-Output[[#This Row],[Interet]]</f>
        <v>5622.8608592073506</v>
      </c>
      <c r="P1200" s="15">
        <f>Output[[#This Row],[Capital Debut Period]]-Output[[#This Row],[Paiement Principal]]</f>
        <v>145232.79545785231</v>
      </c>
      <c r="Q1200" s="15">
        <f>Output[[#This Row],[Droit Utilisation]]/Output[[#This Row],[Duree_Mois]]</f>
        <v>5565.2357686805326</v>
      </c>
    </row>
    <row r="1201" spans="1:17" x14ac:dyDescent="0.25">
      <c r="A1201" s="11" t="s">
        <v>20</v>
      </c>
      <c r="B1201" s="12">
        <v>43831</v>
      </c>
      <c r="C1201">
        <v>6000</v>
      </c>
      <c r="D1201">
        <v>5</v>
      </c>
      <c r="E1201">
        <v>0.03</v>
      </c>
      <c r="F1201">
        <v>60</v>
      </c>
      <c r="G1201" s="13">
        <v>44926</v>
      </c>
      <c r="H1201">
        <v>1200</v>
      </c>
      <c r="I1201">
        <v>36</v>
      </c>
      <c r="J1201">
        <v>2.5000000000000001E-3</v>
      </c>
      <c r="K1201" s="14">
        <v>5484.2030235155926</v>
      </c>
      <c r="L1201" s="14">
        <v>333914.14612083195</v>
      </c>
      <c r="M1201" s="36">
        <f>IF(Output[[#This Row],[Index]]=1,Output[[#This Row],[Droit Utilisation]],P1200)</f>
        <v>145232.79545785231</v>
      </c>
      <c r="N1201" s="15">
        <f>Output[[#This Row],[Capital Debut Period]]*Output[[#This Row],[Tx_interet_M]]</f>
        <v>363.08198864463077</v>
      </c>
      <c r="O1201" s="15">
        <f>Output[[#This Row],[Mensualité initial]]-Output[[#This Row],[Interet]]</f>
        <v>5636.9180113553693</v>
      </c>
      <c r="P1201" s="15">
        <f>Output[[#This Row],[Capital Debut Period]]-Output[[#This Row],[Paiement Principal]]</f>
        <v>139595.87744649695</v>
      </c>
      <c r="Q1201" s="15">
        <f>Output[[#This Row],[Droit Utilisation]]/Output[[#This Row],[Duree_Mois]]</f>
        <v>5565.2357686805326</v>
      </c>
    </row>
    <row r="1202" spans="1:17" x14ac:dyDescent="0.25">
      <c r="A1202" s="11" t="s">
        <v>20</v>
      </c>
      <c r="B1202" s="12">
        <v>43831</v>
      </c>
      <c r="C1202">
        <v>6000</v>
      </c>
      <c r="D1202">
        <v>5</v>
      </c>
      <c r="E1202">
        <v>0.03</v>
      </c>
      <c r="F1202">
        <v>60</v>
      </c>
      <c r="G1202" s="13">
        <v>44957</v>
      </c>
      <c r="H1202">
        <v>1201</v>
      </c>
      <c r="I1202">
        <v>37</v>
      </c>
      <c r="J1202">
        <v>2.5000000000000001E-3</v>
      </c>
      <c r="K1202" s="14">
        <v>5470.5267067487212</v>
      </c>
      <c r="L1202" s="14">
        <v>333914.14612083195</v>
      </c>
      <c r="M1202" s="36">
        <f>IF(Output[[#This Row],[Index]]=1,Output[[#This Row],[Droit Utilisation]],P1201)</f>
        <v>139595.87744649695</v>
      </c>
      <c r="N1202" s="15">
        <f>Output[[#This Row],[Capital Debut Period]]*Output[[#This Row],[Tx_interet_M]]</f>
        <v>348.98969361624239</v>
      </c>
      <c r="O1202" s="15">
        <f>Output[[#This Row],[Mensualité initial]]-Output[[#This Row],[Interet]]</f>
        <v>5651.0103063837578</v>
      </c>
      <c r="P1202" s="15">
        <f>Output[[#This Row],[Capital Debut Period]]-Output[[#This Row],[Paiement Principal]]</f>
        <v>133944.8671401132</v>
      </c>
      <c r="Q1202" s="15">
        <f>Output[[#This Row],[Droit Utilisation]]/Output[[#This Row],[Duree_Mois]]</f>
        <v>5565.2357686805326</v>
      </c>
    </row>
    <row r="1203" spans="1:17" x14ac:dyDescent="0.25">
      <c r="A1203" s="11" t="s">
        <v>20</v>
      </c>
      <c r="B1203" s="12">
        <v>43831</v>
      </c>
      <c r="C1203">
        <v>6000</v>
      </c>
      <c r="D1203">
        <v>5</v>
      </c>
      <c r="E1203">
        <v>0.03</v>
      </c>
      <c r="F1203">
        <v>60</v>
      </c>
      <c r="G1203" s="13">
        <v>44985</v>
      </c>
      <c r="H1203">
        <v>1202</v>
      </c>
      <c r="I1203">
        <v>38</v>
      </c>
      <c r="J1203">
        <v>2.5000000000000001E-3</v>
      </c>
      <c r="K1203" s="14">
        <v>5456.8844955099466</v>
      </c>
      <c r="L1203" s="14">
        <v>333914.14612083195</v>
      </c>
      <c r="M1203" s="36">
        <f>IF(Output[[#This Row],[Index]]=1,Output[[#This Row],[Droit Utilisation]],P1202)</f>
        <v>133944.8671401132</v>
      </c>
      <c r="N1203" s="15">
        <f>Output[[#This Row],[Capital Debut Period]]*Output[[#This Row],[Tx_interet_M]]</f>
        <v>334.86216785028302</v>
      </c>
      <c r="O1203" s="15">
        <f>Output[[#This Row],[Mensualité initial]]-Output[[#This Row],[Interet]]</f>
        <v>5665.1378321497168</v>
      </c>
      <c r="P1203" s="15">
        <f>Output[[#This Row],[Capital Debut Period]]-Output[[#This Row],[Paiement Principal]]</f>
        <v>128279.72930796348</v>
      </c>
      <c r="Q1203" s="15">
        <f>Output[[#This Row],[Droit Utilisation]]/Output[[#This Row],[Duree_Mois]]</f>
        <v>5565.2357686805326</v>
      </c>
    </row>
    <row r="1204" spans="1:17" x14ac:dyDescent="0.25">
      <c r="A1204" s="11" t="s">
        <v>20</v>
      </c>
      <c r="B1204" s="12">
        <v>43831</v>
      </c>
      <c r="C1204">
        <v>6000</v>
      </c>
      <c r="D1204">
        <v>5</v>
      </c>
      <c r="E1204">
        <v>0.03</v>
      </c>
      <c r="F1204">
        <v>60</v>
      </c>
      <c r="G1204" s="13">
        <v>45016</v>
      </c>
      <c r="H1204">
        <v>1203</v>
      </c>
      <c r="I1204">
        <v>39</v>
      </c>
      <c r="J1204">
        <v>2.5000000000000001E-3</v>
      </c>
      <c r="K1204" s="14">
        <v>5443.2763047480767</v>
      </c>
      <c r="L1204" s="14">
        <v>333914.14612083195</v>
      </c>
      <c r="M1204" s="36">
        <f>IF(Output[[#This Row],[Index]]=1,Output[[#This Row],[Droit Utilisation]],P1203)</f>
        <v>128279.72930796348</v>
      </c>
      <c r="N1204" s="15">
        <f>Output[[#This Row],[Capital Debut Period]]*Output[[#This Row],[Tx_interet_M]]</f>
        <v>320.69932326990869</v>
      </c>
      <c r="O1204" s="15">
        <f>Output[[#This Row],[Mensualité initial]]-Output[[#This Row],[Interet]]</f>
        <v>5679.3006767300913</v>
      </c>
      <c r="P1204" s="15">
        <f>Output[[#This Row],[Capital Debut Period]]-Output[[#This Row],[Paiement Principal]]</f>
        <v>122600.42863123339</v>
      </c>
      <c r="Q1204" s="15">
        <f>Output[[#This Row],[Droit Utilisation]]/Output[[#This Row],[Duree_Mois]]</f>
        <v>5565.2357686805326</v>
      </c>
    </row>
    <row r="1205" spans="1:17" x14ac:dyDescent="0.25">
      <c r="A1205" s="11" t="s">
        <v>20</v>
      </c>
      <c r="B1205" s="12">
        <v>43831</v>
      </c>
      <c r="C1205">
        <v>6000</v>
      </c>
      <c r="D1205">
        <v>5</v>
      </c>
      <c r="E1205">
        <v>0.03</v>
      </c>
      <c r="F1205">
        <v>60</v>
      </c>
      <c r="G1205" s="13">
        <v>45046</v>
      </c>
      <c r="H1205">
        <v>1204</v>
      </c>
      <c r="I1205">
        <v>40</v>
      </c>
      <c r="J1205">
        <v>2.5000000000000001E-3</v>
      </c>
      <c r="K1205" s="14">
        <v>5429.7020496240175</v>
      </c>
      <c r="L1205" s="14">
        <v>333914.14612083195</v>
      </c>
      <c r="M1205" s="36">
        <f>IF(Output[[#This Row],[Index]]=1,Output[[#This Row],[Droit Utilisation]],P1204)</f>
        <v>122600.42863123339</v>
      </c>
      <c r="N1205" s="15">
        <f>Output[[#This Row],[Capital Debut Period]]*Output[[#This Row],[Tx_interet_M]]</f>
        <v>306.5010715780835</v>
      </c>
      <c r="O1205" s="15">
        <f>Output[[#This Row],[Mensualité initial]]-Output[[#This Row],[Interet]]</f>
        <v>5693.4989284219164</v>
      </c>
      <c r="P1205" s="15">
        <f>Output[[#This Row],[Capital Debut Period]]-Output[[#This Row],[Paiement Principal]]</f>
        <v>116906.92970281147</v>
      </c>
      <c r="Q1205" s="15">
        <f>Output[[#This Row],[Droit Utilisation]]/Output[[#This Row],[Duree_Mois]]</f>
        <v>5565.2357686805326</v>
      </c>
    </row>
    <row r="1206" spans="1:17" x14ac:dyDescent="0.25">
      <c r="A1206" s="11" t="s">
        <v>20</v>
      </c>
      <c r="B1206" s="12">
        <v>43831</v>
      </c>
      <c r="C1206">
        <v>6000</v>
      </c>
      <c r="D1206">
        <v>5</v>
      </c>
      <c r="E1206">
        <v>0.03</v>
      </c>
      <c r="F1206">
        <v>60</v>
      </c>
      <c r="G1206" s="13">
        <v>45077</v>
      </c>
      <c r="H1206">
        <v>1205</v>
      </c>
      <c r="I1206">
        <v>41</v>
      </c>
      <c r="J1206">
        <v>2.5000000000000001E-3</v>
      </c>
      <c r="K1206" s="14">
        <v>5416.1616455102412</v>
      </c>
      <c r="L1206" s="14">
        <v>333914.14612083195</v>
      </c>
      <c r="M1206" s="36">
        <f>IF(Output[[#This Row],[Index]]=1,Output[[#This Row],[Droit Utilisation]],P1205)</f>
        <v>116906.92970281147</v>
      </c>
      <c r="N1206" s="15">
        <f>Output[[#This Row],[Capital Debut Period]]*Output[[#This Row],[Tx_interet_M]]</f>
        <v>292.26732425702869</v>
      </c>
      <c r="O1206" s="15">
        <f>Output[[#This Row],[Mensualité initial]]-Output[[#This Row],[Interet]]</f>
        <v>5707.732675742971</v>
      </c>
      <c r="P1206" s="15">
        <f>Output[[#This Row],[Capital Debut Period]]-Output[[#This Row],[Paiement Principal]]</f>
        <v>111199.1970270685</v>
      </c>
      <c r="Q1206" s="15">
        <f>Output[[#This Row],[Droit Utilisation]]/Output[[#This Row],[Duree_Mois]]</f>
        <v>5565.2357686805326</v>
      </c>
    </row>
    <row r="1207" spans="1:17" x14ac:dyDescent="0.25">
      <c r="A1207" s="11" t="s">
        <v>20</v>
      </c>
      <c r="B1207" s="12">
        <v>43831</v>
      </c>
      <c r="C1207">
        <v>6000</v>
      </c>
      <c r="D1207">
        <v>5</v>
      </c>
      <c r="E1207">
        <v>0.03</v>
      </c>
      <c r="F1207">
        <v>60</v>
      </c>
      <c r="G1207" s="13">
        <v>45107</v>
      </c>
      <c r="H1207">
        <v>1206</v>
      </c>
      <c r="I1207">
        <v>42</v>
      </c>
      <c r="J1207">
        <v>2.5000000000000001E-3</v>
      </c>
      <c r="K1207" s="14">
        <v>5402.6550079902663</v>
      </c>
      <c r="L1207" s="14">
        <v>333914.14612083195</v>
      </c>
      <c r="M1207" s="36">
        <f>IF(Output[[#This Row],[Index]]=1,Output[[#This Row],[Droit Utilisation]],P1206)</f>
        <v>111199.1970270685</v>
      </c>
      <c r="N1207" s="15">
        <f>Output[[#This Row],[Capital Debut Period]]*Output[[#This Row],[Tx_interet_M]]</f>
        <v>277.99799256767125</v>
      </c>
      <c r="O1207" s="15">
        <f>Output[[#This Row],[Mensualité initial]]-Output[[#This Row],[Interet]]</f>
        <v>5722.0020074323284</v>
      </c>
      <c r="P1207" s="15">
        <f>Output[[#This Row],[Capital Debut Period]]-Output[[#This Row],[Paiement Principal]]</f>
        <v>105477.19501963617</v>
      </c>
      <c r="Q1207" s="15">
        <f>Output[[#This Row],[Droit Utilisation]]/Output[[#This Row],[Duree_Mois]]</f>
        <v>5565.2357686805326</v>
      </c>
    </row>
    <row r="1208" spans="1:17" x14ac:dyDescent="0.25">
      <c r="A1208" s="11" t="s">
        <v>20</v>
      </c>
      <c r="B1208" s="12">
        <v>43831</v>
      </c>
      <c r="C1208">
        <v>6000</v>
      </c>
      <c r="D1208">
        <v>5</v>
      </c>
      <c r="E1208">
        <v>0.03</v>
      </c>
      <c r="F1208">
        <v>60</v>
      </c>
      <c r="G1208" s="13">
        <v>45138</v>
      </c>
      <c r="H1208">
        <v>1207</v>
      </c>
      <c r="I1208">
        <v>43</v>
      </c>
      <c r="J1208">
        <v>2.5000000000000001E-3</v>
      </c>
      <c r="K1208" s="14">
        <v>5389.1820528581211</v>
      </c>
      <c r="L1208" s="14">
        <v>333914.14612083195</v>
      </c>
      <c r="M1208" s="36">
        <f>IF(Output[[#This Row],[Index]]=1,Output[[#This Row],[Droit Utilisation]],P1207)</f>
        <v>105477.19501963617</v>
      </c>
      <c r="N1208" s="15">
        <f>Output[[#This Row],[Capital Debut Period]]*Output[[#This Row],[Tx_interet_M]]</f>
        <v>263.69298754909045</v>
      </c>
      <c r="O1208" s="15">
        <f>Output[[#This Row],[Mensualité initial]]-Output[[#This Row],[Interet]]</f>
        <v>5736.3070124509095</v>
      </c>
      <c r="P1208" s="15">
        <f>Output[[#This Row],[Capital Debut Period]]-Output[[#This Row],[Paiement Principal]]</f>
        <v>99740.888007185262</v>
      </c>
      <c r="Q1208" s="15">
        <f>Output[[#This Row],[Droit Utilisation]]/Output[[#This Row],[Duree_Mois]]</f>
        <v>5565.2357686805326</v>
      </c>
    </row>
    <row r="1209" spans="1:17" x14ac:dyDescent="0.25">
      <c r="A1209" s="11" t="s">
        <v>20</v>
      </c>
      <c r="B1209" s="12">
        <v>43831</v>
      </c>
      <c r="C1209">
        <v>6000</v>
      </c>
      <c r="D1209">
        <v>5</v>
      </c>
      <c r="E1209">
        <v>0.03</v>
      </c>
      <c r="F1209">
        <v>60</v>
      </c>
      <c r="G1209" s="13">
        <v>45169</v>
      </c>
      <c r="H1209">
        <v>1208</v>
      </c>
      <c r="I1209">
        <v>44</v>
      </c>
      <c r="J1209">
        <v>2.5000000000000001E-3</v>
      </c>
      <c r="K1209" s="14">
        <v>5375.7426961178271</v>
      </c>
      <c r="L1209" s="14">
        <v>333914.14612083195</v>
      </c>
      <c r="M1209" s="36">
        <f>IF(Output[[#This Row],[Index]]=1,Output[[#This Row],[Droit Utilisation]],P1208)</f>
        <v>99740.888007185262</v>
      </c>
      <c r="N1209" s="15">
        <f>Output[[#This Row],[Capital Debut Period]]*Output[[#This Row],[Tx_interet_M]]</f>
        <v>249.35222001796316</v>
      </c>
      <c r="O1209" s="15">
        <f>Output[[#This Row],[Mensualité initial]]-Output[[#This Row],[Interet]]</f>
        <v>5750.6477799820368</v>
      </c>
      <c r="P1209" s="15">
        <f>Output[[#This Row],[Capital Debut Period]]-Output[[#This Row],[Paiement Principal]]</f>
        <v>93990.24022720322</v>
      </c>
      <c r="Q1209" s="15">
        <f>Output[[#This Row],[Droit Utilisation]]/Output[[#This Row],[Duree_Mois]]</f>
        <v>5565.2357686805326</v>
      </c>
    </row>
    <row r="1210" spans="1:17" x14ac:dyDescent="0.25">
      <c r="A1210" s="11" t="s">
        <v>20</v>
      </c>
      <c r="B1210" s="12">
        <v>43831</v>
      </c>
      <c r="C1210">
        <v>6000</v>
      </c>
      <c r="D1210">
        <v>5</v>
      </c>
      <c r="E1210">
        <v>0.03</v>
      </c>
      <c r="F1210">
        <v>60</v>
      </c>
      <c r="G1210" s="13">
        <v>45199</v>
      </c>
      <c r="H1210">
        <v>1209</v>
      </c>
      <c r="I1210">
        <v>45</v>
      </c>
      <c r="J1210">
        <v>2.5000000000000001E-3</v>
      </c>
      <c r="K1210" s="14">
        <v>5362.3368539828707</v>
      </c>
      <c r="L1210" s="14">
        <v>333914.14612083195</v>
      </c>
      <c r="M1210" s="36">
        <f>IF(Output[[#This Row],[Index]]=1,Output[[#This Row],[Droit Utilisation]],P1209)</f>
        <v>93990.24022720322</v>
      </c>
      <c r="N1210" s="15">
        <f>Output[[#This Row],[Capital Debut Period]]*Output[[#This Row],[Tx_interet_M]]</f>
        <v>234.97560056800805</v>
      </c>
      <c r="O1210" s="15">
        <f>Output[[#This Row],[Mensualité initial]]-Output[[#This Row],[Interet]]</f>
        <v>5765.0243994319917</v>
      </c>
      <c r="P1210" s="15">
        <f>Output[[#This Row],[Capital Debut Period]]-Output[[#This Row],[Paiement Principal]]</f>
        <v>88225.21582777123</v>
      </c>
      <c r="Q1210" s="15">
        <f>Output[[#This Row],[Droit Utilisation]]/Output[[#This Row],[Duree_Mois]]</f>
        <v>5565.2357686805326</v>
      </c>
    </row>
    <row r="1211" spans="1:17" x14ac:dyDescent="0.25">
      <c r="A1211" s="11" t="s">
        <v>20</v>
      </c>
      <c r="B1211" s="12">
        <v>43831</v>
      </c>
      <c r="C1211">
        <v>6000</v>
      </c>
      <c r="D1211">
        <v>5</v>
      </c>
      <c r="E1211">
        <v>0.03</v>
      </c>
      <c r="F1211">
        <v>60</v>
      </c>
      <c r="G1211" s="13">
        <v>45230</v>
      </c>
      <c r="H1211">
        <v>1210</v>
      </c>
      <c r="I1211">
        <v>46</v>
      </c>
      <c r="J1211">
        <v>2.5000000000000001E-3</v>
      </c>
      <c r="K1211" s="14">
        <v>5348.9644428756819</v>
      </c>
      <c r="L1211" s="14">
        <v>333914.14612083195</v>
      </c>
      <c r="M1211" s="36">
        <f>IF(Output[[#This Row],[Index]]=1,Output[[#This Row],[Droit Utilisation]],P1210)</f>
        <v>88225.21582777123</v>
      </c>
      <c r="N1211" s="15">
        <f>Output[[#This Row],[Capital Debut Period]]*Output[[#This Row],[Tx_interet_M]]</f>
        <v>220.56303956942807</v>
      </c>
      <c r="O1211" s="15">
        <f>Output[[#This Row],[Mensualité initial]]-Output[[#This Row],[Interet]]</f>
        <v>5779.4369604305721</v>
      </c>
      <c r="P1211" s="15">
        <f>Output[[#This Row],[Capital Debut Period]]-Output[[#This Row],[Paiement Principal]]</f>
        <v>82445.778867340661</v>
      </c>
      <c r="Q1211" s="15">
        <f>Output[[#This Row],[Droit Utilisation]]/Output[[#This Row],[Duree_Mois]]</f>
        <v>5565.2357686805326</v>
      </c>
    </row>
    <row r="1212" spans="1:17" x14ac:dyDescent="0.25">
      <c r="A1212" s="11" t="s">
        <v>20</v>
      </c>
      <c r="B1212" s="12">
        <v>43831</v>
      </c>
      <c r="C1212">
        <v>6000</v>
      </c>
      <c r="D1212">
        <v>5</v>
      </c>
      <c r="E1212">
        <v>0.03</v>
      </c>
      <c r="F1212">
        <v>60</v>
      </c>
      <c r="G1212" s="13">
        <v>45260</v>
      </c>
      <c r="H1212">
        <v>1211</v>
      </c>
      <c r="I1212">
        <v>47</v>
      </c>
      <c r="J1212">
        <v>2.5000000000000001E-3</v>
      </c>
      <c r="K1212" s="14">
        <v>5335.6253794271142</v>
      </c>
      <c r="L1212" s="14">
        <v>333914.14612083195</v>
      </c>
      <c r="M1212" s="36">
        <f>IF(Output[[#This Row],[Index]]=1,Output[[#This Row],[Droit Utilisation]],P1211)</f>
        <v>82445.778867340661</v>
      </c>
      <c r="N1212" s="15">
        <f>Output[[#This Row],[Capital Debut Period]]*Output[[#This Row],[Tx_interet_M]]</f>
        <v>206.11444716835166</v>
      </c>
      <c r="O1212" s="15">
        <f>Output[[#This Row],[Mensualité initial]]-Output[[#This Row],[Interet]]</f>
        <v>5793.8855528316481</v>
      </c>
      <c r="P1212" s="15">
        <f>Output[[#This Row],[Capital Debut Period]]-Output[[#This Row],[Paiement Principal]]</f>
        <v>76651.893314509012</v>
      </c>
      <c r="Q1212" s="15">
        <f>Output[[#This Row],[Droit Utilisation]]/Output[[#This Row],[Duree_Mois]]</f>
        <v>5565.2357686805326</v>
      </c>
    </row>
    <row r="1213" spans="1:17" x14ac:dyDescent="0.25">
      <c r="A1213" s="11" t="s">
        <v>20</v>
      </c>
      <c r="B1213" s="12">
        <v>43831</v>
      </c>
      <c r="C1213">
        <v>6000</v>
      </c>
      <c r="D1213">
        <v>5</v>
      </c>
      <c r="E1213">
        <v>0.03</v>
      </c>
      <c r="F1213">
        <v>60</v>
      </c>
      <c r="G1213" s="13">
        <v>45291</v>
      </c>
      <c r="H1213">
        <v>1212</v>
      </c>
      <c r="I1213">
        <v>48</v>
      </c>
      <c r="J1213">
        <v>2.5000000000000001E-3</v>
      </c>
      <c r="K1213" s="14">
        <v>5322.3195804759243</v>
      </c>
      <c r="L1213" s="14">
        <v>333914.14612083195</v>
      </c>
      <c r="M1213" s="36">
        <f>IF(Output[[#This Row],[Index]]=1,Output[[#This Row],[Droit Utilisation]],P1212)</f>
        <v>76651.893314509012</v>
      </c>
      <c r="N1213" s="15">
        <f>Output[[#This Row],[Capital Debut Period]]*Output[[#This Row],[Tx_interet_M]]</f>
        <v>191.62973328627254</v>
      </c>
      <c r="O1213" s="15">
        <f>Output[[#This Row],[Mensualité initial]]-Output[[#This Row],[Interet]]</f>
        <v>5808.3702667137277</v>
      </c>
      <c r="P1213" s="15">
        <f>Output[[#This Row],[Capital Debut Period]]-Output[[#This Row],[Paiement Principal]]</f>
        <v>70843.523047795286</v>
      </c>
      <c r="Q1213" s="15">
        <f>Output[[#This Row],[Droit Utilisation]]/Output[[#This Row],[Duree_Mois]]</f>
        <v>5565.2357686805326</v>
      </c>
    </row>
    <row r="1214" spans="1:17" x14ac:dyDescent="0.25">
      <c r="A1214" s="11" t="s">
        <v>20</v>
      </c>
      <c r="B1214" s="12">
        <v>43831</v>
      </c>
      <c r="C1214">
        <v>6000</v>
      </c>
      <c r="D1214">
        <v>5</v>
      </c>
      <c r="E1214">
        <v>0.03</v>
      </c>
      <c r="F1214">
        <v>60</v>
      </c>
      <c r="G1214" s="13">
        <v>45322</v>
      </c>
      <c r="H1214">
        <v>1213</v>
      </c>
      <c r="I1214">
        <v>49</v>
      </c>
      <c r="J1214">
        <v>2.5000000000000001E-3</v>
      </c>
      <c r="K1214" s="14">
        <v>5309.0469630682537</v>
      </c>
      <c r="L1214" s="14">
        <v>333914.14612083195</v>
      </c>
      <c r="M1214" s="36">
        <f>IF(Output[[#This Row],[Index]]=1,Output[[#This Row],[Droit Utilisation]],P1213)</f>
        <v>70843.523047795286</v>
      </c>
      <c r="N1214" s="15">
        <f>Output[[#This Row],[Capital Debut Period]]*Output[[#This Row],[Tx_interet_M]]</f>
        <v>177.10880761948823</v>
      </c>
      <c r="O1214" s="15">
        <f>Output[[#This Row],[Mensualité initial]]-Output[[#This Row],[Interet]]</f>
        <v>5822.8911923805117</v>
      </c>
      <c r="P1214" s="15">
        <f>Output[[#This Row],[Capital Debut Period]]-Output[[#This Row],[Paiement Principal]]</f>
        <v>65020.631855414773</v>
      </c>
      <c r="Q1214" s="15">
        <f>Output[[#This Row],[Droit Utilisation]]/Output[[#This Row],[Duree_Mois]]</f>
        <v>5565.2357686805326</v>
      </c>
    </row>
    <row r="1215" spans="1:17" x14ac:dyDescent="0.25">
      <c r="A1215" s="11" t="s">
        <v>20</v>
      </c>
      <c r="B1215" s="12">
        <v>43831</v>
      </c>
      <c r="C1215">
        <v>6000</v>
      </c>
      <c r="D1215">
        <v>5</v>
      </c>
      <c r="E1215">
        <v>0.03</v>
      </c>
      <c r="F1215">
        <v>60</v>
      </c>
      <c r="G1215" s="13">
        <v>45351</v>
      </c>
      <c r="H1215">
        <v>1214</v>
      </c>
      <c r="I1215">
        <v>50</v>
      </c>
      <c r="J1215">
        <v>2.5000000000000001E-3</v>
      </c>
      <c r="K1215" s="14">
        <v>5295.8074444571121</v>
      </c>
      <c r="L1215" s="14">
        <v>333914.14612083195</v>
      </c>
      <c r="M1215" s="36">
        <f>IF(Output[[#This Row],[Index]]=1,Output[[#This Row],[Droit Utilisation]],P1214)</f>
        <v>65020.631855414773</v>
      </c>
      <c r="N1215" s="15">
        <f>Output[[#This Row],[Capital Debut Period]]*Output[[#This Row],[Tx_interet_M]]</f>
        <v>162.55157963853694</v>
      </c>
      <c r="O1215" s="15">
        <f>Output[[#This Row],[Mensualité initial]]-Output[[#This Row],[Interet]]</f>
        <v>5837.4484203614629</v>
      </c>
      <c r="P1215" s="15">
        <f>Output[[#This Row],[Capital Debut Period]]-Output[[#This Row],[Paiement Principal]]</f>
        <v>59183.18343505331</v>
      </c>
      <c r="Q1215" s="15">
        <f>Output[[#This Row],[Droit Utilisation]]/Output[[#This Row],[Duree_Mois]]</f>
        <v>5565.2357686805326</v>
      </c>
    </row>
    <row r="1216" spans="1:17" x14ac:dyDescent="0.25">
      <c r="A1216" s="11" t="s">
        <v>20</v>
      </c>
      <c r="B1216" s="12">
        <v>43831</v>
      </c>
      <c r="C1216">
        <v>6000</v>
      </c>
      <c r="D1216">
        <v>5</v>
      </c>
      <c r="E1216">
        <v>0.03</v>
      </c>
      <c r="F1216">
        <v>60</v>
      </c>
      <c r="G1216" s="13">
        <v>45382</v>
      </c>
      <c r="H1216">
        <v>1215</v>
      </c>
      <c r="I1216">
        <v>51</v>
      </c>
      <c r="J1216">
        <v>2.5000000000000001E-3</v>
      </c>
      <c r="K1216" s="14">
        <v>5282.6009421018571</v>
      </c>
      <c r="L1216" s="14">
        <v>333914.14612083195</v>
      </c>
      <c r="M1216" s="36">
        <f>IF(Output[[#This Row],[Index]]=1,Output[[#This Row],[Droit Utilisation]],P1215)</f>
        <v>59183.18343505331</v>
      </c>
      <c r="N1216" s="15">
        <f>Output[[#This Row],[Capital Debut Period]]*Output[[#This Row],[Tx_interet_M]]</f>
        <v>147.95795858763327</v>
      </c>
      <c r="O1216" s="15">
        <f>Output[[#This Row],[Mensualité initial]]-Output[[#This Row],[Interet]]</f>
        <v>5852.0420414123664</v>
      </c>
      <c r="P1216" s="15">
        <f>Output[[#This Row],[Capital Debut Period]]-Output[[#This Row],[Paiement Principal]]</f>
        <v>53331.141393640944</v>
      </c>
      <c r="Q1216" s="15">
        <f>Output[[#This Row],[Droit Utilisation]]/Output[[#This Row],[Duree_Mois]]</f>
        <v>5565.2357686805326</v>
      </c>
    </row>
    <row r="1217" spans="1:17" x14ac:dyDescent="0.25">
      <c r="A1217" s="11" t="s">
        <v>20</v>
      </c>
      <c r="B1217" s="12">
        <v>43831</v>
      </c>
      <c r="C1217">
        <v>6000</v>
      </c>
      <c r="D1217">
        <v>5</v>
      </c>
      <c r="E1217">
        <v>0.03</v>
      </c>
      <c r="F1217">
        <v>60</v>
      </c>
      <c r="G1217" s="13">
        <v>45412</v>
      </c>
      <c r="H1217">
        <v>1216</v>
      </c>
      <c r="I1217">
        <v>52</v>
      </c>
      <c r="J1217">
        <v>2.5000000000000001E-3</v>
      </c>
      <c r="K1217" s="14">
        <v>5269.4273736676878</v>
      </c>
      <c r="L1217" s="14">
        <v>333914.14612083195</v>
      </c>
      <c r="M1217" s="36">
        <f>IF(Output[[#This Row],[Index]]=1,Output[[#This Row],[Droit Utilisation]],P1216)</f>
        <v>53331.141393640944</v>
      </c>
      <c r="N1217" s="15">
        <f>Output[[#This Row],[Capital Debut Period]]*Output[[#This Row],[Tx_interet_M]]</f>
        <v>133.32785348410238</v>
      </c>
      <c r="O1217" s="15">
        <f>Output[[#This Row],[Mensualité initial]]-Output[[#This Row],[Interet]]</f>
        <v>5866.672146515898</v>
      </c>
      <c r="P1217" s="15">
        <f>Output[[#This Row],[Capital Debut Period]]-Output[[#This Row],[Paiement Principal]]</f>
        <v>47464.469247125046</v>
      </c>
      <c r="Q1217" s="15">
        <f>Output[[#This Row],[Droit Utilisation]]/Output[[#This Row],[Duree_Mois]]</f>
        <v>5565.2357686805326</v>
      </c>
    </row>
    <row r="1218" spans="1:17" x14ac:dyDescent="0.25">
      <c r="A1218" s="11" t="s">
        <v>20</v>
      </c>
      <c r="B1218" s="12">
        <v>43831</v>
      </c>
      <c r="C1218">
        <v>6000</v>
      </c>
      <c r="D1218">
        <v>5</v>
      </c>
      <c r="E1218">
        <v>0.03</v>
      </c>
      <c r="F1218">
        <v>60</v>
      </c>
      <c r="G1218" s="13">
        <v>45443</v>
      </c>
      <c r="H1218">
        <v>1217</v>
      </c>
      <c r="I1218">
        <v>53</v>
      </c>
      <c r="J1218">
        <v>2.5000000000000001E-3</v>
      </c>
      <c r="K1218" s="14">
        <v>5256.2866570251254</v>
      </c>
      <c r="L1218" s="14">
        <v>333914.14612083195</v>
      </c>
      <c r="M1218" s="36">
        <f>IF(Output[[#This Row],[Index]]=1,Output[[#This Row],[Droit Utilisation]],P1217)</f>
        <v>47464.469247125046</v>
      </c>
      <c r="N1218" s="15">
        <f>Output[[#This Row],[Capital Debut Period]]*Output[[#This Row],[Tx_interet_M]]</f>
        <v>118.66117311781261</v>
      </c>
      <c r="O1218" s="15">
        <f>Output[[#This Row],[Mensualité initial]]-Output[[#This Row],[Interet]]</f>
        <v>5881.3388268821873</v>
      </c>
      <c r="P1218" s="15">
        <f>Output[[#This Row],[Capital Debut Period]]-Output[[#This Row],[Paiement Principal]]</f>
        <v>41583.130420242858</v>
      </c>
      <c r="Q1218" s="15">
        <f>Output[[#This Row],[Droit Utilisation]]/Output[[#This Row],[Duree_Mois]]</f>
        <v>5565.2357686805326</v>
      </c>
    </row>
    <row r="1219" spans="1:17" x14ac:dyDescent="0.25">
      <c r="A1219" s="11" t="s">
        <v>20</v>
      </c>
      <c r="B1219" s="12">
        <v>43831</v>
      </c>
      <c r="C1219">
        <v>6000</v>
      </c>
      <c r="D1219">
        <v>5</v>
      </c>
      <c r="E1219">
        <v>0.03</v>
      </c>
      <c r="F1219">
        <v>60</v>
      </c>
      <c r="G1219" s="13">
        <v>45473</v>
      </c>
      <c r="H1219">
        <v>1218</v>
      </c>
      <c r="I1219">
        <v>54</v>
      </c>
      <c r="J1219">
        <v>2.5000000000000001E-3</v>
      </c>
      <c r="K1219" s="14">
        <v>5243.1787102495018</v>
      </c>
      <c r="L1219" s="14">
        <v>333914.14612083195</v>
      </c>
      <c r="M1219" s="36">
        <f>IF(Output[[#This Row],[Index]]=1,Output[[#This Row],[Droit Utilisation]],P1218)</f>
        <v>41583.130420242858</v>
      </c>
      <c r="N1219" s="15">
        <f>Output[[#This Row],[Capital Debut Period]]*Output[[#This Row],[Tx_interet_M]]</f>
        <v>103.95782605060715</v>
      </c>
      <c r="O1219" s="15">
        <f>Output[[#This Row],[Mensualité initial]]-Output[[#This Row],[Interet]]</f>
        <v>5896.0421739493931</v>
      </c>
      <c r="P1219" s="15">
        <f>Output[[#This Row],[Capital Debut Period]]-Output[[#This Row],[Paiement Principal]]</f>
        <v>35687.088246293468</v>
      </c>
      <c r="Q1219" s="15">
        <f>Output[[#This Row],[Droit Utilisation]]/Output[[#This Row],[Duree_Mois]]</f>
        <v>5565.2357686805326</v>
      </c>
    </row>
    <row r="1220" spans="1:17" x14ac:dyDescent="0.25">
      <c r="A1220" s="11" t="s">
        <v>20</v>
      </c>
      <c r="B1220" s="12">
        <v>43831</v>
      </c>
      <c r="C1220">
        <v>6000</v>
      </c>
      <c r="D1220">
        <v>5</v>
      </c>
      <c r="E1220">
        <v>0.03</v>
      </c>
      <c r="F1220">
        <v>60</v>
      </c>
      <c r="G1220" s="13">
        <v>45504</v>
      </c>
      <c r="H1220">
        <v>1219</v>
      </c>
      <c r="I1220">
        <v>55</v>
      </c>
      <c r="J1220">
        <v>2.5000000000000001E-3</v>
      </c>
      <c r="K1220" s="14">
        <v>5230.1034516204509</v>
      </c>
      <c r="L1220" s="14">
        <v>333914.14612083195</v>
      </c>
      <c r="M1220" s="36">
        <f>IF(Output[[#This Row],[Index]]=1,Output[[#This Row],[Droit Utilisation]],P1219)</f>
        <v>35687.088246293468</v>
      </c>
      <c r="N1220" s="15">
        <f>Output[[#This Row],[Capital Debut Period]]*Output[[#This Row],[Tx_interet_M]]</f>
        <v>89.217720615733668</v>
      </c>
      <c r="O1220" s="15">
        <f>Output[[#This Row],[Mensualité initial]]-Output[[#This Row],[Interet]]</f>
        <v>5910.7822793842661</v>
      </c>
      <c r="P1220" s="15">
        <f>Output[[#This Row],[Capital Debut Period]]-Output[[#This Row],[Paiement Principal]]</f>
        <v>29776.305966909204</v>
      </c>
      <c r="Q1220" s="15">
        <f>Output[[#This Row],[Droit Utilisation]]/Output[[#This Row],[Duree_Mois]]</f>
        <v>5565.2357686805326</v>
      </c>
    </row>
    <row r="1221" spans="1:17" x14ac:dyDescent="0.25">
      <c r="A1221" s="11" t="s">
        <v>20</v>
      </c>
      <c r="B1221" s="12">
        <v>43831</v>
      </c>
      <c r="C1221">
        <v>6000</v>
      </c>
      <c r="D1221">
        <v>5</v>
      </c>
      <c r="E1221">
        <v>0.03</v>
      </c>
      <c r="F1221">
        <v>60</v>
      </c>
      <c r="G1221" s="13">
        <v>45535</v>
      </c>
      <c r="H1221">
        <v>1220</v>
      </c>
      <c r="I1221">
        <v>56</v>
      </c>
      <c r="J1221">
        <v>2.5000000000000001E-3</v>
      </c>
      <c r="K1221" s="14">
        <v>5217.0607996213976</v>
      </c>
      <c r="L1221" s="14">
        <v>333914.14612083195</v>
      </c>
      <c r="M1221" s="36">
        <f>IF(Output[[#This Row],[Index]]=1,Output[[#This Row],[Droit Utilisation]],P1220)</f>
        <v>29776.305966909204</v>
      </c>
      <c r="N1221" s="15">
        <f>Output[[#This Row],[Capital Debut Period]]*Output[[#This Row],[Tx_interet_M]]</f>
        <v>74.440764917273015</v>
      </c>
      <c r="O1221" s="15">
        <f>Output[[#This Row],[Mensualité initial]]-Output[[#This Row],[Interet]]</f>
        <v>5925.5592350827274</v>
      </c>
      <c r="P1221" s="15">
        <f>Output[[#This Row],[Capital Debut Period]]-Output[[#This Row],[Paiement Principal]]</f>
        <v>23850.746731826475</v>
      </c>
      <c r="Q1221" s="15">
        <f>Output[[#This Row],[Droit Utilisation]]/Output[[#This Row],[Duree_Mois]]</f>
        <v>5565.2357686805326</v>
      </c>
    </row>
    <row r="1222" spans="1:17" x14ac:dyDescent="0.25">
      <c r="A1222" s="11" t="s">
        <v>20</v>
      </c>
      <c r="B1222" s="12">
        <v>43831</v>
      </c>
      <c r="C1222">
        <v>6000</v>
      </c>
      <c r="D1222">
        <v>5</v>
      </c>
      <c r="E1222">
        <v>0.03</v>
      </c>
      <c r="F1222">
        <v>60</v>
      </c>
      <c r="G1222" s="13">
        <v>45565</v>
      </c>
      <c r="H1222">
        <v>1221</v>
      </c>
      <c r="I1222">
        <v>57</v>
      </c>
      <c r="J1222">
        <v>2.5000000000000001E-3</v>
      </c>
      <c r="K1222" s="14">
        <v>5204.0506729390509</v>
      </c>
      <c r="L1222" s="14">
        <v>333914.14612083195</v>
      </c>
      <c r="M1222" s="36">
        <f>IF(Output[[#This Row],[Index]]=1,Output[[#This Row],[Droit Utilisation]],P1221)</f>
        <v>23850.746731826475</v>
      </c>
      <c r="N1222" s="15">
        <f>Output[[#This Row],[Capital Debut Period]]*Output[[#This Row],[Tx_interet_M]]</f>
        <v>59.62686682956619</v>
      </c>
      <c r="O1222" s="15">
        <f>Output[[#This Row],[Mensualité initial]]-Output[[#This Row],[Interet]]</f>
        <v>5940.3731331704339</v>
      </c>
      <c r="P1222" s="15">
        <f>Output[[#This Row],[Capital Debut Period]]-Output[[#This Row],[Paiement Principal]]</f>
        <v>17910.373598656042</v>
      </c>
      <c r="Q1222" s="15">
        <f>Output[[#This Row],[Droit Utilisation]]/Output[[#This Row],[Duree_Mois]]</f>
        <v>5565.2357686805326</v>
      </c>
    </row>
    <row r="1223" spans="1:17" x14ac:dyDescent="0.25">
      <c r="A1223" s="11" t="s">
        <v>20</v>
      </c>
      <c r="B1223" s="12">
        <v>43831</v>
      </c>
      <c r="C1223">
        <v>6000</v>
      </c>
      <c r="D1223">
        <v>5</v>
      </c>
      <c r="E1223">
        <v>0.03</v>
      </c>
      <c r="F1223">
        <v>60</v>
      </c>
      <c r="G1223" s="13">
        <v>45596</v>
      </c>
      <c r="H1223">
        <v>1222</v>
      </c>
      <c r="I1223">
        <v>58</v>
      </c>
      <c r="J1223">
        <v>2.5000000000000001E-3</v>
      </c>
      <c r="K1223" s="14">
        <v>5191.0729904628934</v>
      </c>
      <c r="L1223" s="14">
        <v>333914.14612083195</v>
      </c>
      <c r="M1223" s="36">
        <f>IF(Output[[#This Row],[Index]]=1,Output[[#This Row],[Droit Utilisation]],P1222)</f>
        <v>17910.373598656042</v>
      </c>
      <c r="N1223" s="15">
        <f>Output[[#This Row],[Capital Debut Period]]*Output[[#This Row],[Tx_interet_M]]</f>
        <v>44.775933996640106</v>
      </c>
      <c r="O1223" s="15">
        <f>Output[[#This Row],[Mensualité initial]]-Output[[#This Row],[Interet]]</f>
        <v>5955.2240660033603</v>
      </c>
      <c r="P1223" s="15">
        <f>Output[[#This Row],[Capital Debut Period]]-Output[[#This Row],[Paiement Principal]]</f>
        <v>11955.149532652682</v>
      </c>
      <c r="Q1223" s="15">
        <f>Output[[#This Row],[Droit Utilisation]]/Output[[#This Row],[Duree_Mois]]</f>
        <v>5565.2357686805326</v>
      </c>
    </row>
    <row r="1224" spans="1:17" x14ac:dyDescent="0.25">
      <c r="A1224" s="11" t="s">
        <v>20</v>
      </c>
      <c r="B1224" s="12">
        <v>43831</v>
      </c>
      <c r="C1224">
        <v>6000</v>
      </c>
      <c r="D1224">
        <v>5</v>
      </c>
      <c r="E1224">
        <v>0.03</v>
      </c>
      <c r="F1224">
        <v>60</v>
      </c>
      <c r="G1224" s="13">
        <v>45626</v>
      </c>
      <c r="H1224">
        <v>1223</v>
      </c>
      <c r="I1224">
        <v>59</v>
      </c>
      <c r="J1224">
        <v>2.5000000000000001E-3</v>
      </c>
      <c r="K1224" s="14">
        <v>5178.127671284682</v>
      </c>
      <c r="L1224" s="14">
        <v>333914.14612083195</v>
      </c>
      <c r="M1224" s="36">
        <f>IF(Output[[#This Row],[Index]]=1,Output[[#This Row],[Droit Utilisation]],P1223)</f>
        <v>11955.149532652682</v>
      </c>
      <c r="N1224" s="15">
        <f>Output[[#This Row],[Capital Debut Period]]*Output[[#This Row],[Tx_interet_M]]</f>
        <v>29.887873831631705</v>
      </c>
      <c r="O1224" s="15">
        <f>Output[[#This Row],[Mensualité initial]]-Output[[#This Row],[Interet]]</f>
        <v>5970.1121261683684</v>
      </c>
      <c r="P1224" s="15">
        <f>Output[[#This Row],[Capital Debut Period]]-Output[[#This Row],[Paiement Principal]]</f>
        <v>5985.0374064843136</v>
      </c>
      <c r="Q1224" s="15">
        <f>Output[[#This Row],[Droit Utilisation]]/Output[[#This Row],[Duree_Mois]]</f>
        <v>5565.2357686805326</v>
      </c>
    </row>
    <row r="1225" spans="1:17" x14ac:dyDescent="0.25">
      <c r="A1225" s="11" t="s">
        <v>20</v>
      </c>
      <c r="B1225" s="12">
        <v>43831</v>
      </c>
      <c r="C1225">
        <v>6000</v>
      </c>
      <c r="D1225">
        <v>5</v>
      </c>
      <c r="E1225">
        <v>0.03</v>
      </c>
      <c r="F1225">
        <v>60</v>
      </c>
      <c r="G1225" s="13">
        <v>45657</v>
      </c>
      <c r="H1225">
        <v>1224</v>
      </c>
      <c r="I1225">
        <v>60</v>
      </c>
      <c r="J1225">
        <v>2.5000000000000001E-3</v>
      </c>
      <c r="K1225" s="14">
        <v>5165.2146346979371</v>
      </c>
      <c r="L1225" s="14">
        <v>333914.14612083195</v>
      </c>
      <c r="M1225" s="36">
        <f>IF(Output[[#This Row],[Index]]=1,Output[[#This Row],[Droit Utilisation]],P1224)</f>
        <v>5985.0374064843136</v>
      </c>
      <c r="N1225" s="15">
        <f>Output[[#This Row],[Capital Debut Period]]*Output[[#This Row],[Tx_interet_M]]</f>
        <v>14.962593516210784</v>
      </c>
      <c r="O1225" s="15">
        <f>Output[[#This Row],[Mensualité initial]]-Output[[#This Row],[Interet]]</f>
        <v>5985.0374064837888</v>
      </c>
      <c r="P1225" s="15">
        <f>Output[[#This Row],[Capital Debut Period]]-Output[[#This Row],[Paiement Principal]]</f>
        <v>5.2477844292297959E-10</v>
      </c>
      <c r="Q1225" s="15">
        <f>Output[[#This Row],[Droit Utilisation]]/Output[[#This Row],[Duree_Mois]]</f>
        <v>5565.2357686805326</v>
      </c>
    </row>
    <row r="1226" spans="1:17" x14ac:dyDescent="0.25">
      <c r="A1226" s="11" t="s">
        <v>21</v>
      </c>
      <c r="B1226" s="12">
        <v>43831</v>
      </c>
      <c r="C1226">
        <v>6000</v>
      </c>
      <c r="D1226">
        <v>5</v>
      </c>
      <c r="E1226">
        <v>0.03</v>
      </c>
      <c r="F1226">
        <v>60</v>
      </c>
      <c r="G1226" s="13">
        <v>43861</v>
      </c>
      <c r="H1226">
        <v>1225</v>
      </c>
      <c r="I1226">
        <v>1</v>
      </c>
      <c r="J1226">
        <v>2.5000000000000001E-3</v>
      </c>
      <c r="K1226" s="14">
        <v>5985.0374064837906</v>
      </c>
      <c r="L1226" s="14">
        <v>333914.14612083195</v>
      </c>
      <c r="M1226" s="36">
        <f>IF(Output[[#This Row],[Index]]=1,Output[[#This Row],[Droit Utilisation]],P1225)</f>
        <v>333914.14612083195</v>
      </c>
      <c r="N1226" s="15">
        <f>Output[[#This Row],[Capital Debut Period]]*Output[[#This Row],[Tx_interet_M]]</f>
        <v>834.78536530207987</v>
      </c>
      <c r="O1226" s="15">
        <f>Output[[#This Row],[Mensualité initial]]-Output[[#This Row],[Interet]]</f>
        <v>5165.2146346979198</v>
      </c>
      <c r="P1226" s="15">
        <f>Output[[#This Row],[Capital Debut Period]]-Output[[#This Row],[Paiement Principal]]</f>
        <v>328748.93148613401</v>
      </c>
      <c r="Q1226" s="15">
        <f>Output[[#This Row],[Droit Utilisation]]/Output[[#This Row],[Duree_Mois]]</f>
        <v>5565.2357686805326</v>
      </c>
    </row>
    <row r="1227" spans="1:17" x14ac:dyDescent="0.25">
      <c r="A1227" s="11" t="s">
        <v>21</v>
      </c>
      <c r="B1227" s="12">
        <v>43831</v>
      </c>
      <c r="C1227">
        <v>6000</v>
      </c>
      <c r="D1227">
        <v>5</v>
      </c>
      <c r="E1227">
        <v>0.03</v>
      </c>
      <c r="F1227">
        <v>60</v>
      </c>
      <c r="G1227" s="13">
        <v>43890</v>
      </c>
      <c r="H1227">
        <v>1226</v>
      </c>
      <c r="I1227">
        <v>2</v>
      </c>
      <c r="J1227">
        <v>2.5000000000000001E-3</v>
      </c>
      <c r="K1227" s="14">
        <v>5970.1121261683702</v>
      </c>
      <c r="L1227" s="14">
        <v>333914.14612083195</v>
      </c>
      <c r="M1227" s="36">
        <f>IF(Output[[#This Row],[Index]]=1,Output[[#This Row],[Droit Utilisation]],P1226)</f>
        <v>328748.93148613401</v>
      </c>
      <c r="N1227" s="15">
        <f>Output[[#This Row],[Capital Debut Period]]*Output[[#This Row],[Tx_interet_M]]</f>
        <v>821.87232871533502</v>
      </c>
      <c r="O1227" s="15">
        <f>Output[[#This Row],[Mensualité initial]]-Output[[#This Row],[Interet]]</f>
        <v>5178.1276712846648</v>
      </c>
      <c r="P1227" s="15">
        <f>Output[[#This Row],[Capital Debut Period]]-Output[[#This Row],[Paiement Principal]]</f>
        <v>323570.80381484935</v>
      </c>
      <c r="Q1227" s="15">
        <f>Output[[#This Row],[Droit Utilisation]]/Output[[#This Row],[Duree_Mois]]</f>
        <v>5565.2357686805326</v>
      </c>
    </row>
    <row r="1228" spans="1:17" x14ac:dyDescent="0.25">
      <c r="A1228" s="11" t="s">
        <v>21</v>
      </c>
      <c r="B1228" s="12">
        <v>43831</v>
      </c>
      <c r="C1228">
        <v>6000</v>
      </c>
      <c r="D1228">
        <v>5</v>
      </c>
      <c r="E1228">
        <v>0.03</v>
      </c>
      <c r="F1228">
        <v>60</v>
      </c>
      <c r="G1228" s="13">
        <v>43921</v>
      </c>
      <c r="H1228">
        <v>1227</v>
      </c>
      <c r="I1228">
        <v>3</v>
      </c>
      <c r="J1228">
        <v>2.5000000000000001E-3</v>
      </c>
      <c r="K1228" s="14">
        <v>5955.2240660033622</v>
      </c>
      <c r="L1228" s="14">
        <v>333914.14612083195</v>
      </c>
      <c r="M1228" s="36">
        <f>IF(Output[[#This Row],[Index]]=1,Output[[#This Row],[Droit Utilisation]],P1227)</f>
        <v>323570.80381484935</v>
      </c>
      <c r="N1228" s="15">
        <f>Output[[#This Row],[Capital Debut Period]]*Output[[#This Row],[Tx_interet_M]]</f>
        <v>808.92700953712335</v>
      </c>
      <c r="O1228" s="15">
        <f>Output[[#This Row],[Mensualité initial]]-Output[[#This Row],[Interet]]</f>
        <v>5191.072990462877</v>
      </c>
      <c r="P1228" s="15">
        <f>Output[[#This Row],[Capital Debut Period]]-Output[[#This Row],[Paiement Principal]]</f>
        <v>318379.73082438647</v>
      </c>
      <c r="Q1228" s="15">
        <f>Output[[#This Row],[Droit Utilisation]]/Output[[#This Row],[Duree_Mois]]</f>
        <v>5565.2357686805326</v>
      </c>
    </row>
    <row r="1229" spans="1:17" x14ac:dyDescent="0.25">
      <c r="A1229" s="11" t="s">
        <v>21</v>
      </c>
      <c r="B1229" s="12">
        <v>43831</v>
      </c>
      <c r="C1229">
        <v>6000</v>
      </c>
      <c r="D1229">
        <v>5</v>
      </c>
      <c r="E1229">
        <v>0.03</v>
      </c>
      <c r="F1229">
        <v>60</v>
      </c>
      <c r="G1229" s="13">
        <v>43951</v>
      </c>
      <c r="H1229">
        <v>1228</v>
      </c>
      <c r="I1229">
        <v>4</v>
      </c>
      <c r="J1229">
        <v>2.5000000000000001E-3</v>
      </c>
      <c r="K1229" s="14">
        <v>5940.3731331704357</v>
      </c>
      <c r="L1229" s="14">
        <v>333914.14612083195</v>
      </c>
      <c r="M1229" s="36">
        <f>IF(Output[[#This Row],[Index]]=1,Output[[#This Row],[Droit Utilisation]],P1228)</f>
        <v>318379.73082438647</v>
      </c>
      <c r="N1229" s="15">
        <f>Output[[#This Row],[Capital Debut Period]]*Output[[#This Row],[Tx_interet_M]]</f>
        <v>795.9493270609662</v>
      </c>
      <c r="O1229" s="15">
        <f>Output[[#This Row],[Mensualité initial]]-Output[[#This Row],[Interet]]</f>
        <v>5204.0506729390336</v>
      </c>
      <c r="P1229" s="15">
        <f>Output[[#This Row],[Capital Debut Period]]-Output[[#This Row],[Paiement Principal]]</f>
        <v>313175.68015144742</v>
      </c>
      <c r="Q1229" s="15">
        <f>Output[[#This Row],[Droit Utilisation]]/Output[[#This Row],[Duree_Mois]]</f>
        <v>5565.2357686805326</v>
      </c>
    </row>
    <row r="1230" spans="1:17" x14ac:dyDescent="0.25">
      <c r="A1230" s="11" t="s">
        <v>21</v>
      </c>
      <c r="B1230" s="12">
        <v>43831</v>
      </c>
      <c r="C1230">
        <v>6000</v>
      </c>
      <c r="D1230">
        <v>5</v>
      </c>
      <c r="E1230">
        <v>0.03</v>
      </c>
      <c r="F1230">
        <v>60</v>
      </c>
      <c r="G1230" s="13">
        <v>43982</v>
      </c>
      <c r="H1230">
        <v>1229</v>
      </c>
      <c r="I1230">
        <v>5</v>
      </c>
      <c r="J1230">
        <v>2.5000000000000001E-3</v>
      </c>
      <c r="K1230" s="14">
        <v>5925.5592350827301</v>
      </c>
      <c r="L1230" s="14">
        <v>333914.14612083195</v>
      </c>
      <c r="M1230" s="36">
        <f>IF(Output[[#This Row],[Index]]=1,Output[[#This Row],[Droit Utilisation]],P1229)</f>
        <v>313175.68015144742</v>
      </c>
      <c r="N1230" s="15">
        <f>Output[[#This Row],[Capital Debut Period]]*Output[[#This Row],[Tx_interet_M]]</f>
        <v>782.93920037861858</v>
      </c>
      <c r="O1230" s="15">
        <f>Output[[#This Row],[Mensualité initial]]-Output[[#This Row],[Interet]]</f>
        <v>5217.0607996213812</v>
      </c>
      <c r="P1230" s="15">
        <f>Output[[#This Row],[Capital Debut Period]]-Output[[#This Row],[Paiement Principal]]</f>
        <v>307958.61935182603</v>
      </c>
      <c r="Q1230" s="15">
        <f>Output[[#This Row],[Droit Utilisation]]/Output[[#This Row],[Duree_Mois]]</f>
        <v>5565.2357686805326</v>
      </c>
    </row>
    <row r="1231" spans="1:17" x14ac:dyDescent="0.25">
      <c r="A1231" s="11" t="s">
        <v>21</v>
      </c>
      <c r="B1231" s="12">
        <v>43831</v>
      </c>
      <c r="C1231">
        <v>6000</v>
      </c>
      <c r="D1231">
        <v>5</v>
      </c>
      <c r="E1231">
        <v>0.03</v>
      </c>
      <c r="F1231">
        <v>60</v>
      </c>
      <c r="G1231" s="13">
        <v>44012</v>
      </c>
      <c r="H1231">
        <v>1230</v>
      </c>
      <c r="I1231">
        <v>6</v>
      </c>
      <c r="J1231">
        <v>2.5000000000000001E-3</v>
      </c>
      <c r="K1231" s="14">
        <v>5910.7822793842697</v>
      </c>
      <c r="L1231" s="14">
        <v>333914.14612083195</v>
      </c>
      <c r="M1231" s="36">
        <f>IF(Output[[#This Row],[Index]]=1,Output[[#This Row],[Droit Utilisation]],P1230)</f>
        <v>307958.61935182603</v>
      </c>
      <c r="N1231" s="15">
        <f>Output[[#This Row],[Capital Debut Period]]*Output[[#This Row],[Tx_interet_M]]</f>
        <v>769.89654837956505</v>
      </c>
      <c r="O1231" s="15">
        <f>Output[[#This Row],[Mensualité initial]]-Output[[#This Row],[Interet]]</f>
        <v>5230.1034516204345</v>
      </c>
      <c r="P1231" s="15">
        <f>Output[[#This Row],[Capital Debut Period]]-Output[[#This Row],[Paiement Principal]]</f>
        <v>302728.51590020559</v>
      </c>
      <c r="Q1231" s="15">
        <f>Output[[#This Row],[Droit Utilisation]]/Output[[#This Row],[Duree_Mois]]</f>
        <v>5565.2357686805326</v>
      </c>
    </row>
    <row r="1232" spans="1:17" x14ac:dyDescent="0.25">
      <c r="A1232" s="11" t="s">
        <v>21</v>
      </c>
      <c r="B1232" s="12">
        <v>43831</v>
      </c>
      <c r="C1232">
        <v>6000</v>
      </c>
      <c r="D1232">
        <v>5</v>
      </c>
      <c r="E1232">
        <v>0.03</v>
      </c>
      <c r="F1232">
        <v>60</v>
      </c>
      <c r="G1232" s="13">
        <v>44043</v>
      </c>
      <c r="H1232">
        <v>1231</v>
      </c>
      <c r="I1232">
        <v>7</v>
      </c>
      <c r="J1232">
        <v>2.5000000000000001E-3</v>
      </c>
      <c r="K1232" s="14">
        <v>5896.0421739493959</v>
      </c>
      <c r="L1232" s="14">
        <v>333914.14612083195</v>
      </c>
      <c r="M1232" s="36">
        <f>IF(Output[[#This Row],[Index]]=1,Output[[#This Row],[Droit Utilisation]],P1231)</f>
        <v>302728.51590020559</v>
      </c>
      <c r="N1232" s="15">
        <f>Output[[#This Row],[Capital Debut Period]]*Output[[#This Row],[Tx_interet_M]]</f>
        <v>756.82128975051398</v>
      </c>
      <c r="O1232" s="15">
        <f>Output[[#This Row],[Mensualité initial]]-Output[[#This Row],[Interet]]</f>
        <v>5243.1787102494864</v>
      </c>
      <c r="P1232" s="15">
        <f>Output[[#This Row],[Capital Debut Period]]-Output[[#This Row],[Paiement Principal]]</f>
        <v>297485.3371899561</v>
      </c>
      <c r="Q1232" s="15">
        <f>Output[[#This Row],[Droit Utilisation]]/Output[[#This Row],[Duree_Mois]]</f>
        <v>5565.2357686805326</v>
      </c>
    </row>
    <row r="1233" spans="1:17" x14ac:dyDescent="0.25">
      <c r="A1233" s="11" t="s">
        <v>21</v>
      </c>
      <c r="B1233" s="12">
        <v>43831</v>
      </c>
      <c r="C1233">
        <v>6000</v>
      </c>
      <c r="D1233">
        <v>5</v>
      </c>
      <c r="E1233">
        <v>0.03</v>
      </c>
      <c r="F1233">
        <v>60</v>
      </c>
      <c r="G1233" s="13">
        <v>44074</v>
      </c>
      <c r="H1233">
        <v>1232</v>
      </c>
      <c r="I1233">
        <v>8</v>
      </c>
      <c r="J1233">
        <v>2.5000000000000001E-3</v>
      </c>
      <c r="K1233" s="14">
        <v>5881.3388268821909</v>
      </c>
      <c r="L1233" s="14">
        <v>333914.14612083195</v>
      </c>
      <c r="M1233" s="36">
        <f>IF(Output[[#This Row],[Index]]=1,Output[[#This Row],[Droit Utilisation]],P1232)</f>
        <v>297485.3371899561</v>
      </c>
      <c r="N1233" s="15">
        <f>Output[[#This Row],[Capital Debut Period]]*Output[[#This Row],[Tx_interet_M]]</f>
        <v>743.71334297489022</v>
      </c>
      <c r="O1233" s="15">
        <f>Output[[#This Row],[Mensualité initial]]-Output[[#This Row],[Interet]]</f>
        <v>5256.2866570251099</v>
      </c>
      <c r="P1233" s="15">
        <f>Output[[#This Row],[Capital Debut Period]]-Output[[#This Row],[Paiement Principal]]</f>
        <v>292229.050532931</v>
      </c>
      <c r="Q1233" s="15">
        <f>Output[[#This Row],[Droit Utilisation]]/Output[[#This Row],[Duree_Mois]]</f>
        <v>5565.2357686805326</v>
      </c>
    </row>
    <row r="1234" spans="1:17" x14ac:dyDescent="0.25">
      <c r="A1234" s="11" t="s">
        <v>21</v>
      </c>
      <c r="B1234" s="12">
        <v>43831</v>
      </c>
      <c r="C1234">
        <v>6000</v>
      </c>
      <c r="D1234">
        <v>5</v>
      </c>
      <c r="E1234">
        <v>0.03</v>
      </c>
      <c r="F1234">
        <v>60</v>
      </c>
      <c r="G1234" s="13">
        <v>44104</v>
      </c>
      <c r="H1234">
        <v>1233</v>
      </c>
      <c r="I1234">
        <v>9</v>
      </c>
      <c r="J1234">
        <v>2.5000000000000001E-3</v>
      </c>
      <c r="K1234" s="14">
        <v>5866.6721465159017</v>
      </c>
      <c r="L1234" s="14">
        <v>333914.14612083195</v>
      </c>
      <c r="M1234" s="36">
        <f>IF(Output[[#This Row],[Index]]=1,Output[[#This Row],[Droit Utilisation]],P1233)</f>
        <v>292229.050532931</v>
      </c>
      <c r="N1234" s="15">
        <f>Output[[#This Row],[Capital Debut Period]]*Output[[#This Row],[Tx_interet_M]]</f>
        <v>730.57262633232756</v>
      </c>
      <c r="O1234" s="15">
        <f>Output[[#This Row],[Mensualité initial]]-Output[[#This Row],[Interet]]</f>
        <v>5269.4273736676723</v>
      </c>
      <c r="P1234" s="15">
        <f>Output[[#This Row],[Capital Debut Period]]-Output[[#This Row],[Paiement Principal]]</f>
        <v>286959.62315926334</v>
      </c>
      <c r="Q1234" s="15">
        <f>Output[[#This Row],[Droit Utilisation]]/Output[[#This Row],[Duree_Mois]]</f>
        <v>5565.2357686805326</v>
      </c>
    </row>
    <row r="1235" spans="1:17" x14ac:dyDescent="0.25">
      <c r="A1235" s="11" t="s">
        <v>21</v>
      </c>
      <c r="B1235" s="12">
        <v>43831</v>
      </c>
      <c r="C1235">
        <v>6000</v>
      </c>
      <c r="D1235">
        <v>5</v>
      </c>
      <c r="E1235">
        <v>0.03</v>
      </c>
      <c r="F1235">
        <v>60</v>
      </c>
      <c r="G1235" s="13">
        <v>44135</v>
      </c>
      <c r="H1235">
        <v>1234</v>
      </c>
      <c r="I1235">
        <v>10</v>
      </c>
      <c r="J1235">
        <v>2.5000000000000001E-3</v>
      </c>
      <c r="K1235" s="14">
        <v>5852.042041412371</v>
      </c>
      <c r="L1235" s="14">
        <v>333914.14612083195</v>
      </c>
      <c r="M1235" s="36">
        <f>IF(Output[[#This Row],[Index]]=1,Output[[#This Row],[Droit Utilisation]],P1234)</f>
        <v>286959.62315926334</v>
      </c>
      <c r="N1235" s="15">
        <f>Output[[#This Row],[Capital Debut Period]]*Output[[#This Row],[Tx_interet_M]]</f>
        <v>717.39905789815839</v>
      </c>
      <c r="O1235" s="15">
        <f>Output[[#This Row],[Mensualité initial]]-Output[[#This Row],[Interet]]</f>
        <v>5282.6009421018416</v>
      </c>
      <c r="P1235" s="15">
        <f>Output[[#This Row],[Capital Debut Period]]-Output[[#This Row],[Paiement Principal]]</f>
        <v>281677.02221716149</v>
      </c>
      <c r="Q1235" s="15">
        <f>Output[[#This Row],[Droit Utilisation]]/Output[[#This Row],[Duree_Mois]]</f>
        <v>5565.2357686805326</v>
      </c>
    </row>
    <row r="1236" spans="1:17" x14ac:dyDescent="0.25">
      <c r="A1236" s="11" t="s">
        <v>21</v>
      </c>
      <c r="B1236" s="12">
        <v>43831</v>
      </c>
      <c r="C1236">
        <v>6000</v>
      </c>
      <c r="D1236">
        <v>5</v>
      </c>
      <c r="E1236">
        <v>0.03</v>
      </c>
      <c r="F1236">
        <v>60</v>
      </c>
      <c r="G1236" s="13">
        <v>44165</v>
      </c>
      <c r="H1236">
        <v>1235</v>
      </c>
      <c r="I1236">
        <v>11</v>
      </c>
      <c r="J1236">
        <v>2.5000000000000001E-3</v>
      </c>
      <c r="K1236" s="14">
        <v>5837.4484203614675</v>
      </c>
      <c r="L1236" s="14">
        <v>333914.14612083195</v>
      </c>
      <c r="M1236" s="36">
        <f>IF(Output[[#This Row],[Index]]=1,Output[[#This Row],[Droit Utilisation]],P1235)</f>
        <v>281677.02221716149</v>
      </c>
      <c r="N1236" s="15">
        <f>Output[[#This Row],[Capital Debut Period]]*Output[[#This Row],[Tx_interet_M]]</f>
        <v>704.19255554290373</v>
      </c>
      <c r="O1236" s="15">
        <f>Output[[#This Row],[Mensualité initial]]-Output[[#This Row],[Interet]]</f>
        <v>5295.8074444570966</v>
      </c>
      <c r="P1236" s="15">
        <f>Output[[#This Row],[Capital Debut Period]]-Output[[#This Row],[Paiement Principal]]</f>
        <v>276381.21477270441</v>
      </c>
      <c r="Q1236" s="15">
        <f>Output[[#This Row],[Droit Utilisation]]/Output[[#This Row],[Duree_Mois]]</f>
        <v>5565.2357686805326</v>
      </c>
    </row>
    <row r="1237" spans="1:17" x14ac:dyDescent="0.25">
      <c r="A1237" s="11" t="s">
        <v>21</v>
      </c>
      <c r="B1237" s="12">
        <v>43831</v>
      </c>
      <c r="C1237">
        <v>6000</v>
      </c>
      <c r="D1237">
        <v>5</v>
      </c>
      <c r="E1237">
        <v>0.03</v>
      </c>
      <c r="F1237">
        <v>60</v>
      </c>
      <c r="G1237" s="13">
        <v>44196</v>
      </c>
      <c r="H1237">
        <v>1236</v>
      </c>
      <c r="I1237">
        <v>12</v>
      </c>
      <c r="J1237">
        <v>2.5000000000000001E-3</v>
      </c>
      <c r="K1237" s="14">
        <v>5822.8911923805163</v>
      </c>
      <c r="L1237" s="14">
        <v>333914.14612083195</v>
      </c>
      <c r="M1237" s="36">
        <f>IF(Output[[#This Row],[Index]]=1,Output[[#This Row],[Droit Utilisation]],P1236)</f>
        <v>276381.21477270441</v>
      </c>
      <c r="N1237" s="15">
        <f>Output[[#This Row],[Capital Debut Period]]*Output[[#This Row],[Tx_interet_M]]</f>
        <v>690.95303693176106</v>
      </c>
      <c r="O1237" s="15">
        <f>Output[[#This Row],[Mensualité initial]]-Output[[#This Row],[Interet]]</f>
        <v>5309.0469630682392</v>
      </c>
      <c r="P1237" s="15">
        <f>Output[[#This Row],[Capital Debut Period]]-Output[[#This Row],[Paiement Principal]]</f>
        <v>271072.16780963616</v>
      </c>
      <c r="Q1237" s="15">
        <f>Output[[#This Row],[Droit Utilisation]]/Output[[#This Row],[Duree_Mois]]</f>
        <v>5565.2357686805326</v>
      </c>
    </row>
    <row r="1238" spans="1:17" x14ac:dyDescent="0.25">
      <c r="A1238" s="11" t="s">
        <v>21</v>
      </c>
      <c r="B1238" s="12">
        <v>43831</v>
      </c>
      <c r="C1238">
        <v>6000</v>
      </c>
      <c r="D1238">
        <v>5</v>
      </c>
      <c r="E1238">
        <v>0.03</v>
      </c>
      <c r="F1238">
        <v>60</v>
      </c>
      <c r="G1238" s="13">
        <v>44227</v>
      </c>
      <c r="H1238">
        <v>1237</v>
      </c>
      <c r="I1238">
        <v>13</v>
      </c>
      <c r="J1238">
        <v>2.5000000000000001E-3</v>
      </c>
      <c r="K1238" s="14">
        <v>5808.3702667137322</v>
      </c>
      <c r="L1238" s="14">
        <v>333914.14612083195</v>
      </c>
      <c r="M1238" s="36">
        <f>IF(Output[[#This Row],[Index]]=1,Output[[#This Row],[Droit Utilisation]],P1237)</f>
        <v>271072.16780963616</v>
      </c>
      <c r="N1238" s="15">
        <f>Output[[#This Row],[Capital Debut Period]]*Output[[#This Row],[Tx_interet_M]]</f>
        <v>677.68041952409044</v>
      </c>
      <c r="O1238" s="15">
        <f>Output[[#This Row],[Mensualité initial]]-Output[[#This Row],[Interet]]</f>
        <v>5322.3195804759098</v>
      </c>
      <c r="P1238" s="15">
        <f>Output[[#This Row],[Capital Debut Period]]-Output[[#This Row],[Paiement Principal]]</f>
        <v>265749.84822916024</v>
      </c>
      <c r="Q1238" s="15">
        <f>Output[[#This Row],[Droit Utilisation]]/Output[[#This Row],[Duree_Mois]]</f>
        <v>5565.2357686805326</v>
      </c>
    </row>
    <row r="1239" spans="1:17" x14ac:dyDescent="0.25">
      <c r="A1239" s="11" t="s">
        <v>21</v>
      </c>
      <c r="B1239" s="12">
        <v>43831</v>
      </c>
      <c r="C1239">
        <v>6000</v>
      </c>
      <c r="D1239">
        <v>5</v>
      </c>
      <c r="E1239">
        <v>0.03</v>
      </c>
      <c r="F1239">
        <v>60</v>
      </c>
      <c r="G1239" s="13">
        <v>44255</v>
      </c>
      <c r="H1239">
        <v>1238</v>
      </c>
      <c r="I1239">
        <v>14</v>
      </c>
      <c r="J1239">
        <v>2.5000000000000001E-3</v>
      </c>
      <c r="K1239" s="14">
        <v>5793.8855528316535</v>
      </c>
      <c r="L1239" s="14">
        <v>333914.14612083195</v>
      </c>
      <c r="M1239" s="36">
        <f>IF(Output[[#This Row],[Index]]=1,Output[[#This Row],[Droit Utilisation]],P1238)</f>
        <v>265749.84822916024</v>
      </c>
      <c r="N1239" s="15">
        <f>Output[[#This Row],[Capital Debut Period]]*Output[[#This Row],[Tx_interet_M]]</f>
        <v>664.37462057290065</v>
      </c>
      <c r="O1239" s="15">
        <f>Output[[#This Row],[Mensualité initial]]-Output[[#This Row],[Interet]]</f>
        <v>5335.6253794270997</v>
      </c>
      <c r="P1239" s="15">
        <f>Output[[#This Row],[Capital Debut Period]]-Output[[#This Row],[Paiement Principal]]</f>
        <v>260414.22284973314</v>
      </c>
      <c r="Q1239" s="15">
        <f>Output[[#This Row],[Droit Utilisation]]/Output[[#This Row],[Duree_Mois]]</f>
        <v>5565.2357686805326</v>
      </c>
    </row>
    <row r="1240" spans="1:17" x14ac:dyDescent="0.25">
      <c r="A1240" s="11" t="s">
        <v>21</v>
      </c>
      <c r="B1240" s="12">
        <v>43831</v>
      </c>
      <c r="C1240">
        <v>6000</v>
      </c>
      <c r="D1240">
        <v>5</v>
      </c>
      <c r="E1240">
        <v>0.03</v>
      </c>
      <c r="F1240">
        <v>60</v>
      </c>
      <c r="G1240" s="13">
        <v>44286</v>
      </c>
      <c r="H1240">
        <v>1239</v>
      </c>
      <c r="I1240">
        <v>15</v>
      </c>
      <c r="J1240">
        <v>2.5000000000000001E-3</v>
      </c>
      <c r="K1240" s="14">
        <v>5779.4369604305775</v>
      </c>
      <c r="L1240" s="14">
        <v>333914.14612083195</v>
      </c>
      <c r="M1240" s="36">
        <f>IF(Output[[#This Row],[Index]]=1,Output[[#This Row],[Droit Utilisation]],P1239)</f>
        <v>260414.22284973314</v>
      </c>
      <c r="N1240" s="15">
        <f>Output[[#This Row],[Capital Debut Period]]*Output[[#This Row],[Tx_interet_M]]</f>
        <v>651.03555712433285</v>
      </c>
      <c r="O1240" s="15">
        <f>Output[[#This Row],[Mensualité initial]]-Output[[#This Row],[Interet]]</f>
        <v>5348.9644428756674</v>
      </c>
      <c r="P1240" s="15">
        <f>Output[[#This Row],[Capital Debut Period]]-Output[[#This Row],[Paiement Principal]]</f>
        <v>255065.25840685747</v>
      </c>
      <c r="Q1240" s="15">
        <f>Output[[#This Row],[Droit Utilisation]]/Output[[#This Row],[Duree_Mois]]</f>
        <v>5565.2357686805326</v>
      </c>
    </row>
    <row r="1241" spans="1:17" x14ac:dyDescent="0.25">
      <c r="A1241" s="11" t="s">
        <v>21</v>
      </c>
      <c r="B1241" s="12">
        <v>43831</v>
      </c>
      <c r="C1241">
        <v>6000</v>
      </c>
      <c r="D1241">
        <v>5</v>
      </c>
      <c r="E1241">
        <v>0.03</v>
      </c>
      <c r="F1241">
        <v>60</v>
      </c>
      <c r="G1241" s="13">
        <v>44316</v>
      </c>
      <c r="H1241">
        <v>1240</v>
      </c>
      <c r="I1241">
        <v>16</v>
      </c>
      <c r="J1241">
        <v>2.5000000000000001E-3</v>
      </c>
      <c r="K1241" s="14">
        <v>5765.0243994319981</v>
      </c>
      <c r="L1241" s="14">
        <v>333914.14612083195</v>
      </c>
      <c r="M1241" s="36">
        <f>IF(Output[[#This Row],[Index]]=1,Output[[#This Row],[Droit Utilisation]],P1240)</f>
        <v>255065.25840685747</v>
      </c>
      <c r="N1241" s="15">
        <f>Output[[#This Row],[Capital Debut Period]]*Output[[#This Row],[Tx_interet_M]]</f>
        <v>637.66314601714373</v>
      </c>
      <c r="O1241" s="15">
        <f>Output[[#This Row],[Mensualité initial]]-Output[[#This Row],[Interet]]</f>
        <v>5362.3368539828562</v>
      </c>
      <c r="P1241" s="15">
        <f>Output[[#This Row],[Capital Debut Period]]-Output[[#This Row],[Paiement Principal]]</f>
        <v>249702.92155287461</v>
      </c>
      <c r="Q1241" s="15">
        <f>Output[[#This Row],[Droit Utilisation]]/Output[[#This Row],[Duree_Mois]]</f>
        <v>5565.2357686805326</v>
      </c>
    </row>
    <row r="1242" spans="1:17" x14ac:dyDescent="0.25">
      <c r="A1242" s="11" t="s">
        <v>21</v>
      </c>
      <c r="B1242" s="12">
        <v>43831</v>
      </c>
      <c r="C1242">
        <v>6000</v>
      </c>
      <c r="D1242">
        <v>5</v>
      </c>
      <c r="E1242">
        <v>0.03</v>
      </c>
      <c r="F1242">
        <v>60</v>
      </c>
      <c r="G1242" s="13">
        <v>44347</v>
      </c>
      <c r="H1242">
        <v>1241</v>
      </c>
      <c r="I1242">
        <v>17</v>
      </c>
      <c r="J1242">
        <v>2.5000000000000001E-3</v>
      </c>
      <c r="K1242" s="14">
        <v>5750.6477799820432</v>
      </c>
      <c r="L1242" s="14">
        <v>333914.14612083195</v>
      </c>
      <c r="M1242" s="36">
        <f>IF(Output[[#This Row],[Index]]=1,Output[[#This Row],[Droit Utilisation]],P1241)</f>
        <v>249702.92155287461</v>
      </c>
      <c r="N1242" s="15">
        <f>Output[[#This Row],[Capital Debut Period]]*Output[[#This Row],[Tx_interet_M]]</f>
        <v>624.25730388218653</v>
      </c>
      <c r="O1242" s="15">
        <f>Output[[#This Row],[Mensualité initial]]-Output[[#This Row],[Interet]]</f>
        <v>5375.7426961178135</v>
      </c>
      <c r="P1242" s="15">
        <f>Output[[#This Row],[Capital Debut Period]]-Output[[#This Row],[Paiement Principal]]</f>
        <v>244327.1788567568</v>
      </c>
      <c r="Q1242" s="15">
        <f>Output[[#This Row],[Droit Utilisation]]/Output[[#This Row],[Duree_Mois]]</f>
        <v>5565.2357686805326</v>
      </c>
    </row>
    <row r="1243" spans="1:17" x14ac:dyDescent="0.25">
      <c r="A1243" s="11" t="s">
        <v>21</v>
      </c>
      <c r="B1243" s="12">
        <v>43831</v>
      </c>
      <c r="C1243">
        <v>6000</v>
      </c>
      <c r="D1243">
        <v>5</v>
      </c>
      <c r="E1243">
        <v>0.03</v>
      </c>
      <c r="F1243">
        <v>60</v>
      </c>
      <c r="G1243" s="13">
        <v>44377</v>
      </c>
      <c r="H1243">
        <v>1242</v>
      </c>
      <c r="I1243">
        <v>18</v>
      </c>
      <c r="J1243">
        <v>2.5000000000000001E-3</v>
      </c>
      <c r="K1243" s="14">
        <v>5736.3070124509168</v>
      </c>
      <c r="L1243" s="14">
        <v>333914.14612083195</v>
      </c>
      <c r="M1243" s="36">
        <f>IF(Output[[#This Row],[Index]]=1,Output[[#This Row],[Droit Utilisation]],P1242)</f>
        <v>244327.1788567568</v>
      </c>
      <c r="N1243" s="15">
        <f>Output[[#This Row],[Capital Debut Period]]*Output[[#This Row],[Tx_interet_M]]</f>
        <v>610.81794714189198</v>
      </c>
      <c r="O1243" s="15">
        <f>Output[[#This Row],[Mensualité initial]]-Output[[#This Row],[Interet]]</f>
        <v>5389.1820528581084</v>
      </c>
      <c r="P1243" s="15">
        <f>Output[[#This Row],[Capital Debut Period]]-Output[[#This Row],[Paiement Principal]]</f>
        <v>238937.99680389868</v>
      </c>
      <c r="Q1243" s="15">
        <f>Output[[#This Row],[Droit Utilisation]]/Output[[#This Row],[Duree_Mois]]</f>
        <v>5565.2357686805326</v>
      </c>
    </row>
    <row r="1244" spans="1:17" x14ac:dyDescent="0.25">
      <c r="A1244" s="11" t="s">
        <v>21</v>
      </c>
      <c r="B1244" s="12">
        <v>43831</v>
      </c>
      <c r="C1244">
        <v>6000</v>
      </c>
      <c r="D1244">
        <v>5</v>
      </c>
      <c r="E1244">
        <v>0.03</v>
      </c>
      <c r="F1244">
        <v>60</v>
      </c>
      <c r="G1244" s="13">
        <v>44408</v>
      </c>
      <c r="H1244">
        <v>1243</v>
      </c>
      <c r="I1244">
        <v>19</v>
      </c>
      <c r="J1244">
        <v>2.5000000000000001E-3</v>
      </c>
      <c r="K1244" s="14">
        <v>5722.0020074323356</v>
      </c>
      <c r="L1244" s="14">
        <v>333914.14612083195</v>
      </c>
      <c r="M1244" s="36">
        <f>IF(Output[[#This Row],[Index]]=1,Output[[#This Row],[Droit Utilisation]],P1243)</f>
        <v>238937.99680389868</v>
      </c>
      <c r="N1244" s="15">
        <f>Output[[#This Row],[Capital Debut Period]]*Output[[#This Row],[Tx_interet_M]]</f>
        <v>597.34499200974676</v>
      </c>
      <c r="O1244" s="15">
        <f>Output[[#This Row],[Mensualité initial]]-Output[[#This Row],[Interet]]</f>
        <v>5402.6550079902536</v>
      </c>
      <c r="P1244" s="15">
        <f>Output[[#This Row],[Capital Debut Period]]-Output[[#This Row],[Paiement Principal]]</f>
        <v>233535.34179590843</v>
      </c>
      <c r="Q1244" s="15">
        <f>Output[[#This Row],[Droit Utilisation]]/Output[[#This Row],[Duree_Mois]]</f>
        <v>5565.2357686805326</v>
      </c>
    </row>
    <row r="1245" spans="1:17" x14ac:dyDescent="0.25">
      <c r="A1245" s="11" t="s">
        <v>21</v>
      </c>
      <c r="B1245" s="12">
        <v>43831</v>
      </c>
      <c r="C1245">
        <v>6000</v>
      </c>
      <c r="D1245">
        <v>5</v>
      </c>
      <c r="E1245">
        <v>0.03</v>
      </c>
      <c r="F1245">
        <v>60</v>
      </c>
      <c r="G1245" s="13">
        <v>44439</v>
      </c>
      <c r="H1245">
        <v>1244</v>
      </c>
      <c r="I1245">
        <v>20</v>
      </c>
      <c r="J1245">
        <v>2.5000000000000001E-3</v>
      </c>
      <c r="K1245" s="14">
        <v>5707.7326757429792</v>
      </c>
      <c r="L1245" s="14">
        <v>333914.14612083195</v>
      </c>
      <c r="M1245" s="36">
        <f>IF(Output[[#This Row],[Index]]=1,Output[[#This Row],[Droit Utilisation]],P1244)</f>
        <v>233535.34179590843</v>
      </c>
      <c r="N1245" s="15">
        <f>Output[[#This Row],[Capital Debut Period]]*Output[[#This Row],[Tx_interet_M]]</f>
        <v>583.83835448977106</v>
      </c>
      <c r="O1245" s="15">
        <f>Output[[#This Row],[Mensualité initial]]-Output[[#This Row],[Interet]]</f>
        <v>5416.1616455102285</v>
      </c>
      <c r="P1245" s="15">
        <f>Output[[#This Row],[Capital Debut Period]]-Output[[#This Row],[Paiement Principal]]</f>
        <v>228119.1801503982</v>
      </c>
      <c r="Q1245" s="15">
        <f>Output[[#This Row],[Droit Utilisation]]/Output[[#This Row],[Duree_Mois]]</f>
        <v>5565.2357686805326</v>
      </c>
    </row>
    <row r="1246" spans="1:17" x14ac:dyDescent="0.25">
      <c r="A1246" s="11" t="s">
        <v>21</v>
      </c>
      <c r="B1246" s="12">
        <v>43831</v>
      </c>
      <c r="C1246">
        <v>6000</v>
      </c>
      <c r="D1246">
        <v>5</v>
      </c>
      <c r="E1246">
        <v>0.03</v>
      </c>
      <c r="F1246">
        <v>60</v>
      </c>
      <c r="G1246" s="13">
        <v>44469</v>
      </c>
      <c r="H1246">
        <v>1245</v>
      </c>
      <c r="I1246">
        <v>21</v>
      </c>
      <c r="J1246">
        <v>2.5000000000000001E-3</v>
      </c>
      <c r="K1246" s="14">
        <v>5693.4989284219246</v>
      </c>
      <c r="L1246" s="14">
        <v>333914.14612083195</v>
      </c>
      <c r="M1246" s="36">
        <f>IF(Output[[#This Row],[Index]]=1,Output[[#This Row],[Droit Utilisation]],P1245)</f>
        <v>228119.1801503982</v>
      </c>
      <c r="N1246" s="15">
        <f>Output[[#This Row],[Capital Debut Period]]*Output[[#This Row],[Tx_interet_M]]</f>
        <v>570.29795037599547</v>
      </c>
      <c r="O1246" s="15">
        <f>Output[[#This Row],[Mensualité initial]]-Output[[#This Row],[Interet]]</f>
        <v>5429.7020496240048</v>
      </c>
      <c r="P1246" s="15">
        <f>Output[[#This Row],[Capital Debut Period]]-Output[[#This Row],[Paiement Principal]]</f>
        <v>222689.4781007742</v>
      </c>
      <c r="Q1246" s="15">
        <f>Output[[#This Row],[Droit Utilisation]]/Output[[#This Row],[Duree_Mois]]</f>
        <v>5565.2357686805326</v>
      </c>
    </row>
    <row r="1247" spans="1:17" x14ac:dyDescent="0.25">
      <c r="A1247" s="11" t="s">
        <v>21</v>
      </c>
      <c r="B1247" s="12">
        <v>43831</v>
      </c>
      <c r="C1247">
        <v>6000</v>
      </c>
      <c r="D1247">
        <v>5</v>
      </c>
      <c r="E1247">
        <v>0.03</v>
      </c>
      <c r="F1247">
        <v>60</v>
      </c>
      <c r="G1247" s="13">
        <v>44500</v>
      </c>
      <c r="H1247">
        <v>1246</v>
      </c>
      <c r="I1247">
        <v>22</v>
      </c>
      <c r="J1247">
        <v>2.5000000000000001E-3</v>
      </c>
      <c r="K1247" s="14">
        <v>5679.3006767300994</v>
      </c>
      <c r="L1247" s="14">
        <v>333914.14612083195</v>
      </c>
      <c r="M1247" s="36">
        <f>IF(Output[[#This Row],[Index]]=1,Output[[#This Row],[Droit Utilisation]],P1246)</f>
        <v>222689.4781007742</v>
      </c>
      <c r="N1247" s="15">
        <f>Output[[#This Row],[Capital Debut Period]]*Output[[#This Row],[Tx_interet_M]]</f>
        <v>556.72369525193551</v>
      </c>
      <c r="O1247" s="15">
        <f>Output[[#This Row],[Mensualité initial]]-Output[[#This Row],[Interet]]</f>
        <v>5443.2763047480648</v>
      </c>
      <c r="P1247" s="15">
        <f>Output[[#This Row],[Capital Debut Period]]-Output[[#This Row],[Paiement Principal]]</f>
        <v>217246.20179602614</v>
      </c>
      <c r="Q1247" s="15">
        <f>Output[[#This Row],[Droit Utilisation]]/Output[[#This Row],[Duree_Mois]]</f>
        <v>5565.2357686805326</v>
      </c>
    </row>
    <row r="1248" spans="1:17" x14ac:dyDescent="0.25">
      <c r="A1248" s="11" t="s">
        <v>21</v>
      </c>
      <c r="B1248" s="12">
        <v>43831</v>
      </c>
      <c r="C1248">
        <v>6000</v>
      </c>
      <c r="D1248">
        <v>5</v>
      </c>
      <c r="E1248">
        <v>0.03</v>
      </c>
      <c r="F1248">
        <v>60</v>
      </c>
      <c r="G1248" s="13">
        <v>44530</v>
      </c>
      <c r="H1248">
        <v>1247</v>
      </c>
      <c r="I1248">
        <v>23</v>
      </c>
      <c r="J1248">
        <v>2.5000000000000001E-3</v>
      </c>
      <c r="K1248" s="14">
        <v>5665.137832149725</v>
      </c>
      <c r="L1248" s="14">
        <v>333914.14612083195</v>
      </c>
      <c r="M1248" s="36">
        <f>IF(Output[[#This Row],[Index]]=1,Output[[#This Row],[Droit Utilisation]],P1247)</f>
        <v>217246.20179602614</v>
      </c>
      <c r="N1248" s="15">
        <f>Output[[#This Row],[Capital Debut Period]]*Output[[#This Row],[Tx_interet_M]]</f>
        <v>543.1155044900654</v>
      </c>
      <c r="O1248" s="15">
        <f>Output[[#This Row],[Mensualité initial]]-Output[[#This Row],[Interet]]</f>
        <v>5456.8844955099348</v>
      </c>
      <c r="P1248" s="15">
        <f>Output[[#This Row],[Capital Debut Period]]-Output[[#This Row],[Paiement Principal]]</f>
        <v>211789.31730051621</v>
      </c>
      <c r="Q1248" s="15">
        <f>Output[[#This Row],[Droit Utilisation]]/Output[[#This Row],[Duree_Mois]]</f>
        <v>5565.2357686805326</v>
      </c>
    </row>
    <row r="1249" spans="1:17" x14ac:dyDescent="0.25">
      <c r="A1249" s="11" t="s">
        <v>21</v>
      </c>
      <c r="B1249" s="12">
        <v>43831</v>
      </c>
      <c r="C1249">
        <v>6000</v>
      </c>
      <c r="D1249">
        <v>5</v>
      </c>
      <c r="E1249">
        <v>0.03</v>
      </c>
      <c r="F1249">
        <v>60</v>
      </c>
      <c r="G1249" s="13">
        <v>44561</v>
      </c>
      <c r="H1249">
        <v>1248</v>
      </c>
      <c r="I1249">
        <v>24</v>
      </c>
      <c r="J1249">
        <v>2.5000000000000001E-3</v>
      </c>
      <c r="K1249" s="14">
        <v>5651.010306383766</v>
      </c>
      <c r="L1249" s="14">
        <v>333914.14612083195</v>
      </c>
      <c r="M1249" s="36">
        <f>IF(Output[[#This Row],[Index]]=1,Output[[#This Row],[Droit Utilisation]],P1248)</f>
        <v>211789.31730051621</v>
      </c>
      <c r="N1249" s="15">
        <f>Output[[#This Row],[Capital Debut Period]]*Output[[#This Row],[Tx_interet_M]]</f>
        <v>529.47329325129056</v>
      </c>
      <c r="O1249" s="15">
        <f>Output[[#This Row],[Mensualité initial]]-Output[[#This Row],[Interet]]</f>
        <v>5470.5267067487093</v>
      </c>
      <c r="P1249" s="15">
        <f>Output[[#This Row],[Capital Debut Period]]-Output[[#This Row],[Paiement Principal]]</f>
        <v>206318.79059376751</v>
      </c>
      <c r="Q1249" s="15">
        <f>Output[[#This Row],[Droit Utilisation]]/Output[[#This Row],[Duree_Mois]]</f>
        <v>5565.2357686805326</v>
      </c>
    </row>
    <row r="1250" spans="1:17" x14ac:dyDescent="0.25">
      <c r="A1250" s="11" t="s">
        <v>21</v>
      </c>
      <c r="B1250" s="12">
        <v>43831</v>
      </c>
      <c r="C1250">
        <v>6000</v>
      </c>
      <c r="D1250">
        <v>5</v>
      </c>
      <c r="E1250">
        <v>0.03</v>
      </c>
      <c r="F1250">
        <v>60</v>
      </c>
      <c r="G1250" s="13">
        <v>44592</v>
      </c>
      <c r="H1250">
        <v>1249</v>
      </c>
      <c r="I1250">
        <v>25</v>
      </c>
      <c r="J1250">
        <v>2.5000000000000001E-3</v>
      </c>
      <c r="K1250" s="14">
        <v>5636.9180113553775</v>
      </c>
      <c r="L1250" s="14">
        <v>333914.14612083195</v>
      </c>
      <c r="M1250" s="36">
        <f>IF(Output[[#This Row],[Index]]=1,Output[[#This Row],[Droit Utilisation]],P1249)</f>
        <v>206318.79059376751</v>
      </c>
      <c r="N1250" s="15">
        <f>Output[[#This Row],[Capital Debut Period]]*Output[[#This Row],[Tx_interet_M]]</f>
        <v>515.79697648441879</v>
      </c>
      <c r="O1250" s="15">
        <f>Output[[#This Row],[Mensualité initial]]-Output[[#This Row],[Interet]]</f>
        <v>5484.2030235155817</v>
      </c>
      <c r="P1250" s="15">
        <f>Output[[#This Row],[Capital Debut Period]]-Output[[#This Row],[Paiement Principal]]</f>
        <v>200834.58757025193</v>
      </c>
      <c r="Q1250" s="15">
        <f>Output[[#This Row],[Droit Utilisation]]/Output[[#This Row],[Duree_Mois]]</f>
        <v>5565.2357686805326</v>
      </c>
    </row>
    <row r="1251" spans="1:17" x14ac:dyDescent="0.25">
      <c r="A1251" s="11" t="s">
        <v>21</v>
      </c>
      <c r="B1251" s="12">
        <v>43831</v>
      </c>
      <c r="C1251">
        <v>6000</v>
      </c>
      <c r="D1251">
        <v>5</v>
      </c>
      <c r="E1251">
        <v>0.03</v>
      </c>
      <c r="F1251">
        <v>60</v>
      </c>
      <c r="G1251" s="13">
        <v>44620</v>
      </c>
      <c r="H1251">
        <v>1250</v>
      </c>
      <c r="I1251">
        <v>26</v>
      </c>
      <c r="J1251">
        <v>2.5000000000000001E-3</v>
      </c>
      <c r="K1251" s="14">
        <v>5622.8608592073597</v>
      </c>
      <c r="L1251" s="14">
        <v>333914.14612083195</v>
      </c>
      <c r="M1251" s="36">
        <f>IF(Output[[#This Row],[Index]]=1,Output[[#This Row],[Droit Utilisation]],P1250)</f>
        <v>200834.58757025193</v>
      </c>
      <c r="N1251" s="15">
        <f>Output[[#This Row],[Capital Debut Period]]*Output[[#This Row],[Tx_interet_M]]</f>
        <v>502.08646892562984</v>
      </c>
      <c r="O1251" s="15">
        <f>Output[[#This Row],[Mensualité initial]]-Output[[#This Row],[Interet]]</f>
        <v>5497.9135310743704</v>
      </c>
      <c r="P1251" s="15">
        <f>Output[[#This Row],[Capital Debut Period]]-Output[[#This Row],[Paiement Principal]]</f>
        <v>195336.67403917757</v>
      </c>
      <c r="Q1251" s="15">
        <f>Output[[#This Row],[Droit Utilisation]]/Output[[#This Row],[Duree_Mois]]</f>
        <v>5565.2357686805326</v>
      </c>
    </row>
    <row r="1252" spans="1:17" x14ac:dyDescent="0.25">
      <c r="A1252" s="11" t="s">
        <v>21</v>
      </c>
      <c r="B1252" s="12">
        <v>43831</v>
      </c>
      <c r="C1252">
        <v>6000</v>
      </c>
      <c r="D1252">
        <v>5</v>
      </c>
      <c r="E1252">
        <v>0.03</v>
      </c>
      <c r="F1252">
        <v>60</v>
      </c>
      <c r="G1252" s="13">
        <v>44651</v>
      </c>
      <c r="H1252">
        <v>1251</v>
      </c>
      <c r="I1252">
        <v>27</v>
      </c>
      <c r="J1252">
        <v>2.5000000000000001E-3</v>
      </c>
      <c r="K1252" s="14">
        <v>5608.838762301606</v>
      </c>
      <c r="L1252" s="14">
        <v>333914.14612083195</v>
      </c>
      <c r="M1252" s="36">
        <f>IF(Output[[#This Row],[Index]]=1,Output[[#This Row],[Droit Utilisation]],P1251)</f>
        <v>195336.67403917757</v>
      </c>
      <c r="N1252" s="15">
        <f>Output[[#This Row],[Capital Debut Period]]*Output[[#This Row],[Tx_interet_M]]</f>
        <v>488.34168509794392</v>
      </c>
      <c r="O1252" s="15">
        <f>Output[[#This Row],[Mensualité initial]]-Output[[#This Row],[Interet]]</f>
        <v>5511.6583149020562</v>
      </c>
      <c r="P1252" s="15">
        <f>Output[[#This Row],[Capital Debut Period]]-Output[[#This Row],[Paiement Principal]]</f>
        <v>189825.01572427552</v>
      </c>
      <c r="Q1252" s="15">
        <f>Output[[#This Row],[Droit Utilisation]]/Output[[#This Row],[Duree_Mois]]</f>
        <v>5565.2357686805326</v>
      </c>
    </row>
    <row r="1253" spans="1:17" x14ac:dyDescent="0.25">
      <c r="A1253" s="11" t="s">
        <v>21</v>
      </c>
      <c r="B1253" s="12">
        <v>43831</v>
      </c>
      <c r="C1253">
        <v>6000</v>
      </c>
      <c r="D1253">
        <v>5</v>
      </c>
      <c r="E1253">
        <v>0.03</v>
      </c>
      <c r="F1253">
        <v>60</v>
      </c>
      <c r="G1253" s="13">
        <v>44681</v>
      </c>
      <c r="H1253">
        <v>1252</v>
      </c>
      <c r="I1253">
        <v>28</v>
      </c>
      <c r="J1253">
        <v>2.5000000000000001E-3</v>
      </c>
      <c r="K1253" s="14">
        <v>5594.85163321856</v>
      </c>
      <c r="L1253" s="14">
        <v>333914.14612083195</v>
      </c>
      <c r="M1253" s="36">
        <f>IF(Output[[#This Row],[Index]]=1,Output[[#This Row],[Droit Utilisation]],P1252)</f>
        <v>189825.01572427552</v>
      </c>
      <c r="N1253" s="15">
        <f>Output[[#This Row],[Capital Debut Period]]*Output[[#This Row],[Tx_interet_M]]</f>
        <v>474.56253931068881</v>
      </c>
      <c r="O1253" s="15">
        <f>Output[[#This Row],[Mensualité initial]]-Output[[#This Row],[Interet]]</f>
        <v>5525.4374606893116</v>
      </c>
      <c r="P1253" s="15">
        <f>Output[[#This Row],[Capital Debut Period]]-Output[[#This Row],[Paiement Principal]]</f>
        <v>184299.57826358621</v>
      </c>
      <c r="Q1253" s="15">
        <f>Output[[#This Row],[Droit Utilisation]]/Output[[#This Row],[Duree_Mois]]</f>
        <v>5565.2357686805326</v>
      </c>
    </row>
    <row r="1254" spans="1:17" x14ac:dyDescent="0.25">
      <c r="A1254" s="11" t="s">
        <v>21</v>
      </c>
      <c r="B1254" s="12">
        <v>43831</v>
      </c>
      <c r="C1254">
        <v>6000</v>
      </c>
      <c r="D1254">
        <v>5</v>
      </c>
      <c r="E1254">
        <v>0.03</v>
      </c>
      <c r="F1254">
        <v>60</v>
      </c>
      <c r="G1254" s="13">
        <v>44712</v>
      </c>
      <c r="H1254">
        <v>1253</v>
      </c>
      <c r="I1254">
        <v>29</v>
      </c>
      <c r="J1254">
        <v>2.5000000000000001E-3</v>
      </c>
      <c r="K1254" s="14">
        <v>5580.899384756669</v>
      </c>
      <c r="L1254" s="14">
        <v>333914.14612083195</v>
      </c>
      <c r="M1254" s="36">
        <f>IF(Output[[#This Row],[Index]]=1,Output[[#This Row],[Droit Utilisation]],P1253)</f>
        <v>184299.57826358621</v>
      </c>
      <c r="N1254" s="15">
        <f>Output[[#This Row],[Capital Debut Period]]*Output[[#This Row],[Tx_interet_M]]</f>
        <v>460.74894565896557</v>
      </c>
      <c r="O1254" s="15">
        <f>Output[[#This Row],[Mensualité initial]]-Output[[#This Row],[Interet]]</f>
        <v>5539.2510543410344</v>
      </c>
      <c r="P1254" s="15">
        <f>Output[[#This Row],[Capital Debut Period]]-Output[[#This Row],[Paiement Principal]]</f>
        <v>178760.32720924518</v>
      </c>
      <c r="Q1254" s="15">
        <f>Output[[#This Row],[Droit Utilisation]]/Output[[#This Row],[Duree_Mois]]</f>
        <v>5565.2357686805326</v>
      </c>
    </row>
    <row r="1255" spans="1:17" x14ac:dyDescent="0.25">
      <c r="A1255" s="11" t="s">
        <v>21</v>
      </c>
      <c r="B1255" s="12">
        <v>43831</v>
      </c>
      <c r="C1255">
        <v>6000</v>
      </c>
      <c r="D1255">
        <v>5</v>
      </c>
      <c r="E1255">
        <v>0.03</v>
      </c>
      <c r="F1255">
        <v>60</v>
      </c>
      <c r="G1255" s="13">
        <v>44742</v>
      </c>
      <c r="H1255">
        <v>1254</v>
      </c>
      <c r="I1255">
        <v>30</v>
      </c>
      <c r="J1255">
        <v>2.5000000000000001E-3</v>
      </c>
      <c r="K1255" s="14">
        <v>5566.9819299318397</v>
      </c>
      <c r="L1255" s="14">
        <v>333914.14612083195</v>
      </c>
      <c r="M1255" s="36">
        <f>IF(Output[[#This Row],[Index]]=1,Output[[#This Row],[Droit Utilisation]],P1254)</f>
        <v>178760.32720924518</v>
      </c>
      <c r="N1255" s="15">
        <f>Output[[#This Row],[Capital Debut Period]]*Output[[#This Row],[Tx_interet_M]]</f>
        <v>446.90081802311295</v>
      </c>
      <c r="O1255" s="15">
        <f>Output[[#This Row],[Mensualité initial]]-Output[[#This Row],[Interet]]</f>
        <v>5553.0991819768869</v>
      </c>
      <c r="P1255" s="15">
        <f>Output[[#This Row],[Capital Debut Period]]-Output[[#This Row],[Paiement Principal]]</f>
        <v>173207.22802726828</v>
      </c>
      <c r="Q1255" s="15">
        <f>Output[[#This Row],[Droit Utilisation]]/Output[[#This Row],[Duree_Mois]]</f>
        <v>5565.2357686805326</v>
      </c>
    </row>
    <row r="1256" spans="1:17" x14ac:dyDescent="0.25">
      <c r="A1256" s="11" t="s">
        <v>21</v>
      </c>
      <c r="B1256" s="12">
        <v>43831</v>
      </c>
      <c r="C1256">
        <v>6000</v>
      </c>
      <c r="D1256">
        <v>5</v>
      </c>
      <c r="E1256">
        <v>0.03</v>
      </c>
      <c r="F1256">
        <v>60</v>
      </c>
      <c r="G1256" s="13">
        <v>44773</v>
      </c>
      <c r="H1256">
        <v>1255</v>
      </c>
      <c r="I1256">
        <v>31</v>
      </c>
      <c r="J1256">
        <v>2.5000000000000001E-3</v>
      </c>
      <c r="K1256" s="14">
        <v>5553.0991819768969</v>
      </c>
      <c r="L1256" s="14">
        <v>333914.14612083195</v>
      </c>
      <c r="M1256" s="36">
        <f>IF(Output[[#This Row],[Index]]=1,Output[[#This Row],[Droit Utilisation]],P1255)</f>
        <v>173207.22802726828</v>
      </c>
      <c r="N1256" s="15">
        <f>Output[[#This Row],[Capital Debut Period]]*Output[[#This Row],[Tx_interet_M]]</f>
        <v>433.01807006817074</v>
      </c>
      <c r="O1256" s="15">
        <f>Output[[#This Row],[Mensualité initial]]-Output[[#This Row],[Interet]]</f>
        <v>5566.9819299318297</v>
      </c>
      <c r="P1256" s="15">
        <f>Output[[#This Row],[Capital Debut Period]]-Output[[#This Row],[Paiement Principal]]</f>
        <v>167640.24609733647</v>
      </c>
      <c r="Q1256" s="15">
        <f>Output[[#This Row],[Droit Utilisation]]/Output[[#This Row],[Duree_Mois]]</f>
        <v>5565.2357686805326</v>
      </c>
    </row>
    <row r="1257" spans="1:17" x14ac:dyDescent="0.25">
      <c r="A1257" s="11" t="s">
        <v>21</v>
      </c>
      <c r="B1257" s="12">
        <v>43831</v>
      </c>
      <c r="C1257">
        <v>6000</v>
      </c>
      <c r="D1257">
        <v>5</v>
      </c>
      <c r="E1257">
        <v>0.03</v>
      </c>
      <c r="F1257">
        <v>60</v>
      </c>
      <c r="G1257" s="13">
        <v>44804</v>
      </c>
      <c r="H1257">
        <v>1256</v>
      </c>
      <c r="I1257">
        <v>32</v>
      </c>
      <c r="J1257">
        <v>2.5000000000000001E-3</v>
      </c>
      <c r="K1257" s="14">
        <v>5539.2510543410453</v>
      </c>
      <c r="L1257" s="14">
        <v>333914.14612083195</v>
      </c>
      <c r="M1257" s="36">
        <f>IF(Output[[#This Row],[Index]]=1,Output[[#This Row],[Droit Utilisation]],P1256)</f>
        <v>167640.24609733647</v>
      </c>
      <c r="N1257" s="15">
        <f>Output[[#This Row],[Capital Debut Period]]*Output[[#This Row],[Tx_interet_M]]</f>
        <v>419.10061524334117</v>
      </c>
      <c r="O1257" s="15">
        <f>Output[[#This Row],[Mensualité initial]]-Output[[#This Row],[Interet]]</f>
        <v>5580.8993847566589</v>
      </c>
      <c r="P1257" s="15">
        <f>Output[[#This Row],[Capital Debut Period]]-Output[[#This Row],[Paiement Principal]]</f>
        <v>162059.34671257981</v>
      </c>
      <c r="Q1257" s="15">
        <f>Output[[#This Row],[Droit Utilisation]]/Output[[#This Row],[Duree_Mois]]</f>
        <v>5565.2357686805326</v>
      </c>
    </row>
    <row r="1258" spans="1:17" x14ac:dyDescent="0.25">
      <c r="A1258" s="11" t="s">
        <v>21</v>
      </c>
      <c r="B1258" s="12">
        <v>43831</v>
      </c>
      <c r="C1258">
        <v>6000</v>
      </c>
      <c r="D1258">
        <v>5</v>
      </c>
      <c r="E1258">
        <v>0.03</v>
      </c>
      <c r="F1258">
        <v>60</v>
      </c>
      <c r="G1258" s="13">
        <v>44834</v>
      </c>
      <c r="H1258">
        <v>1257</v>
      </c>
      <c r="I1258">
        <v>33</v>
      </c>
      <c r="J1258">
        <v>2.5000000000000001E-3</v>
      </c>
      <c r="K1258" s="14">
        <v>5525.4374606893225</v>
      </c>
      <c r="L1258" s="14">
        <v>333914.14612083195</v>
      </c>
      <c r="M1258" s="36">
        <f>IF(Output[[#This Row],[Index]]=1,Output[[#This Row],[Droit Utilisation]],P1257)</f>
        <v>162059.34671257981</v>
      </c>
      <c r="N1258" s="15">
        <f>Output[[#This Row],[Capital Debut Period]]*Output[[#This Row],[Tx_interet_M]]</f>
        <v>405.14836678144951</v>
      </c>
      <c r="O1258" s="15">
        <f>Output[[#This Row],[Mensualité initial]]-Output[[#This Row],[Interet]]</f>
        <v>5594.8516332185509</v>
      </c>
      <c r="P1258" s="15">
        <f>Output[[#This Row],[Capital Debut Period]]-Output[[#This Row],[Paiement Principal]]</f>
        <v>156464.49507936125</v>
      </c>
      <c r="Q1258" s="15">
        <f>Output[[#This Row],[Droit Utilisation]]/Output[[#This Row],[Duree_Mois]]</f>
        <v>5565.2357686805326</v>
      </c>
    </row>
    <row r="1259" spans="1:17" x14ac:dyDescent="0.25">
      <c r="A1259" s="11" t="s">
        <v>21</v>
      </c>
      <c r="B1259" s="12">
        <v>43831</v>
      </c>
      <c r="C1259">
        <v>6000</v>
      </c>
      <c r="D1259">
        <v>5</v>
      </c>
      <c r="E1259">
        <v>0.03</v>
      </c>
      <c r="F1259">
        <v>60</v>
      </c>
      <c r="G1259" s="13">
        <v>44865</v>
      </c>
      <c r="H1259">
        <v>1258</v>
      </c>
      <c r="I1259">
        <v>34</v>
      </c>
      <c r="J1259">
        <v>2.5000000000000001E-3</v>
      </c>
      <c r="K1259" s="14">
        <v>5511.6583149020671</v>
      </c>
      <c r="L1259" s="14">
        <v>333914.14612083195</v>
      </c>
      <c r="M1259" s="36">
        <f>IF(Output[[#This Row],[Index]]=1,Output[[#This Row],[Droit Utilisation]],P1258)</f>
        <v>156464.49507936125</v>
      </c>
      <c r="N1259" s="15">
        <f>Output[[#This Row],[Capital Debut Period]]*Output[[#This Row],[Tx_interet_M]]</f>
        <v>391.16123769840311</v>
      </c>
      <c r="O1259" s="15">
        <f>Output[[#This Row],[Mensualité initial]]-Output[[#This Row],[Interet]]</f>
        <v>5608.8387623015969</v>
      </c>
      <c r="P1259" s="15">
        <f>Output[[#This Row],[Capital Debut Period]]-Output[[#This Row],[Paiement Principal]]</f>
        <v>150855.65631705965</v>
      </c>
      <c r="Q1259" s="15">
        <f>Output[[#This Row],[Droit Utilisation]]/Output[[#This Row],[Duree_Mois]]</f>
        <v>5565.2357686805326</v>
      </c>
    </row>
    <row r="1260" spans="1:17" x14ac:dyDescent="0.25">
      <c r="A1260" s="11" t="s">
        <v>21</v>
      </c>
      <c r="B1260" s="12">
        <v>43831</v>
      </c>
      <c r="C1260">
        <v>6000</v>
      </c>
      <c r="D1260">
        <v>5</v>
      </c>
      <c r="E1260">
        <v>0.03</v>
      </c>
      <c r="F1260">
        <v>60</v>
      </c>
      <c r="G1260" s="13">
        <v>44895</v>
      </c>
      <c r="H1260">
        <v>1259</v>
      </c>
      <c r="I1260">
        <v>35</v>
      </c>
      <c r="J1260">
        <v>2.5000000000000001E-3</v>
      </c>
      <c r="K1260" s="14">
        <v>5497.9135310743814</v>
      </c>
      <c r="L1260" s="14">
        <v>333914.14612083195</v>
      </c>
      <c r="M1260" s="36">
        <f>IF(Output[[#This Row],[Index]]=1,Output[[#This Row],[Droit Utilisation]],P1259)</f>
        <v>150855.65631705965</v>
      </c>
      <c r="N1260" s="15">
        <f>Output[[#This Row],[Capital Debut Period]]*Output[[#This Row],[Tx_interet_M]]</f>
        <v>377.13914079264913</v>
      </c>
      <c r="O1260" s="15">
        <f>Output[[#This Row],[Mensualité initial]]-Output[[#This Row],[Interet]]</f>
        <v>5622.8608592073506</v>
      </c>
      <c r="P1260" s="15">
        <f>Output[[#This Row],[Capital Debut Period]]-Output[[#This Row],[Paiement Principal]]</f>
        <v>145232.79545785231</v>
      </c>
      <c r="Q1260" s="15">
        <f>Output[[#This Row],[Droit Utilisation]]/Output[[#This Row],[Duree_Mois]]</f>
        <v>5565.2357686805326</v>
      </c>
    </row>
    <row r="1261" spans="1:17" x14ac:dyDescent="0.25">
      <c r="A1261" s="11" t="s">
        <v>21</v>
      </c>
      <c r="B1261" s="12">
        <v>43831</v>
      </c>
      <c r="C1261">
        <v>6000</v>
      </c>
      <c r="D1261">
        <v>5</v>
      </c>
      <c r="E1261">
        <v>0.03</v>
      </c>
      <c r="F1261">
        <v>60</v>
      </c>
      <c r="G1261" s="13">
        <v>44926</v>
      </c>
      <c r="H1261">
        <v>1260</v>
      </c>
      <c r="I1261">
        <v>36</v>
      </c>
      <c r="J1261">
        <v>2.5000000000000001E-3</v>
      </c>
      <c r="K1261" s="14">
        <v>5484.2030235155926</v>
      </c>
      <c r="L1261" s="14">
        <v>333914.14612083195</v>
      </c>
      <c r="M1261" s="36">
        <f>IF(Output[[#This Row],[Index]]=1,Output[[#This Row],[Droit Utilisation]],P1260)</f>
        <v>145232.79545785231</v>
      </c>
      <c r="N1261" s="15">
        <f>Output[[#This Row],[Capital Debut Period]]*Output[[#This Row],[Tx_interet_M]]</f>
        <v>363.08198864463077</v>
      </c>
      <c r="O1261" s="15">
        <f>Output[[#This Row],[Mensualité initial]]-Output[[#This Row],[Interet]]</f>
        <v>5636.9180113553693</v>
      </c>
      <c r="P1261" s="15">
        <f>Output[[#This Row],[Capital Debut Period]]-Output[[#This Row],[Paiement Principal]]</f>
        <v>139595.87744649695</v>
      </c>
      <c r="Q1261" s="15">
        <f>Output[[#This Row],[Droit Utilisation]]/Output[[#This Row],[Duree_Mois]]</f>
        <v>5565.2357686805326</v>
      </c>
    </row>
    <row r="1262" spans="1:17" x14ac:dyDescent="0.25">
      <c r="A1262" s="11" t="s">
        <v>21</v>
      </c>
      <c r="B1262" s="12">
        <v>43831</v>
      </c>
      <c r="C1262">
        <v>6000</v>
      </c>
      <c r="D1262">
        <v>5</v>
      </c>
      <c r="E1262">
        <v>0.03</v>
      </c>
      <c r="F1262">
        <v>60</v>
      </c>
      <c r="G1262" s="13">
        <v>44957</v>
      </c>
      <c r="H1262">
        <v>1261</v>
      </c>
      <c r="I1262">
        <v>37</v>
      </c>
      <c r="J1262">
        <v>2.5000000000000001E-3</v>
      </c>
      <c r="K1262" s="14">
        <v>5470.5267067487212</v>
      </c>
      <c r="L1262" s="14">
        <v>333914.14612083195</v>
      </c>
      <c r="M1262" s="36">
        <f>IF(Output[[#This Row],[Index]]=1,Output[[#This Row],[Droit Utilisation]],P1261)</f>
        <v>139595.87744649695</v>
      </c>
      <c r="N1262" s="15">
        <f>Output[[#This Row],[Capital Debut Period]]*Output[[#This Row],[Tx_interet_M]]</f>
        <v>348.98969361624239</v>
      </c>
      <c r="O1262" s="15">
        <f>Output[[#This Row],[Mensualité initial]]-Output[[#This Row],[Interet]]</f>
        <v>5651.0103063837578</v>
      </c>
      <c r="P1262" s="15">
        <f>Output[[#This Row],[Capital Debut Period]]-Output[[#This Row],[Paiement Principal]]</f>
        <v>133944.8671401132</v>
      </c>
      <c r="Q1262" s="15">
        <f>Output[[#This Row],[Droit Utilisation]]/Output[[#This Row],[Duree_Mois]]</f>
        <v>5565.2357686805326</v>
      </c>
    </row>
    <row r="1263" spans="1:17" x14ac:dyDescent="0.25">
      <c r="A1263" s="11" t="s">
        <v>21</v>
      </c>
      <c r="B1263" s="12">
        <v>43831</v>
      </c>
      <c r="C1263">
        <v>6000</v>
      </c>
      <c r="D1263">
        <v>5</v>
      </c>
      <c r="E1263">
        <v>0.03</v>
      </c>
      <c r="F1263">
        <v>60</v>
      </c>
      <c r="G1263" s="13">
        <v>44985</v>
      </c>
      <c r="H1263">
        <v>1262</v>
      </c>
      <c r="I1263">
        <v>38</v>
      </c>
      <c r="J1263">
        <v>2.5000000000000001E-3</v>
      </c>
      <c r="K1263" s="14">
        <v>5456.8844955099466</v>
      </c>
      <c r="L1263" s="14">
        <v>333914.14612083195</v>
      </c>
      <c r="M1263" s="36">
        <f>IF(Output[[#This Row],[Index]]=1,Output[[#This Row],[Droit Utilisation]],P1262)</f>
        <v>133944.8671401132</v>
      </c>
      <c r="N1263" s="15">
        <f>Output[[#This Row],[Capital Debut Period]]*Output[[#This Row],[Tx_interet_M]]</f>
        <v>334.86216785028302</v>
      </c>
      <c r="O1263" s="15">
        <f>Output[[#This Row],[Mensualité initial]]-Output[[#This Row],[Interet]]</f>
        <v>5665.1378321497168</v>
      </c>
      <c r="P1263" s="15">
        <f>Output[[#This Row],[Capital Debut Period]]-Output[[#This Row],[Paiement Principal]]</f>
        <v>128279.72930796348</v>
      </c>
      <c r="Q1263" s="15">
        <f>Output[[#This Row],[Droit Utilisation]]/Output[[#This Row],[Duree_Mois]]</f>
        <v>5565.2357686805326</v>
      </c>
    </row>
    <row r="1264" spans="1:17" x14ac:dyDescent="0.25">
      <c r="A1264" s="11" t="s">
        <v>21</v>
      </c>
      <c r="B1264" s="12">
        <v>43831</v>
      </c>
      <c r="C1264">
        <v>6000</v>
      </c>
      <c r="D1264">
        <v>5</v>
      </c>
      <c r="E1264">
        <v>0.03</v>
      </c>
      <c r="F1264">
        <v>60</v>
      </c>
      <c r="G1264" s="13">
        <v>45016</v>
      </c>
      <c r="H1264">
        <v>1263</v>
      </c>
      <c r="I1264">
        <v>39</v>
      </c>
      <c r="J1264">
        <v>2.5000000000000001E-3</v>
      </c>
      <c r="K1264" s="14">
        <v>5443.2763047480767</v>
      </c>
      <c r="L1264" s="14">
        <v>333914.14612083195</v>
      </c>
      <c r="M1264" s="36">
        <f>IF(Output[[#This Row],[Index]]=1,Output[[#This Row],[Droit Utilisation]],P1263)</f>
        <v>128279.72930796348</v>
      </c>
      <c r="N1264" s="15">
        <f>Output[[#This Row],[Capital Debut Period]]*Output[[#This Row],[Tx_interet_M]]</f>
        <v>320.69932326990869</v>
      </c>
      <c r="O1264" s="15">
        <f>Output[[#This Row],[Mensualité initial]]-Output[[#This Row],[Interet]]</f>
        <v>5679.3006767300913</v>
      </c>
      <c r="P1264" s="15">
        <f>Output[[#This Row],[Capital Debut Period]]-Output[[#This Row],[Paiement Principal]]</f>
        <v>122600.42863123339</v>
      </c>
      <c r="Q1264" s="15">
        <f>Output[[#This Row],[Droit Utilisation]]/Output[[#This Row],[Duree_Mois]]</f>
        <v>5565.2357686805326</v>
      </c>
    </row>
    <row r="1265" spans="1:17" x14ac:dyDescent="0.25">
      <c r="A1265" s="11" t="s">
        <v>21</v>
      </c>
      <c r="B1265" s="12">
        <v>43831</v>
      </c>
      <c r="C1265">
        <v>6000</v>
      </c>
      <c r="D1265">
        <v>5</v>
      </c>
      <c r="E1265">
        <v>0.03</v>
      </c>
      <c r="F1265">
        <v>60</v>
      </c>
      <c r="G1265" s="13">
        <v>45046</v>
      </c>
      <c r="H1265">
        <v>1264</v>
      </c>
      <c r="I1265">
        <v>40</v>
      </c>
      <c r="J1265">
        <v>2.5000000000000001E-3</v>
      </c>
      <c r="K1265" s="14">
        <v>5429.7020496240175</v>
      </c>
      <c r="L1265" s="14">
        <v>333914.14612083195</v>
      </c>
      <c r="M1265" s="36">
        <f>IF(Output[[#This Row],[Index]]=1,Output[[#This Row],[Droit Utilisation]],P1264)</f>
        <v>122600.42863123339</v>
      </c>
      <c r="N1265" s="15">
        <f>Output[[#This Row],[Capital Debut Period]]*Output[[#This Row],[Tx_interet_M]]</f>
        <v>306.5010715780835</v>
      </c>
      <c r="O1265" s="15">
        <f>Output[[#This Row],[Mensualité initial]]-Output[[#This Row],[Interet]]</f>
        <v>5693.4989284219164</v>
      </c>
      <c r="P1265" s="15">
        <f>Output[[#This Row],[Capital Debut Period]]-Output[[#This Row],[Paiement Principal]]</f>
        <v>116906.92970281147</v>
      </c>
      <c r="Q1265" s="15">
        <f>Output[[#This Row],[Droit Utilisation]]/Output[[#This Row],[Duree_Mois]]</f>
        <v>5565.2357686805326</v>
      </c>
    </row>
    <row r="1266" spans="1:17" x14ac:dyDescent="0.25">
      <c r="A1266" s="11" t="s">
        <v>21</v>
      </c>
      <c r="B1266" s="12">
        <v>43831</v>
      </c>
      <c r="C1266">
        <v>6000</v>
      </c>
      <c r="D1266">
        <v>5</v>
      </c>
      <c r="E1266">
        <v>0.03</v>
      </c>
      <c r="F1266">
        <v>60</v>
      </c>
      <c r="G1266" s="13">
        <v>45077</v>
      </c>
      <c r="H1266">
        <v>1265</v>
      </c>
      <c r="I1266">
        <v>41</v>
      </c>
      <c r="J1266">
        <v>2.5000000000000001E-3</v>
      </c>
      <c r="K1266" s="14">
        <v>5416.1616455102412</v>
      </c>
      <c r="L1266" s="14">
        <v>333914.14612083195</v>
      </c>
      <c r="M1266" s="36">
        <f>IF(Output[[#This Row],[Index]]=1,Output[[#This Row],[Droit Utilisation]],P1265)</f>
        <v>116906.92970281147</v>
      </c>
      <c r="N1266" s="15">
        <f>Output[[#This Row],[Capital Debut Period]]*Output[[#This Row],[Tx_interet_M]]</f>
        <v>292.26732425702869</v>
      </c>
      <c r="O1266" s="15">
        <f>Output[[#This Row],[Mensualité initial]]-Output[[#This Row],[Interet]]</f>
        <v>5707.732675742971</v>
      </c>
      <c r="P1266" s="15">
        <f>Output[[#This Row],[Capital Debut Period]]-Output[[#This Row],[Paiement Principal]]</f>
        <v>111199.1970270685</v>
      </c>
      <c r="Q1266" s="15">
        <f>Output[[#This Row],[Droit Utilisation]]/Output[[#This Row],[Duree_Mois]]</f>
        <v>5565.2357686805326</v>
      </c>
    </row>
    <row r="1267" spans="1:17" x14ac:dyDescent="0.25">
      <c r="A1267" s="11" t="s">
        <v>21</v>
      </c>
      <c r="B1267" s="12">
        <v>43831</v>
      </c>
      <c r="C1267">
        <v>6000</v>
      </c>
      <c r="D1267">
        <v>5</v>
      </c>
      <c r="E1267">
        <v>0.03</v>
      </c>
      <c r="F1267">
        <v>60</v>
      </c>
      <c r="G1267" s="13">
        <v>45107</v>
      </c>
      <c r="H1267">
        <v>1266</v>
      </c>
      <c r="I1267">
        <v>42</v>
      </c>
      <c r="J1267">
        <v>2.5000000000000001E-3</v>
      </c>
      <c r="K1267" s="14">
        <v>5402.6550079902663</v>
      </c>
      <c r="L1267" s="14">
        <v>333914.14612083195</v>
      </c>
      <c r="M1267" s="36">
        <f>IF(Output[[#This Row],[Index]]=1,Output[[#This Row],[Droit Utilisation]],P1266)</f>
        <v>111199.1970270685</v>
      </c>
      <c r="N1267" s="15">
        <f>Output[[#This Row],[Capital Debut Period]]*Output[[#This Row],[Tx_interet_M]]</f>
        <v>277.99799256767125</v>
      </c>
      <c r="O1267" s="15">
        <f>Output[[#This Row],[Mensualité initial]]-Output[[#This Row],[Interet]]</f>
        <v>5722.0020074323284</v>
      </c>
      <c r="P1267" s="15">
        <f>Output[[#This Row],[Capital Debut Period]]-Output[[#This Row],[Paiement Principal]]</f>
        <v>105477.19501963617</v>
      </c>
      <c r="Q1267" s="15">
        <f>Output[[#This Row],[Droit Utilisation]]/Output[[#This Row],[Duree_Mois]]</f>
        <v>5565.2357686805326</v>
      </c>
    </row>
    <row r="1268" spans="1:17" x14ac:dyDescent="0.25">
      <c r="A1268" s="11" t="s">
        <v>21</v>
      </c>
      <c r="B1268" s="12">
        <v>43831</v>
      </c>
      <c r="C1268">
        <v>6000</v>
      </c>
      <c r="D1268">
        <v>5</v>
      </c>
      <c r="E1268">
        <v>0.03</v>
      </c>
      <c r="F1268">
        <v>60</v>
      </c>
      <c r="G1268" s="13">
        <v>45138</v>
      </c>
      <c r="H1268">
        <v>1267</v>
      </c>
      <c r="I1268">
        <v>43</v>
      </c>
      <c r="J1268">
        <v>2.5000000000000001E-3</v>
      </c>
      <c r="K1268" s="14">
        <v>5389.1820528581211</v>
      </c>
      <c r="L1268" s="14">
        <v>333914.14612083195</v>
      </c>
      <c r="M1268" s="36">
        <f>IF(Output[[#This Row],[Index]]=1,Output[[#This Row],[Droit Utilisation]],P1267)</f>
        <v>105477.19501963617</v>
      </c>
      <c r="N1268" s="15">
        <f>Output[[#This Row],[Capital Debut Period]]*Output[[#This Row],[Tx_interet_M]]</f>
        <v>263.69298754909045</v>
      </c>
      <c r="O1268" s="15">
        <f>Output[[#This Row],[Mensualité initial]]-Output[[#This Row],[Interet]]</f>
        <v>5736.3070124509095</v>
      </c>
      <c r="P1268" s="15">
        <f>Output[[#This Row],[Capital Debut Period]]-Output[[#This Row],[Paiement Principal]]</f>
        <v>99740.888007185262</v>
      </c>
      <c r="Q1268" s="15">
        <f>Output[[#This Row],[Droit Utilisation]]/Output[[#This Row],[Duree_Mois]]</f>
        <v>5565.2357686805326</v>
      </c>
    </row>
    <row r="1269" spans="1:17" x14ac:dyDescent="0.25">
      <c r="A1269" s="11" t="s">
        <v>21</v>
      </c>
      <c r="B1269" s="12">
        <v>43831</v>
      </c>
      <c r="C1269">
        <v>6000</v>
      </c>
      <c r="D1269">
        <v>5</v>
      </c>
      <c r="E1269">
        <v>0.03</v>
      </c>
      <c r="F1269">
        <v>60</v>
      </c>
      <c r="G1269" s="13">
        <v>45169</v>
      </c>
      <c r="H1269">
        <v>1268</v>
      </c>
      <c r="I1269">
        <v>44</v>
      </c>
      <c r="J1269">
        <v>2.5000000000000001E-3</v>
      </c>
      <c r="K1269" s="14">
        <v>5375.7426961178271</v>
      </c>
      <c r="L1269" s="14">
        <v>333914.14612083195</v>
      </c>
      <c r="M1269" s="36">
        <f>IF(Output[[#This Row],[Index]]=1,Output[[#This Row],[Droit Utilisation]],P1268)</f>
        <v>99740.888007185262</v>
      </c>
      <c r="N1269" s="15">
        <f>Output[[#This Row],[Capital Debut Period]]*Output[[#This Row],[Tx_interet_M]]</f>
        <v>249.35222001796316</v>
      </c>
      <c r="O1269" s="15">
        <f>Output[[#This Row],[Mensualité initial]]-Output[[#This Row],[Interet]]</f>
        <v>5750.6477799820368</v>
      </c>
      <c r="P1269" s="15">
        <f>Output[[#This Row],[Capital Debut Period]]-Output[[#This Row],[Paiement Principal]]</f>
        <v>93990.24022720322</v>
      </c>
      <c r="Q1269" s="15">
        <f>Output[[#This Row],[Droit Utilisation]]/Output[[#This Row],[Duree_Mois]]</f>
        <v>5565.2357686805326</v>
      </c>
    </row>
    <row r="1270" spans="1:17" x14ac:dyDescent="0.25">
      <c r="A1270" s="11" t="s">
        <v>21</v>
      </c>
      <c r="B1270" s="12">
        <v>43831</v>
      </c>
      <c r="C1270">
        <v>6000</v>
      </c>
      <c r="D1270">
        <v>5</v>
      </c>
      <c r="E1270">
        <v>0.03</v>
      </c>
      <c r="F1270">
        <v>60</v>
      </c>
      <c r="G1270" s="13">
        <v>45199</v>
      </c>
      <c r="H1270">
        <v>1269</v>
      </c>
      <c r="I1270">
        <v>45</v>
      </c>
      <c r="J1270">
        <v>2.5000000000000001E-3</v>
      </c>
      <c r="K1270" s="14">
        <v>5362.3368539828707</v>
      </c>
      <c r="L1270" s="14">
        <v>333914.14612083195</v>
      </c>
      <c r="M1270" s="36">
        <f>IF(Output[[#This Row],[Index]]=1,Output[[#This Row],[Droit Utilisation]],P1269)</f>
        <v>93990.24022720322</v>
      </c>
      <c r="N1270" s="15">
        <f>Output[[#This Row],[Capital Debut Period]]*Output[[#This Row],[Tx_interet_M]]</f>
        <v>234.97560056800805</v>
      </c>
      <c r="O1270" s="15">
        <f>Output[[#This Row],[Mensualité initial]]-Output[[#This Row],[Interet]]</f>
        <v>5765.0243994319917</v>
      </c>
      <c r="P1270" s="15">
        <f>Output[[#This Row],[Capital Debut Period]]-Output[[#This Row],[Paiement Principal]]</f>
        <v>88225.21582777123</v>
      </c>
      <c r="Q1270" s="15">
        <f>Output[[#This Row],[Droit Utilisation]]/Output[[#This Row],[Duree_Mois]]</f>
        <v>5565.2357686805326</v>
      </c>
    </row>
    <row r="1271" spans="1:17" x14ac:dyDescent="0.25">
      <c r="A1271" s="11" t="s">
        <v>21</v>
      </c>
      <c r="B1271" s="12">
        <v>43831</v>
      </c>
      <c r="C1271">
        <v>6000</v>
      </c>
      <c r="D1271">
        <v>5</v>
      </c>
      <c r="E1271">
        <v>0.03</v>
      </c>
      <c r="F1271">
        <v>60</v>
      </c>
      <c r="G1271" s="13">
        <v>45230</v>
      </c>
      <c r="H1271">
        <v>1270</v>
      </c>
      <c r="I1271">
        <v>46</v>
      </c>
      <c r="J1271">
        <v>2.5000000000000001E-3</v>
      </c>
      <c r="K1271" s="14">
        <v>5348.9644428756819</v>
      </c>
      <c r="L1271" s="14">
        <v>333914.14612083195</v>
      </c>
      <c r="M1271" s="36">
        <f>IF(Output[[#This Row],[Index]]=1,Output[[#This Row],[Droit Utilisation]],P1270)</f>
        <v>88225.21582777123</v>
      </c>
      <c r="N1271" s="15">
        <f>Output[[#This Row],[Capital Debut Period]]*Output[[#This Row],[Tx_interet_M]]</f>
        <v>220.56303956942807</v>
      </c>
      <c r="O1271" s="15">
        <f>Output[[#This Row],[Mensualité initial]]-Output[[#This Row],[Interet]]</f>
        <v>5779.4369604305721</v>
      </c>
      <c r="P1271" s="15">
        <f>Output[[#This Row],[Capital Debut Period]]-Output[[#This Row],[Paiement Principal]]</f>
        <v>82445.778867340661</v>
      </c>
      <c r="Q1271" s="15">
        <f>Output[[#This Row],[Droit Utilisation]]/Output[[#This Row],[Duree_Mois]]</f>
        <v>5565.2357686805326</v>
      </c>
    </row>
    <row r="1272" spans="1:17" x14ac:dyDescent="0.25">
      <c r="A1272" s="11" t="s">
        <v>21</v>
      </c>
      <c r="B1272" s="12">
        <v>43831</v>
      </c>
      <c r="C1272">
        <v>6000</v>
      </c>
      <c r="D1272">
        <v>5</v>
      </c>
      <c r="E1272">
        <v>0.03</v>
      </c>
      <c r="F1272">
        <v>60</v>
      </c>
      <c r="G1272" s="13">
        <v>45260</v>
      </c>
      <c r="H1272">
        <v>1271</v>
      </c>
      <c r="I1272">
        <v>47</v>
      </c>
      <c r="J1272">
        <v>2.5000000000000001E-3</v>
      </c>
      <c r="K1272" s="14">
        <v>5335.6253794271142</v>
      </c>
      <c r="L1272" s="14">
        <v>333914.14612083195</v>
      </c>
      <c r="M1272" s="36">
        <f>IF(Output[[#This Row],[Index]]=1,Output[[#This Row],[Droit Utilisation]],P1271)</f>
        <v>82445.778867340661</v>
      </c>
      <c r="N1272" s="15">
        <f>Output[[#This Row],[Capital Debut Period]]*Output[[#This Row],[Tx_interet_M]]</f>
        <v>206.11444716835166</v>
      </c>
      <c r="O1272" s="15">
        <f>Output[[#This Row],[Mensualité initial]]-Output[[#This Row],[Interet]]</f>
        <v>5793.8855528316481</v>
      </c>
      <c r="P1272" s="15">
        <f>Output[[#This Row],[Capital Debut Period]]-Output[[#This Row],[Paiement Principal]]</f>
        <v>76651.893314509012</v>
      </c>
      <c r="Q1272" s="15">
        <f>Output[[#This Row],[Droit Utilisation]]/Output[[#This Row],[Duree_Mois]]</f>
        <v>5565.2357686805326</v>
      </c>
    </row>
    <row r="1273" spans="1:17" x14ac:dyDescent="0.25">
      <c r="A1273" s="11" t="s">
        <v>21</v>
      </c>
      <c r="B1273" s="12">
        <v>43831</v>
      </c>
      <c r="C1273">
        <v>6000</v>
      </c>
      <c r="D1273">
        <v>5</v>
      </c>
      <c r="E1273">
        <v>0.03</v>
      </c>
      <c r="F1273">
        <v>60</v>
      </c>
      <c r="G1273" s="13">
        <v>45291</v>
      </c>
      <c r="H1273">
        <v>1272</v>
      </c>
      <c r="I1273">
        <v>48</v>
      </c>
      <c r="J1273">
        <v>2.5000000000000001E-3</v>
      </c>
      <c r="K1273" s="14">
        <v>5322.3195804759243</v>
      </c>
      <c r="L1273" s="14">
        <v>333914.14612083195</v>
      </c>
      <c r="M1273" s="36">
        <f>IF(Output[[#This Row],[Index]]=1,Output[[#This Row],[Droit Utilisation]],P1272)</f>
        <v>76651.893314509012</v>
      </c>
      <c r="N1273" s="15">
        <f>Output[[#This Row],[Capital Debut Period]]*Output[[#This Row],[Tx_interet_M]]</f>
        <v>191.62973328627254</v>
      </c>
      <c r="O1273" s="15">
        <f>Output[[#This Row],[Mensualité initial]]-Output[[#This Row],[Interet]]</f>
        <v>5808.3702667137277</v>
      </c>
      <c r="P1273" s="15">
        <f>Output[[#This Row],[Capital Debut Period]]-Output[[#This Row],[Paiement Principal]]</f>
        <v>70843.523047795286</v>
      </c>
      <c r="Q1273" s="15">
        <f>Output[[#This Row],[Droit Utilisation]]/Output[[#This Row],[Duree_Mois]]</f>
        <v>5565.2357686805326</v>
      </c>
    </row>
    <row r="1274" spans="1:17" x14ac:dyDescent="0.25">
      <c r="A1274" s="11" t="s">
        <v>21</v>
      </c>
      <c r="B1274" s="12">
        <v>43831</v>
      </c>
      <c r="C1274">
        <v>6000</v>
      </c>
      <c r="D1274">
        <v>5</v>
      </c>
      <c r="E1274">
        <v>0.03</v>
      </c>
      <c r="F1274">
        <v>60</v>
      </c>
      <c r="G1274" s="13">
        <v>45322</v>
      </c>
      <c r="H1274">
        <v>1273</v>
      </c>
      <c r="I1274">
        <v>49</v>
      </c>
      <c r="J1274">
        <v>2.5000000000000001E-3</v>
      </c>
      <c r="K1274" s="14">
        <v>5309.0469630682537</v>
      </c>
      <c r="L1274" s="14">
        <v>333914.14612083195</v>
      </c>
      <c r="M1274" s="36">
        <f>IF(Output[[#This Row],[Index]]=1,Output[[#This Row],[Droit Utilisation]],P1273)</f>
        <v>70843.523047795286</v>
      </c>
      <c r="N1274" s="15">
        <f>Output[[#This Row],[Capital Debut Period]]*Output[[#This Row],[Tx_interet_M]]</f>
        <v>177.10880761948823</v>
      </c>
      <c r="O1274" s="15">
        <f>Output[[#This Row],[Mensualité initial]]-Output[[#This Row],[Interet]]</f>
        <v>5822.8911923805117</v>
      </c>
      <c r="P1274" s="15">
        <f>Output[[#This Row],[Capital Debut Period]]-Output[[#This Row],[Paiement Principal]]</f>
        <v>65020.631855414773</v>
      </c>
      <c r="Q1274" s="15">
        <f>Output[[#This Row],[Droit Utilisation]]/Output[[#This Row],[Duree_Mois]]</f>
        <v>5565.2357686805326</v>
      </c>
    </row>
    <row r="1275" spans="1:17" x14ac:dyDescent="0.25">
      <c r="A1275" s="11" t="s">
        <v>21</v>
      </c>
      <c r="B1275" s="12">
        <v>43831</v>
      </c>
      <c r="C1275">
        <v>6000</v>
      </c>
      <c r="D1275">
        <v>5</v>
      </c>
      <c r="E1275">
        <v>0.03</v>
      </c>
      <c r="F1275">
        <v>60</v>
      </c>
      <c r="G1275" s="13">
        <v>45351</v>
      </c>
      <c r="H1275">
        <v>1274</v>
      </c>
      <c r="I1275">
        <v>50</v>
      </c>
      <c r="J1275">
        <v>2.5000000000000001E-3</v>
      </c>
      <c r="K1275" s="14">
        <v>5295.8074444571121</v>
      </c>
      <c r="L1275" s="14">
        <v>333914.14612083195</v>
      </c>
      <c r="M1275" s="36">
        <f>IF(Output[[#This Row],[Index]]=1,Output[[#This Row],[Droit Utilisation]],P1274)</f>
        <v>65020.631855414773</v>
      </c>
      <c r="N1275" s="15">
        <f>Output[[#This Row],[Capital Debut Period]]*Output[[#This Row],[Tx_interet_M]]</f>
        <v>162.55157963853694</v>
      </c>
      <c r="O1275" s="15">
        <f>Output[[#This Row],[Mensualité initial]]-Output[[#This Row],[Interet]]</f>
        <v>5837.4484203614629</v>
      </c>
      <c r="P1275" s="15">
        <f>Output[[#This Row],[Capital Debut Period]]-Output[[#This Row],[Paiement Principal]]</f>
        <v>59183.18343505331</v>
      </c>
      <c r="Q1275" s="15">
        <f>Output[[#This Row],[Droit Utilisation]]/Output[[#This Row],[Duree_Mois]]</f>
        <v>5565.2357686805326</v>
      </c>
    </row>
    <row r="1276" spans="1:17" x14ac:dyDescent="0.25">
      <c r="A1276" s="11" t="s">
        <v>21</v>
      </c>
      <c r="B1276" s="12">
        <v>43831</v>
      </c>
      <c r="C1276">
        <v>6000</v>
      </c>
      <c r="D1276">
        <v>5</v>
      </c>
      <c r="E1276">
        <v>0.03</v>
      </c>
      <c r="F1276">
        <v>60</v>
      </c>
      <c r="G1276" s="13">
        <v>45382</v>
      </c>
      <c r="H1276">
        <v>1275</v>
      </c>
      <c r="I1276">
        <v>51</v>
      </c>
      <c r="J1276">
        <v>2.5000000000000001E-3</v>
      </c>
      <c r="K1276" s="14">
        <v>5282.6009421018571</v>
      </c>
      <c r="L1276" s="14">
        <v>333914.14612083195</v>
      </c>
      <c r="M1276" s="36">
        <f>IF(Output[[#This Row],[Index]]=1,Output[[#This Row],[Droit Utilisation]],P1275)</f>
        <v>59183.18343505331</v>
      </c>
      <c r="N1276" s="15">
        <f>Output[[#This Row],[Capital Debut Period]]*Output[[#This Row],[Tx_interet_M]]</f>
        <v>147.95795858763327</v>
      </c>
      <c r="O1276" s="15">
        <f>Output[[#This Row],[Mensualité initial]]-Output[[#This Row],[Interet]]</f>
        <v>5852.0420414123664</v>
      </c>
      <c r="P1276" s="15">
        <f>Output[[#This Row],[Capital Debut Period]]-Output[[#This Row],[Paiement Principal]]</f>
        <v>53331.141393640944</v>
      </c>
      <c r="Q1276" s="15">
        <f>Output[[#This Row],[Droit Utilisation]]/Output[[#This Row],[Duree_Mois]]</f>
        <v>5565.2357686805326</v>
      </c>
    </row>
    <row r="1277" spans="1:17" x14ac:dyDescent="0.25">
      <c r="A1277" s="11" t="s">
        <v>21</v>
      </c>
      <c r="B1277" s="12">
        <v>43831</v>
      </c>
      <c r="C1277">
        <v>6000</v>
      </c>
      <c r="D1277">
        <v>5</v>
      </c>
      <c r="E1277">
        <v>0.03</v>
      </c>
      <c r="F1277">
        <v>60</v>
      </c>
      <c r="G1277" s="13">
        <v>45412</v>
      </c>
      <c r="H1277">
        <v>1276</v>
      </c>
      <c r="I1277">
        <v>52</v>
      </c>
      <c r="J1277">
        <v>2.5000000000000001E-3</v>
      </c>
      <c r="K1277" s="14">
        <v>5269.4273736676878</v>
      </c>
      <c r="L1277" s="14">
        <v>333914.14612083195</v>
      </c>
      <c r="M1277" s="36">
        <f>IF(Output[[#This Row],[Index]]=1,Output[[#This Row],[Droit Utilisation]],P1276)</f>
        <v>53331.141393640944</v>
      </c>
      <c r="N1277" s="15">
        <f>Output[[#This Row],[Capital Debut Period]]*Output[[#This Row],[Tx_interet_M]]</f>
        <v>133.32785348410238</v>
      </c>
      <c r="O1277" s="15">
        <f>Output[[#This Row],[Mensualité initial]]-Output[[#This Row],[Interet]]</f>
        <v>5866.672146515898</v>
      </c>
      <c r="P1277" s="15">
        <f>Output[[#This Row],[Capital Debut Period]]-Output[[#This Row],[Paiement Principal]]</f>
        <v>47464.469247125046</v>
      </c>
      <c r="Q1277" s="15">
        <f>Output[[#This Row],[Droit Utilisation]]/Output[[#This Row],[Duree_Mois]]</f>
        <v>5565.2357686805326</v>
      </c>
    </row>
    <row r="1278" spans="1:17" x14ac:dyDescent="0.25">
      <c r="A1278" s="11" t="s">
        <v>21</v>
      </c>
      <c r="B1278" s="12">
        <v>43831</v>
      </c>
      <c r="C1278">
        <v>6000</v>
      </c>
      <c r="D1278">
        <v>5</v>
      </c>
      <c r="E1278">
        <v>0.03</v>
      </c>
      <c r="F1278">
        <v>60</v>
      </c>
      <c r="G1278" s="13">
        <v>45443</v>
      </c>
      <c r="H1278">
        <v>1277</v>
      </c>
      <c r="I1278">
        <v>53</v>
      </c>
      <c r="J1278">
        <v>2.5000000000000001E-3</v>
      </c>
      <c r="K1278" s="14">
        <v>5256.2866570251254</v>
      </c>
      <c r="L1278" s="14">
        <v>333914.14612083195</v>
      </c>
      <c r="M1278" s="36">
        <f>IF(Output[[#This Row],[Index]]=1,Output[[#This Row],[Droit Utilisation]],P1277)</f>
        <v>47464.469247125046</v>
      </c>
      <c r="N1278" s="15">
        <f>Output[[#This Row],[Capital Debut Period]]*Output[[#This Row],[Tx_interet_M]]</f>
        <v>118.66117311781261</v>
      </c>
      <c r="O1278" s="15">
        <f>Output[[#This Row],[Mensualité initial]]-Output[[#This Row],[Interet]]</f>
        <v>5881.3388268821873</v>
      </c>
      <c r="P1278" s="15">
        <f>Output[[#This Row],[Capital Debut Period]]-Output[[#This Row],[Paiement Principal]]</f>
        <v>41583.130420242858</v>
      </c>
      <c r="Q1278" s="15">
        <f>Output[[#This Row],[Droit Utilisation]]/Output[[#This Row],[Duree_Mois]]</f>
        <v>5565.2357686805326</v>
      </c>
    </row>
    <row r="1279" spans="1:17" x14ac:dyDescent="0.25">
      <c r="A1279" s="11" t="s">
        <v>21</v>
      </c>
      <c r="B1279" s="12">
        <v>43831</v>
      </c>
      <c r="C1279">
        <v>6000</v>
      </c>
      <c r="D1279">
        <v>5</v>
      </c>
      <c r="E1279">
        <v>0.03</v>
      </c>
      <c r="F1279">
        <v>60</v>
      </c>
      <c r="G1279" s="13">
        <v>45473</v>
      </c>
      <c r="H1279">
        <v>1278</v>
      </c>
      <c r="I1279">
        <v>54</v>
      </c>
      <c r="J1279">
        <v>2.5000000000000001E-3</v>
      </c>
      <c r="K1279" s="14">
        <v>5243.1787102495018</v>
      </c>
      <c r="L1279" s="14">
        <v>333914.14612083195</v>
      </c>
      <c r="M1279" s="36">
        <f>IF(Output[[#This Row],[Index]]=1,Output[[#This Row],[Droit Utilisation]],P1278)</f>
        <v>41583.130420242858</v>
      </c>
      <c r="N1279" s="15">
        <f>Output[[#This Row],[Capital Debut Period]]*Output[[#This Row],[Tx_interet_M]]</f>
        <v>103.95782605060715</v>
      </c>
      <c r="O1279" s="15">
        <f>Output[[#This Row],[Mensualité initial]]-Output[[#This Row],[Interet]]</f>
        <v>5896.0421739493931</v>
      </c>
      <c r="P1279" s="15">
        <f>Output[[#This Row],[Capital Debut Period]]-Output[[#This Row],[Paiement Principal]]</f>
        <v>35687.088246293468</v>
      </c>
      <c r="Q1279" s="15">
        <f>Output[[#This Row],[Droit Utilisation]]/Output[[#This Row],[Duree_Mois]]</f>
        <v>5565.2357686805326</v>
      </c>
    </row>
    <row r="1280" spans="1:17" x14ac:dyDescent="0.25">
      <c r="A1280" s="11" t="s">
        <v>21</v>
      </c>
      <c r="B1280" s="12">
        <v>43831</v>
      </c>
      <c r="C1280">
        <v>6000</v>
      </c>
      <c r="D1280">
        <v>5</v>
      </c>
      <c r="E1280">
        <v>0.03</v>
      </c>
      <c r="F1280">
        <v>60</v>
      </c>
      <c r="G1280" s="13">
        <v>45504</v>
      </c>
      <c r="H1280">
        <v>1279</v>
      </c>
      <c r="I1280">
        <v>55</v>
      </c>
      <c r="J1280">
        <v>2.5000000000000001E-3</v>
      </c>
      <c r="K1280" s="14">
        <v>5230.1034516204509</v>
      </c>
      <c r="L1280" s="14">
        <v>333914.14612083195</v>
      </c>
      <c r="M1280" s="36">
        <f>IF(Output[[#This Row],[Index]]=1,Output[[#This Row],[Droit Utilisation]],P1279)</f>
        <v>35687.088246293468</v>
      </c>
      <c r="N1280" s="15">
        <f>Output[[#This Row],[Capital Debut Period]]*Output[[#This Row],[Tx_interet_M]]</f>
        <v>89.217720615733668</v>
      </c>
      <c r="O1280" s="15">
        <f>Output[[#This Row],[Mensualité initial]]-Output[[#This Row],[Interet]]</f>
        <v>5910.7822793842661</v>
      </c>
      <c r="P1280" s="15">
        <f>Output[[#This Row],[Capital Debut Period]]-Output[[#This Row],[Paiement Principal]]</f>
        <v>29776.305966909204</v>
      </c>
      <c r="Q1280" s="15">
        <f>Output[[#This Row],[Droit Utilisation]]/Output[[#This Row],[Duree_Mois]]</f>
        <v>5565.2357686805326</v>
      </c>
    </row>
    <row r="1281" spans="1:17" x14ac:dyDescent="0.25">
      <c r="A1281" s="11" t="s">
        <v>21</v>
      </c>
      <c r="B1281" s="12">
        <v>43831</v>
      </c>
      <c r="C1281">
        <v>6000</v>
      </c>
      <c r="D1281">
        <v>5</v>
      </c>
      <c r="E1281">
        <v>0.03</v>
      </c>
      <c r="F1281">
        <v>60</v>
      </c>
      <c r="G1281" s="13">
        <v>45535</v>
      </c>
      <c r="H1281">
        <v>1280</v>
      </c>
      <c r="I1281">
        <v>56</v>
      </c>
      <c r="J1281">
        <v>2.5000000000000001E-3</v>
      </c>
      <c r="K1281" s="14">
        <v>5217.0607996213976</v>
      </c>
      <c r="L1281" s="14">
        <v>333914.14612083195</v>
      </c>
      <c r="M1281" s="36">
        <f>IF(Output[[#This Row],[Index]]=1,Output[[#This Row],[Droit Utilisation]],P1280)</f>
        <v>29776.305966909204</v>
      </c>
      <c r="N1281" s="15">
        <f>Output[[#This Row],[Capital Debut Period]]*Output[[#This Row],[Tx_interet_M]]</f>
        <v>74.440764917273015</v>
      </c>
      <c r="O1281" s="15">
        <f>Output[[#This Row],[Mensualité initial]]-Output[[#This Row],[Interet]]</f>
        <v>5925.5592350827274</v>
      </c>
      <c r="P1281" s="15">
        <f>Output[[#This Row],[Capital Debut Period]]-Output[[#This Row],[Paiement Principal]]</f>
        <v>23850.746731826475</v>
      </c>
      <c r="Q1281" s="15">
        <f>Output[[#This Row],[Droit Utilisation]]/Output[[#This Row],[Duree_Mois]]</f>
        <v>5565.2357686805326</v>
      </c>
    </row>
    <row r="1282" spans="1:17" x14ac:dyDescent="0.25">
      <c r="A1282" s="11" t="s">
        <v>21</v>
      </c>
      <c r="B1282" s="12">
        <v>43831</v>
      </c>
      <c r="C1282">
        <v>6000</v>
      </c>
      <c r="D1282">
        <v>5</v>
      </c>
      <c r="E1282">
        <v>0.03</v>
      </c>
      <c r="F1282">
        <v>60</v>
      </c>
      <c r="G1282" s="13">
        <v>45565</v>
      </c>
      <c r="H1282">
        <v>1281</v>
      </c>
      <c r="I1282">
        <v>57</v>
      </c>
      <c r="J1282">
        <v>2.5000000000000001E-3</v>
      </c>
      <c r="K1282" s="14">
        <v>5204.0506729390509</v>
      </c>
      <c r="L1282" s="14">
        <v>333914.14612083195</v>
      </c>
      <c r="M1282" s="36">
        <f>IF(Output[[#This Row],[Index]]=1,Output[[#This Row],[Droit Utilisation]],P1281)</f>
        <v>23850.746731826475</v>
      </c>
      <c r="N1282" s="15">
        <f>Output[[#This Row],[Capital Debut Period]]*Output[[#This Row],[Tx_interet_M]]</f>
        <v>59.62686682956619</v>
      </c>
      <c r="O1282" s="15">
        <f>Output[[#This Row],[Mensualité initial]]-Output[[#This Row],[Interet]]</f>
        <v>5940.3731331704339</v>
      </c>
      <c r="P1282" s="15">
        <f>Output[[#This Row],[Capital Debut Period]]-Output[[#This Row],[Paiement Principal]]</f>
        <v>17910.373598656042</v>
      </c>
      <c r="Q1282" s="15">
        <f>Output[[#This Row],[Droit Utilisation]]/Output[[#This Row],[Duree_Mois]]</f>
        <v>5565.2357686805326</v>
      </c>
    </row>
    <row r="1283" spans="1:17" x14ac:dyDescent="0.25">
      <c r="A1283" s="11" t="s">
        <v>21</v>
      </c>
      <c r="B1283" s="12">
        <v>43831</v>
      </c>
      <c r="C1283">
        <v>6000</v>
      </c>
      <c r="D1283">
        <v>5</v>
      </c>
      <c r="E1283">
        <v>0.03</v>
      </c>
      <c r="F1283">
        <v>60</v>
      </c>
      <c r="G1283" s="13">
        <v>45596</v>
      </c>
      <c r="H1283">
        <v>1282</v>
      </c>
      <c r="I1283">
        <v>58</v>
      </c>
      <c r="J1283">
        <v>2.5000000000000001E-3</v>
      </c>
      <c r="K1283" s="14">
        <v>5191.0729904628934</v>
      </c>
      <c r="L1283" s="14">
        <v>333914.14612083195</v>
      </c>
      <c r="M1283" s="36">
        <f>IF(Output[[#This Row],[Index]]=1,Output[[#This Row],[Droit Utilisation]],P1282)</f>
        <v>17910.373598656042</v>
      </c>
      <c r="N1283" s="15">
        <f>Output[[#This Row],[Capital Debut Period]]*Output[[#This Row],[Tx_interet_M]]</f>
        <v>44.775933996640106</v>
      </c>
      <c r="O1283" s="15">
        <f>Output[[#This Row],[Mensualité initial]]-Output[[#This Row],[Interet]]</f>
        <v>5955.2240660033603</v>
      </c>
      <c r="P1283" s="15">
        <f>Output[[#This Row],[Capital Debut Period]]-Output[[#This Row],[Paiement Principal]]</f>
        <v>11955.149532652682</v>
      </c>
      <c r="Q1283" s="15">
        <f>Output[[#This Row],[Droit Utilisation]]/Output[[#This Row],[Duree_Mois]]</f>
        <v>5565.2357686805326</v>
      </c>
    </row>
    <row r="1284" spans="1:17" x14ac:dyDescent="0.25">
      <c r="A1284" s="11" t="s">
        <v>21</v>
      </c>
      <c r="B1284" s="12">
        <v>43831</v>
      </c>
      <c r="C1284">
        <v>6000</v>
      </c>
      <c r="D1284">
        <v>5</v>
      </c>
      <c r="E1284">
        <v>0.03</v>
      </c>
      <c r="F1284">
        <v>60</v>
      </c>
      <c r="G1284" s="13">
        <v>45626</v>
      </c>
      <c r="H1284">
        <v>1283</v>
      </c>
      <c r="I1284">
        <v>59</v>
      </c>
      <c r="J1284">
        <v>2.5000000000000001E-3</v>
      </c>
      <c r="K1284" s="14">
        <v>5178.127671284682</v>
      </c>
      <c r="L1284" s="14">
        <v>333914.14612083195</v>
      </c>
      <c r="M1284" s="36">
        <f>IF(Output[[#This Row],[Index]]=1,Output[[#This Row],[Droit Utilisation]],P1283)</f>
        <v>11955.149532652682</v>
      </c>
      <c r="N1284" s="15">
        <f>Output[[#This Row],[Capital Debut Period]]*Output[[#This Row],[Tx_interet_M]]</f>
        <v>29.887873831631705</v>
      </c>
      <c r="O1284" s="15">
        <f>Output[[#This Row],[Mensualité initial]]-Output[[#This Row],[Interet]]</f>
        <v>5970.1121261683684</v>
      </c>
      <c r="P1284" s="15">
        <f>Output[[#This Row],[Capital Debut Period]]-Output[[#This Row],[Paiement Principal]]</f>
        <v>5985.0374064843136</v>
      </c>
      <c r="Q1284" s="15">
        <f>Output[[#This Row],[Droit Utilisation]]/Output[[#This Row],[Duree_Mois]]</f>
        <v>5565.2357686805326</v>
      </c>
    </row>
    <row r="1285" spans="1:17" x14ac:dyDescent="0.25">
      <c r="A1285" s="11" t="s">
        <v>21</v>
      </c>
      <c r="B1285" s="12">
        <v>43831</v>
      </c>
      <c r="C1285">
        <v>6000</v>
      </c>
      <c r="D1285">
        <v>5</v>
      </c>
      <c r="E1285">
        <v>0.03</v>
      </c>
      <c r="F1285">
        <v>60</v>
      </c>
      <c r="G1285" s="13">
        <v>45657</v>
      </c>
      <c r="H1285">
        <v>1284</v>
      </c>
      <c r="I1285">
        <v>60</v>
      </c>
      <c r="J1285">
        <v>2.5000000000000001E-3</v>
      </c>
      <c r="K1285" s="14">
        <v>5165.2146346979371</v>
      </c>
      <c r="L1285" s="14">
        <v>333914.14612083195</v>
      </c>
      <c r="M1285" s="36">
        <f>IF(Output[[#This Row],[Index]]=1,Output[[#This Row],[Droit Utilisation]],P1284)</f>
        <v>5985.0374064843136</v>
      </c>
      <c r="N1285" s="15">
        <f>Output[[#This Row],[Capital Debut Period]]*Output[[#This Row],[Tx_interet_M]]</f>
        <v>14.962593516210784</v>
      </c>
      <c r="O1285" s="15">
        <f>Output[[#This Row],[Mensualité initial]]-Output[[#This Row],[Interet]]</f>
        <v>5985.0374064837888</v>
      </c>
      <c r="P1285" s="15">
        <f>Output[[#This Row],[Capital Debut Period]]-Output[[#This Row],[Paiement Principal]]</f>
        <v>5.2477844292297959E-10</v>
      </c>
      <c r="Q1285" s="15">
        <f>Output[[#This Row],[Droit Utilisation]]/Output[[#This Row],[Duree_Mois]]</f>
        <v>5565.2357686805326</v>
      </c>
    </row>
    <row r="1286" spans="1:17" x14ac:dyDescent="0.25">
      <c r="A1286" s="11" t="s">
        <v>22</v>
      </c>
      <c r="B1286" s="12">
        <v>43831</v>
      </c>
      <c r="C1286">
        <v>6000</v>
      </c>
      <c r="D1286">
        <v>5</v>
      </c>
      <c r="E1286">
        <v>0.03</v>
      </c>
      <c r="F1286">
        <v>60</v>
      </c>
      <c r="G1286" s="13">
        <v>43861</v>
      </c>
      <c r="H1286">
        <v>1285</v>
      </c>
      <c r="I1286">
        <v>1</v>
      </c>
      <c r="J1286">
        <v>2.5000000000000001E-3</v>
      </c>
      <c r="K1286" s="14">
        <v>5985.0374064837906</v>
      </c>
      <c r="L1286" s="14">
        <v>333914.14612083195</v>
      </c>
      <c r="M1286" s="36">
        <f>IF(Output[[#This Row],[Index]]=1,Output[[#This Row],[Droit Utilisation]],P1285)</f>
        <v>333914.14612083195</v>
      </c>
      <c r="N1286" s="15">
        <f>Output[[#This Row],[Capital Debut Period]]*Output[[#This Row],[Tx_interet_M]]</f>
        <v>834.78536530207987</v>
      </c>
      <c r="O1286" s="15">
        <f>Output[[#This Row],[Mensualité initial]]-Output[[#This Row],[Interet]]</f>
        <v>5165.2146346979198</v>
      </c>
      <c r="P1286" s="15">
        <f>Output[[#This Row],[Capital Debut Period]]-Output[[#This Row],[Paiement Principal]]</f>
        <v>328748.93148613401</v>
      </c>
      <c r="Q1286" s="15">
        <f>Output[[#This Row],[Droit Utilisation]]/Output[[#This Row],[Duree_Mois]]</f>
        <v>5565.2357686805326</v>
      </c>
    </row>
    <row r="1287" spans="1:17" x14ac:dyDescent="0.25">
      <c r="A1287" s="11" t="s">
        <v>22</v>
      </c>
      <c r="B1287" s="12">
        <v>43831</v>
      </c>
      <c r="C1287">
        <v>6000</v>
      </c>
      <c r="D1287">
        <v>5</v>
      </c>
      <c r="E1287">
        <v>0.03</v>
      </c>
      <c r="F1287">
        <v>60</v>
      </c>
      <c r="G1287" s="13">
        <v>43890</v>
      </c>
      <c r="H1287">
        <v>1286</v>
      </c>
      <c r="I1287">
        <v>2</v>
      </c>
      <c r="J1287">
        <v>2.5000000000000001E-3</v>
      </c>
      <c r="K1287" s="14">
        <v>5970.1121261683702</v>
      </c>
      <c r="L1287" s="14">
        <v>333914.14612083195</v>
      </c>
      <c r="M1287" s="36">
        <f>IF(Output[[#This Row],[Index]]=1,Output[[#This Row],[Droit Utilisation]],P1286)</f>
        <v>328748.93148613401</v>
      </c>
      <c r="N1287" s="15">
        <f>Output[[#This Row],[Capital Debut Period]]*Output[[#This Row],[Tx_interet_M]]</f>
        <v>821.87232871533502</v>
      </c>
      <c r="O1287" s="15">
        <f>Output[[#This Row],[Mensualité initial]]-Output[[#This Row],[Interet]]</f>
        <v>5178.1276712846648</v>
      </c>
      <c r="P1287" s="15">
        <f>Output[[#This Row],[Capital Debut Period]]-Output[[#This Row],[Paiement Principal]]</f>
        <v>323570.80381484935</v>
      </c>
      <c r="Q1287" s="15">
        <f>Output[[#This Row],[Droit Utilisation]]/Output[[#This Row],[Duree_Mois]]</f>
        <v>5565.2357686805326</v>
      </c>
    </row>
    <row r="1288" spans="1:17" x14ac:dyDescent="0.25">
      <c r="A1288" s="11" t="s">
        <v>22</v>
      </c>
      <c r="B1288" s="12">
        <v>43831</v>
      </c>
      <c r="C1288">
        <v>6000</v>
      </c>
      <c r="D1288">
        <v>5</v>
      </c>
      <c r="E1288">
        <v>0.03</v>
      </c>
      <c r="F1288">
        <v>60</v>
      </c>
      <c r="G1288" s="13">
        <v>43921</v>
      </c>
      <c r="H1288">
        <v>1287</v>
      </c>
      <c r="I1288">
        <v>3</v>
      </c>
      <c r="J1288">
        <v>2.5000000000000001E-3</v>
      </c>
      <c r="K1288" s="14">
        <v>5955.2240660033622</v>
      </c>
      <c r="L1288" s="14">
        <v>333914.14612083195</v>
      </c>
      <c r="M1288" s="36">
        <f>IF(Output[[#This Row],[Index]]=1,Output[[#This Row],[Droit Utilisation]],P1287)</f>
        <v>323570.80381484935</v>
      </c>
      <c r="N1288" s="15">
        <f>Output[[#This Row],[Capital Debut Period]]*Output[[#This Row],[Tx_interet_M]]</f>
        <v>808.92700953712335</v>
      </c>
      <c r="O1288" s="15">
        <f>Output[[#This Row],[Mensualité initial]]-Output[[#This Row],[Interet]]</f>
        <v>5191.072990462877</v>
      </c>
      <c r="P1288" s="15">
        <f>Output[[#This Row],[Capital Debut Period]]-Output[[#This Row],[Paiement Principal]]</f>
        <v>318379.73082438647</v>
      </c>
      <c r="Q1288" s="15">
        <f>Output[[#This Row],[Droit Utilisation]]/Output[[#This Row],[Duree_Mois]]</f>
        <v>5565.2357686805326</v>
      </c>
    </row>
    <row r="1289" spans="1:17" x14ac:dyDescent="0.25">
      <c r="A1289" s="11" t="s">
        <v>22</v>
      </c>
      <c r="B1289" s="12">
        <v>43831</v>
      </c>
      <c r="C1289">
        <v>6000</v>
      </c>
      <c r="D1289">
        <v>5</v>
      </c>
      <c r="E1289">
        <v>0.03</v>
      </c>
      <c r="F1289">
        <v>60</v>
      </c>
      <c r="G1289" s="13">
        <v>43951</v>
      </c>
      <c r="H1289">
        <v>1288</v>
      </c>
      <c r="I1289">
        <v>4</v>
      </c>
      <c r="J1289">
        <v>2.5000000000000001E-3</v>
      </c>
      <c r="K1289" s="14">
        <v>5940.3731331704357</v>
      </c>
      <c r="L1289" s="14">
        <v>333914.14612083195</v>
      </c>
      <c r="M1289" s="36">
        <f>IF(Output[[#This Row],[Index]]=1,Output[[#This Row],[Droit Utilisation]],P1288)</f>
        <v>318379.73082438647</v>
      </c>
      <c r="N1289" s="15">
        <f>Output[[#This Row],[Capital Debut Period]]*Output[[#This Row],[Tx_interet_M]]</f>
        <v>795.9493270609662</v>
      </c>
      <c r="O1289" s="15">
        <f>Output[[#This Row],[Mensualité initial]]-Output[[#This Row],[Interet]]</f>
        <v>5204.0506729390336</v>
      </c>
      <c r="P1289" s="15">
        <f>Output[[#This Row],[Capital Debut Period]]-Output[[#This Row],[Paiement Principal]]</f>
        <v>313175.68015144742</v>
      </c>
      <c r="Q1289" s="15">
        <f>Output[[#This Row],[Droit Utilisation]]/Output[[#This Row],[Duree_Mois]]</f>
        <v>5565.2357686805326</v>
      </c>
    </row>
    <row r="1290" spans="1:17" x14ac:dyDescent="0.25">
      <c r="A1290" s="11" t="s">
        <v>22</v>
      </c>
      <c r="B1290" s="12">
        <v>43831</v>
      </c>
      <c r="C1290">
        <v>6000</v>
      </c>
      <c r="D1290">
        <v>5</v>
      </c>
      <c r="E1290">
        <v>0.03</v>
      </c>
      <c r="F1290">
        <v>60</v>
      </c>
      <c r="G1290" s="13">
        <v>43982</v>
      </c>
      <c r="H1290">
        <v>1289</v>
      </c>
      <c r="I1290">
        <v>5</v>
      </c>
      <c r="J1290">
        <v>2.5000000000000001E-3</v>
      </c>
      <c r="K1290" s="14">
        <v>5925.5592350827301</v>
      </c>
      <c r="L1290" s="14">
        <v>333914.14612083195</v>
      </c>
      <c r="M1290" s="36">
        <f>IF(Output[[#This Row],[Index]]=1,Output[[#This Row],[Droit Utilisation]],P1289)</f>
        <v>313175.68015144742</v>
      </c>
      <c r="N1290" s="15">
        <f>Output[[#This Row],[Capital Debut Period]]*Output[[#This Row],[Tx_interet_M]]</f>
        <v>782.93920037861858</v>
      </c>
      <c r="O1290" s="15">
        <f>Output[[#This Row],[Mensualité initial]]-Output[[#This Row],[Interet]]</f>
        <v>5217.0607996213812</v>
      </c>
      <c r="P1290" s="15">
        <f>Output[[#This Row],[Capital Debut Period]]-Output[[#This Row],[Paiement Principal]]</f>
        <v>307958.61935182603</v>
      </c>
      <c r="Q1290" s="15">
        <f>Output[[#This Row],[Droit Utilisation]]/Output[[#This Row],[Duree_Mois]]</f>
        <v>5565.2357686805326</v>
      </c>
    </row>
    <row r="1291" spans="1:17" x14ac:dyDescent="0.25">
      <c r="A1291" s="11" t="s">
        <v>22</v>
      </c>
      <c r="B1291" s="12">
        <v>43831</v>
      </c>
      <c r="C1291">
        <v>6000</v>
      </c>
      <c r="D1291">
        <v>5</v>
      </c>
      <c r="E1291">
        <v>0.03</v>
      </c>
      <c r="F1291">
        <v>60</v>
      </c>
      <c r="G1291" s="13">
        <v>44012</v>
      </c>
      <c r="H1291">
        <v>1290</v>
      </c>
      <c r="I1291">
        <v>6</v>
      </c>
      <c r="J1291">
        <v>2.5000000000000001E-3</v>
      </c>
      <c r="K1291" s="14">
        <v>5910.7822793842697</v>
      </c>
      <c r="L1291" s="14">
        <v>333914.14612083195</v>
      </c>
      <c r="M1291" s="36">
        <f>IF(Output[[#This Row],[Index]]=1,Output[[#This Row],[Droit Utilisation]],P1290)</f>
        <v>307958.61935182603</v>
      </c>
      <c r="N1291" s="15">
        <f>Output[[#This Row],[Capital Debut Period]]*Output[[#This Row],[Tx_interet_M]]</f>
        <v>769.89654837956505</v>
      </c>
      <c r="O1291" s="15">
        <f>Output[[#This Row],[Mensualité initial]]-Output[[#This Row],[Interet]]</f>
        <v>5230.1034516204345</v>
      </c>
      <c r="P1291" s="15">
        <f>Output[[#This Row],[Capital Debut Period]]-Output[[#This Row],[Paiement Principal]]</f>
        <v>302728.51590020559</v>
      </c>
      <c r="Q1291" s="15">
        <f>Output[[#This Row],[Droit Utilisation]]/Output[[#This Row],[Duree_Mois]]</f>
        <v>5565.2357686805326</v>
      </c>
    </row>
    <row r="1292" spans="1:17" x14ac:dyDescent="0.25">
      <c r="A1292" s="11" t="s">
        <v>22</v>
      </c>
      <c r="B1292" s="12">
        <v>43831</v>
      </c>
      <c r="C1292">
        <v>6000</v>
      </c>
      <c r="D1292">
        <v>5</v>
      </c>
      <c r="E1292">
        <v>0.03</v>
      </c>
      <c r="F1292">
        <v>60</v>
      </c>
      <c r="G1292" s="13">
        <v>44043</v>
      </c>
      <c r="H1292">
        <v>1291</v>
      </c>
      <c r="I1292">
        <v>7</v>
      </c>
      <c r="J1292">
        <v>2.5000000000000001E-3</v>
      </c>
      <c r="K1292" s="14">
        <v>5896.0421739493959</v>
      </c>
      <c r="L1292" s="14">
        <v>333914.14612083195</v>
      </c>
      <c r="M1292" s="36">
        <f>IF(Output[[#This Row],[Index]]=1,Output[[#This Row],[Droit Utilisation]],P1291)</f>
        <v>302728.51590020559</v>
      </c>
      <c r="N1292" s="15">
        <f>Output[[#This Row],[Capital Debut Period]]*Output[[#This Row],[Tx_interet_M]]</f>
        <v>756.82128975051398</v>
      </c>
      <c r="O1292" s="15">
        <f>Output[[#This Row],[Mensualité initial]]-Output[[#This Row],[Interet]]</f>
        <v>5243.1787102494864</v>
      </c>
      <c r="P1292" s="15">
        <f>Output[[#This Row],[Capital Debut Period]]-Output[[#This Row],[Paiement Principal]]</f>
        <v>297485.3371899561</v>
      </c>
      <c r="Q1292" s="15">
        <f>Output[[#This Row],[Droit Utilisation]]/Output[[#This Row],[Duree_Mois]]</f>
        <v>5565.2357686805326</v>
      </c>
    </row>
    <row r="1293" spans="1:17" x14ac:dyDescent="0.25">
      <c r="A1293" s="11" t="s">
        <v>22</v>
      </c>
      <c r="B1293" s="12">
        <v>43831</v>
      </c>
      <c r="C1293">
        <v>6000</v>
      </c>
      <c r="D1293">
        <v>5</v>
      </c>
      <c r="E1293">
        <v>0.03</v>
      </c>
      <c r="F1293">
        <v>60</v>
      </c>
      <c r="G1293" s="13">
        <v>44074</v>
      </c>
      <c r="H1293">
        <v>1292</v>
      </c>
      <c r="I1293">
        <v>8</v>
      </c>
      <c r="J1293">
        <v>2.5000000000000001E-3</v>
      </c>
      <c r="K1293" s="14">
        <v>5881.3388268821909</v>
      </c>
      <c r="L1293" s="14">
        <v>333914.14612083195</v>
      </c>
      <c r="M1293" s="36">
        <f>IF(Output[[#This Row],[Index]]=1,Output[[#This Row],[Droit Utilisation]],P1292)</f>
        <v>297485.3371899561</v>
      </c>
      <c r="N1293" s="15">
        <f>Output[[#This Row],[Capital Debut Period]]*Output[[#This Row],[Tx_interet_M]]</f>
        <v>743.71334297489022</v>
      </c>
      <c r="O1293" s="15">
        <f>Output[[#This Row],[Mensualité initial]]-Output[[#This Row],[Interet]]</f>
        <v>5256.2866570251099</v>
      </c>
      <c r="P1293" s="15">
        <f>Output[[#This Row],[Capital Debut Period]]-Output[[#This Row],[Paiement Principal]]</f>
        <v>292229.050532931</v>
      </c>
      <c r="Q1293" s="15">
        <f>Output[[#This Row],[Droit Utilisation]]/Output[[#This Row],[Duree_Mois]]</f>
        <v>5565.2357686805326</v>
      </c>
    </row>
    <row r="1294" spans="1:17" x14ac:dyDescent="0.25">
      <c r="A1294" s="11" t="s">
        <v>22</v>
      </c>
      <c r="B1294" s="12">
        <v>43831</v>
      </c>
      <c r="C1294">
        <v>6000</v>
      </c>
      <c r="D1294">
        <v>5</v>
      </c>
      <c r="E1294">
        <v>0.03</v>
      </c>
      <c r="F1294">
        <v>60</v>
      </c>
      <c r="G1294" s="13">
        <v>44104</v>
      </c>
      <c r="H1294">
        <v>1293</v>
      </c>
      <c r="I1294">
        <v>9</v>
      </c>
      <c r="J1294">
        <v>2.5000000000000001E-3</v>
      </c>
      <c r="K1294" s="14">
        <v>5866.6721465159017</v>
      </c>
      <c r="L1294" s="14">
        <v>333914.14612083195</v>
      </c>
      <c r="M1294" s="36">
        <f>IF(Output[[#This Row],[Index]]=1,Output[[#This Row],[Droit Utilisation]],P1293)</f>
        <v>292229.050532931</v>
      </c>
      <c r="N1294" s="15">
        <f>Output[[#This Row],[Capital Debut Period]]*Output[[#This Row],[Tx_interet_M]]</f>
        <v>730.57262633232756</v>
      </c>
      <c r="O1294" s="15">
        <f>Output[[#This Row],[Mensualité initial]]-Output[[#This Row],[Interet]]</f>
        <v>5269.4273736676723</v>
      </c>
      <c r="P1294" s="15">
        <f>Output[[#This Row],[Capital Debut Period]]-Output[[#This Row],[Paiement Principal]]</f>
        <v>286959.62315926334</v>
      </c>
      <c r="Q1294" s="15">
        <f>Output[[#This Row],[Droit Utilisation]]/Output[[#This Row],[Duree_Mois]]</f>
        <v>5565.2357686805326</v>
      </c>
    </row>
    <row r="1295" spans="1:17" x14ac:dyDescent="0.25">
      <c r="A1295" s="11" t="s">
        <v>22</v>
      </c>
      <c r="B1295" s="12">
        <v>43831</v>
      </c>
      <c r="C1295">
        <v>6000</v>
      </c>
      <c r="D1295">
        <v>5</v>
      </c>
      <c r="E1295">
        <v>0.03</v>
      </c>
      <c r="F1295">
        <v>60</v>
      </c>
      <c r="G1295" s="13">
        <v>44135</v>
      </c>
      <c r="H1295">
        <v>1294</v>
      </c>
      <c r="I1295">
        <v>10</v>
      </c>
      <c r="J1295">
        <v>2.5000000000000001E-3</v>
      </c>
      <c r="K1295" s="14">
        <v>5852.042041412371</v>
      </c>
      <c r="L1295" s="14">
        <v>333914.14612083195</v>
      </c>
      <c r="M1295" s="36">
        <f>IF(Output[[#This Row],[Index]]=1,Output[[#This Row],[Droit Utilisation]],P1294)</f>
        <v>286959.62315926334</v>
      </c>
      <c r="N1295" s="15">
        <f>Output[[#This Row],[Capital Debut Period]]*Output[[#This Row],[Tx_interet_M]]</f>
        <v>717.39905789815839</v>
      </c>
      <c r="O1295" s="15">
        <f>Output[[#This Row],[Mensualité initial]]-Output[[#This Row],[Interet]]</f>
        <v>5282.6009421018416</v>
      </c>
      <c r="P1295" s="15">
        <f>Output[[#This Row],[Capital Debut Period]]-Output[[#This Row],[Paiement Principal]]</f>
        <v>281677.02221716149</v>
      </c>
      <c r="Q1295" s="15">
        <f>Output[[#This Row],[Droit Utilisation]]/Output[[#This Row],[Duree_Mois]]</f>
        <v>5565.2357686805326</v>
      </c>
    </row>
    <row r="1296" spans="1:17" x14ac:dyDescent="0.25">
      <c r="A1296" s="11" t="s">
        <v>22</v>
      </c>
      <c r="B1296" s="12">
        <v>43831</v>
      </c>
      <c r="C1296">
        <v>6000</v>
      </c>
      <c r="D1296">
        <v>5</v>
      </c>
      <c r="E1296">
        <v>0.03</v>
      </c>
      <c r="F1296">
        <v>60</v>
      </c>
      <c r="G1296" s="13">
        <v>44165</v>
      </c>
      <c r="H1296">
        <v>1295</v>
      </c>
      <c r="I1296">
        <v>11</v>
      </c>
      <c r="J1296">
        <v>2.5000000000000001E-3</v>
      </c>
      <c r="K1296" s="14">
        <v>5837.4484203614675</v>
      </c>
      <c r="L1296" s="14">
        <v>333914.14612083195</v>
      </c>
      <c r="M1296" s="36">
        <f>IF(Output[[#This Row],[Index]]=1,Output[[#This Row],[Droit Utilisation]],P1295)</f>
        <v>281677.02221716149</v>
      </c>
      <c r="N1296" s="15">
        <f>Output[[#This Row],[Capital Debut Period]]*Output[[#This Row],[Tx_interet_M]]</f>
        <v>704.19255554290373</v>
      </c>
      <c r="O1296" s="15">
        <f>Output[[#This Row],[Mensualité initial]]-Output[[#This Row],[Interet]]</f>
        <v>5295.8074444570966</v>
      </c>
      <c r="P1296" s="15">
        <f>Output[[#This Row],[Capital Debut Period]]-Output[[#This Row],[Paiement Principal]]</f>
        <v>276381.21477270441</v>
      </c>
      <c r="Q1296" s="15">
        <f>Output[[#This Row],[Droit Utilisation]]/Output[[#This Row],[Duree_Mois]]</f>
        <v>5565.2357686805326</v>
      </c>
    </row>
    <row r="1297" spans="1:17" x14ac:dyDescent="0.25">
      <c r="A1297" s="11" t="s">
        <v>22</v>
      </c>
      <c r="B1297" s="12">
        <v>43831</v>
      </c>
      <c r="C1297">
        <v>6000</v>
      </c>
      <c r="D1297">
        <v>5</v>
      </c>
      <c r="E1297">
        <v>0.03</v>
      </c>
      <c r="F1297">
        <v>60</v>
      </c>
      <c r="G1297" s="13">
        <v>44196</v>
      </c>
      <c r="H1297">
        <v>1296</v>
      </c>
      <c r="I1297">
        <v>12</v>
      </c>
      <c r="J1297">
        <v>2.5000000000000001E-3</v>
      </c>
      <c r="K1297" s="14">
        <v>5822.8911923805163</v>
      </c>
      <c r="L1297" s="14">
        <v>333914.14612083195</v>
      </c>
      <c r="M1297" s="36">
        <f>IF(Output[[#This Row],[Index]]=1,Output[[#This Row],[Droit Utilisation]],P1296)</f>
        <v>276381.21477270441</v>
      </c>
      <c r="N1297" s="15">
        <f>Output[[#This Row],[Capital Debut Period]]*Output[[#This Row],[Tx_interet_M]]</f>
        <v>690.95303693176106</v>
      </c>
      <c r="O1297" s="15">
        <f>Output[[#This Row],[Mensualité initial]]-Output[[#This Row],[Interet]]</f>
        <v>5309.0469630682392</v>
      </c>
      <c r="P1297" s="15">
        <f>Output[[#This Row],[Capital Debut Period]]-Output[[#This Row],[Paiement Principal]]</f>
        <v>271072.16780963616</v>
      </c>
      <c r="Q1297" s="15">
        <f>Output[[#This Row],[Droit Utilisation]]/Output[[#This Row],[Duree_Mois]]</f>
        <v>5565.2357686805326</v>
      </c>
    </row>
    <row r="1298" spans="1:17" x14ac:dyDescent="0.25">
      <c r="A1298" s="11" t="s">
        <v>22</v>
      </c>
      <c r="B1298" s="12">
        <v>43831</v>
      </c>
      <c r="C1298">
        <v>6000</v>
      </c>
      <c r="D1298">
        <v>5</v>
      </c>
      <c r="E1298">
        <v>0.03</v>
      </c>
      <c r="F1298">
        <v>60</v>
      </c>
      <c r="G1298" s="13">
        <v>44227</v>
      </c>
      <c r="H1298">
        <v>1297</v>
      </c>
      <c r="I1298">
        <v>13</v>
      </c>
      <c r="J1298">
        <v>2.5000000000000001E-3</v>
      </c>
      <c r="K1298" s="14">
        <v>5808.3702667137322</v>
      </c>
      <c r="L1298" s="14">
        <v>333914.14612083195</v>
      </c>
      <c r="M1298" s="36">
        <f>IF(Output[[#This Row],[Index]]=1,Output[[#This Row],[Droit Utilisation]],P1297)</f>
        <v>271072.16780963616</v>
      </c>
      <c r="N1298" s="15">
        <f>Output[[#This Row],[Capital Debut Period]]*Output[[#This Row],[Tx_interet_M]]</f>
        <v>677.68041952409044</v>
      </c>
      <c r="O1298" s="15">
        <f>Output[[#This Row],[Mensualité initial]]-Output[[#This Row],[Interet]]</f>
        <v>5322.3195804759098</v>
      </c>
      <c r="P1298" s="15">
        <f>Output[[#This Row],[Capital Debut Period]]-Output[[#This Row],[Paiement Principal]]</f>
        <v>265749.84822916024</v>
      </c>
      <c r="Q1298" s="15">
        <f>Output[[#This Row],[Droit Utilisation]]/Output[[#This Row],[Duree_Mois]]</f>
        <v>5565.2357686805326</v>
      </c>
    </row>
    <row r="1299" spans="1:17" x14ac:dyDescent="0.25">
      <c r="A1299" s="11" t="s">
        <v>22</v>
      </c>
      <c r="B1299" s="12">
        <v>43831</v>
      </c>
      <c r="C1299">
        <v>6000</v>
      </c>
      <c r="D1299">
        <v>5</v>
      </c>
      <c r="E1299">
        <v>0.03</v>
      </c>
      <c r="F1299">
        <v>60</v>
      </c>
      <c r="G1299" s="13">
        <v>44255</v>
      </c>
      <c r="H1299">
        <v>1298</v>
      </c>
      <c r="I1299">
        <v>14</v>
      </c>
      <c r="J1299">
        <v>2.5000000000000001E-3</v>
      </c>
      <c r="K1299" s="14">
        <v>5793.8855528316535</v>
      </c>
      <c r="L1299" s="14">
        <v>333914.14612083195</v>
      </c>
      <c r="M1299" s="36">
        <f>IF(Output[[#This Row],[Index]]=1,Output[[#This Row],[Droit Utilisation]],P1298)</f>
        <v>265749.84822916024</v>
      </c>
      <c r="N1299" s="15">
        <f>Output[[#This Row],[Capital Debut Period]]*Output[[#This Row],[Tx_interet_M]]</f>
        <v>664.37462057290065</v>
      </c>
      <c r="O1299" s="15">
        <f>Output[[#This Row],[Mensualité initial]]-Output[[#This Row],[Interet]]</f>
        <v>5335.6253794270997</v>
      </c>
      <c r="P1299" s="15">
        <f>Output[[#This Row],[Capital Debut Period]]-Output[[#This Row],[Paiement Principal]]</f>
        <v>260414.22284973314</v>
      </c>
      <c r="Q1299" s="15">
        <f>Output[[#This Row],[Droit Utilisation]]/Output[[#This Row],[Duree_Mois]]</f>
        <v>5565.2357686805326</v>
      </c>
    </row>
    <row r="1300" spans="1:17" x14ac:dyDescent="0.25">
      <c r="A1300" s="11" t="s">
        <v>22</v>
      </c>
      <c r="B1300" s="12">
        <v>43831</v>
      </c>
      <c r="C1300">
        <v>6000</v>
      </c>
      <c r="D1300">
        <v>5</v>
      </c>
      <c r="E1300">
        <v>0.03</v>
      </c>
      <c r="F1300">
        <v>60</v>
      </c>
      <c r="G1300" s="13">
        <v>44286</v>
      </c>
      <c r="H1300">
        <v>1299</v>
      </c>
      <c r="I1300">
        <v>15</v>
      </c>
      <c r="J1300">
        <v>2.5000000000000001E-3</v>
      </c>
      <c r="K1300" s="14">
        <v>5779.4369604305775</v>
      </c>
      <c r="L1300" s="14">
        <v>333914.14612083195</v>
      </c>
      <c r="M1300" s="36">
        <f>IF(Output[[#This Row],[Index]]=1,Output[[#This Row],[Droit Utilisation]],P1299)</f>
        <v>260414.22284973314</v>
      </c>
      <c r="N1300" s="15">
        <f>Output[[#This Row],[Capital Debut Period]]*Output[[#This Row],[Tx_interet_M]]</f>
        <v>651.03555712433285</v>
      </c>
      <c r="O1300" s="15">
        <f>Output[[#This Row],[Mensualité initial]]-Output[[#This Row],[Interet]]</f>
        <v>5348.9644428756674</v>
      </c>
      <c r="P1300" s="15">
        <f>Output[[#This Row],[Capital Debut Period]]-Output[[#This Row],[Paiement Principal]]</f>
        <v>255065.25840685747</v>
      </c>
      <c r="Q1300" s="15">
        <f>Output[[#This Row],[Droit Utilisation]]/Output[[#This Row],[Duree_Mois]]</f>
        <v>5565.2357686805326</v>
      </c>
    </row>
    <row r="1301" spans="1:17" x14ac:dyDescent="0.25">
      <c r="A1301" s="11" t="s">
        <v>22</v>
      </c>
      <c r="B1301" s="12">
        <v>43831</v>
      </c>
      <c r="C1301">
        <v>6000</v>
      </c>
      <c r="D1301">
        <v>5</v>
      </c>
      <c r="E1301">
        <v>0.03</v>
      </c>
      <c r="F1301">
        <v>60</v>
      </c>
      <c r="G1301" s="13">
        <v>44316</v>
      </c>
      <c r="H1301">
        <v>1300</v>
      </c>
      <c r="I1301">
        <v>16</v>
      </c>
      <c r="J1301">
        <v>2.5000000000000001E-3</v>
      </c>
      <c r="K1301" s="14">
        <v>5765.0243994319981</v>
      </c>
      <c r="L1301" s="14">
        <v>333914.14612083195</v>
      </c>
      <c r="M1301" s="36">
        <f>IF(Output[[#This Row],[Index]]=1,Output[[#This Row],[Droit Utilisation]],P1300)</f>
        <v>255065.25840685747</v>
      </c>
      <c r="N1301" s="15">
        <f>Output[[#This Row],[Capital Debut Period]]*Output[[#This Row],[Tx_interet_M]]</f>
        <v>637.66314601714373</v>
      </c>
      <c r="O1301" s="15">
        <f>Output[[#This Row],[Mensualité initial]]-Output[[#This Row],[Interet]]</f>
        <v>5362.3368539828562</v>
      </c>
      <c r="P1301" s="15">
        <f>Output[[#This Row],[Capital Debut Period]]-Output[[#This Row],[Paiement Principal]]</f>
        <v>249702.92155287461</v>
      </c>
      <c r="Q1301" s="15">
        <f>Output[[#This Row],[Droit Utilisation]]/Output[[#This Row],[Duree_Mois]]</f>
        <v>5565.2357686805326</v>
      </c>
    </row>
    <row r="1302" spans="1:17" x14ac:dyDescent="0.25">
      <c r="A1302" s="11" t="s">
        <v>22</v>
      </c>
      <c r="B1302" s="12">
        <v>43831</v>
      </c>
      <c r="C1302">
        <v>6000</v>
      </c>
      <c r="D1302">
        <v>5</v>
      </c>
      <c r="E1302">
        <v>0.03</v>
      </c>
      <c r="F1302">
        <v>60</v>
      </c>
      <c r="G1302" s="13">
        <v>44347</v>
      </c>
      <c r="H1302">
        <v>1301</v>
      </c>
      <c r="I1302">
        <v>17</v>
      </c>
      <c r="J1302">
        <v>2.5000000000000001E-3</v>
      </c>
      <c r="K1302" s="14">
        <v>5750.6477799820432</v>
      </c>
      <c r="L1302" s="14">
        <v>333914.14612083195</v>
      </c>
      <c r="M1302" s="36">
        <f>IF(Output[[#This Row],[Index]]=1,Output[[#This Row],[Droit Utilisation]],P1301)</f>
        <v>249702.92155287461</v>
      </c>
      <c r="N1302" s="15">
        <f>Output[[#This Row],[Capital Debut Period]]*Output[[#This Row],[Tx_interet_M]]</f>
        <v>624.25730388218653</v>
      </c>
      <c r="O1302" s="15">
        <f>Output[[#This Row],[Mensualité initial]]-Output[[#This Row],[Interet]]</f>
        <v>5375.7426961178135</v>
      </c>
      <c r="P1302" s="15">
        <f>Output[[#This Row],[Capital Debut Period]]-Output[[#This Row],[Paiement Principal]]</f>
        <v>244327.1788567568</v>
      </c>
      <c r="Q1302" s="15">
        <f>Output[[#This Row],[Droit Utilisation]]/Output[[#This Row],[Duree_Mois]]</f>
        <v>5565.2357686805326</v>
      </c>
    </row>
    <row r="1303" spans="1:17" x14ac:dyDescent="0.25">
      <c r="A1303" s="11" t="s">
        <v>22</v>
      </c>
      <c r="B1303" s="12">
        <v>43831</v>
      </c>
      <c r="C1303">
        <v>6000</v>
      </c>
      <c r="D1303">
        <v>5</v>
      </c>
      <c r="E1303">
        <v>0.03</v>
      </c>
      <c r="F1303">
        <v>60</v>
      </c>
      <c r="G1303" s="13">
        <v>44377</v>
      </c>
      <c r="H1303">
        <v>1302</v>
      </c>
      <c r="I1303">
        <v>18</v>
      </c>
      <c r="J1303">
        <v>2.5000000000000001E-3</v>
      </c>
      <c r="K1303" s="14">
        <v>5736.3070124509168</v>
      </c>
      <c r="L1303" s="14">
        <v>333914.14612083195</v>
      </c>
      <c r="M1303" s="36">
        <f>IF(Output[[#This Row],[Index]]=1,Output[[#This Row],[Droit Utilisation]],P1302)</f>
        <v>244327.1788567568</v>
      </c>
      <c r="N1303" s="15">
        <f>Output[[#This Row],[Capital Debut Period]]*Output[[#This Row],[Tx_interet_M]]</f>
        <v>610.81794714189198</v>
      </c>
      <c r="O1303" s="15">
        <f>Output[[#This Row],[Mensualité initial]]-Output[[#This Row],[Interet]]</f>
        <v>5389.1820528581084</v>
      </c>
      <c r="P1303" s="15">
        <f>Output[[#This Row],[Capital Debut Period]]-Output[[#This Row],[Paiement Principal]]</f>
        <v>238937.99680389868</v>
      </c>
      <c r="Q1303" s="15">
        <f>Output[[#This Row],[Droit Utilisation]]/Output[[#This Row],[Duree_Mois]]</f>
        <v>5565.2357686805326</v>
      </c>
    </row>
    <row r="1304" spans="1:17" x14ac:dyDescent="0.25">
      <c r="A1304" s="11" t="s">
        <v>22</v>
      </c>
      <c r="B1304" s="12">
        <v>43831</v>
      </c>
      <c r="C1304">
        <v>6000</v>
      </c>
      <c r="D1304">
        <v>5</v>
      </c>
      <c r="E1304">
        <v>0.03</v>
      </c>
      <c r="F1304">
        <v>60</v>
      </c>
      <c r="G1304" s="13">
        <v>44408</v>
      </c>
      <c r="H1304">
        <v>1303</v>
      </c>
      <c r="I1304">
        <v>19</v>
      </c>
      <c r="J1304">
        <v>2.5000000000000001E-3</v>
      </c>
      <c r="K1304" s="14">
        <v>5722.0020074323356</v>
      </c>
      <c r="L1304" s="14">
        <v>333914.14612083195</v>
      </c>
      <c r="M1304" s="36">
        <f>IF(Output[[#This Row],[Index]]=1,Output[[#This Row],[Droit Utilisation]],P1303)</f>
        <v>238937.99680389868</v>
      </c>
      <c r="N1304" s="15">
        <f>Output[[#This Row],[Capital Debut Period]]*Output[[#This Row],[Tx_interet_M]]</f>
        <v>597.34499200974676</v>
      </c>
      <c r="O1304" s="15">
        <f>Output[[#This Row],[Mensualité initial]]-Output[[#This Row],[Interet]]</f>
        <v>5402.6550079902536</v>
      </c>
      <c r="P1304" s="15">
        <f>Output[[#This Row],[Capital Debut Period]]-Output[[#This Row],[Paiement Principal]]</f>
        <v>233535.34179590843</v>
      </c>
      <c r="Q1304" s="15">
        <f>Output[[#This Row],[Droit Utilisation]]/Output[[#This Row],[Duree_Mois]]</f>
        <v>5565.2357686805326</v>
      </c>
    </row>
    <row r="1305" spans="1:17" x14ac:dyDescent="0.25">
      <c r="A1305" s="11" t="s">
        <v>22</v>
      </c>
      <c r="B1305" s="12">
        <v>43831</v>
      </c>
      <c r="C1305">
        <v>6000</v>
      </c>
      <c r="D1305">
        <v>5</v>
      </c>
      <c r="E1305">
        <v>0.03</v>
      </c>
      <c r="F1305">
        <v>60</v>
      </c>
      <c r="G1305" s="13">
        <v>44439</v>
      </c>
      <c r="H1305">
        <v>1304</v>
      </c>
      <c r="I1305">
        <v>20</v>
      </c>
      <c r="J1305">
        <v>2.5000000000000001E-3</v>
      </c>
      <c r="K1305" s="14">
        <v>5707.7326757429792</v>
      </c>
      <c r="L1305" s="14">
        <v>333914.14612083195</v>
      </c>
      <c r="M1305" s="36">
        <f>IF(Output[[#This Row],[Index]]=1,Output[[#This Row],[Droit Utilisation]],P1304)</f>
        <v>233535.34179590843</v>
      </c>
      <c r="N1305" s="15">
        <f>Output[[#This Row],[Capital Debut Period]]*Output[[#This Row],[Tx_interet_M]]</f>
        <v>583.83835448977106</v>
      </c>
      <c r="O1305" s="15">
        <f>Output[[#This Row],[Mensualité initial]]-Output[[#This Row],[Interet]]</f>
        <v>5416.1616455102285</v>
      </c>
      <c r="P1305" s="15">
        <f>Output[[#This Row],[Capital Debut Period]]-Output[[#This Row],[Paiement Principal]]</f>
        <v>228119.1801503982</v>
      </c>
      <c r="Q1305" s="15">
        <f>Output[[#This Row],[Droit Utilisation]]/Output[[#This Row],[Duree_Mois]]</f>
        <v>5565.2357686805326</v>
      </c>
    </row>
    <row r="1306" spans="1:17" x14ac:dyDescent="0.25">
      <c r="A1306" s="11" t="s">
        <v>22</v>
      </c>
      <c r="B1306" s="12">
        <v>43831</v>
      </c>
      <c r="C1306">
        <v>6000</v>
      </c>
      <c r="D1306">
        <v>5</v>
      </c>
      <c r="E1306">
        <v>0.03</v>
      </c>
      <c r="F1306">
        <v>60</v>
      </c>
      <c r="G1306" s="13">
        <v>44469</v>
      </c>
      <c r="H1306">
        <v>1305</v>
      </c>
      <c r="I1306">
        <v>21</v>
      </c>
      <c r="J1306">
        <v>2.5000000000000001E-3</v>
      </c>
      <c r="K1306" s="14">
        <v>5693.4989284219246</v>
      </c>
      <c r="L1306" s="14">
        <v>333914.14612083195</v>
      </c>
      <c r="M1306" s="36">
        <f>IF(Output[[#This Row],[Index]]=1,Output[[#This Row],[Droit Utilisation]],P1305)</f>
        <v>228119.1801503982</v>
      </c>
      <c r="N1306" s="15">
        <f>Output[[#This Row],[Capital Debut Period]]*Output[[#This Row],[Tx_interet_M]]</f>
        <v>570.29795037599547</v>
      </c>
      <c r="O1306" s="15">
        <f>Output[[#This Row],[Mensualité initial]]-Output[[#This Row],[Interet]]</f>
        <v>5429.7020496240048</v>
      </c>
      <c r="P1306" s="15">
        <f>Output[[#This Row],[Capital Debut Period]]-Output[[#This Row],[Paiement Principal]]</f>
        <v>222689.4781007742</v>
      </c>
      <c r="Q1306" s="15">
        <f>Output[[#This Row],[Droit Utilisation]]/Output[[#This Row],[Duree_Mois]]</f>
        <v>5565.2357686805326</v>
      </c>
    </row>
    <row r="1307" spans="1:17" x14ac:dyDescent="0.25">
      <c r="A1307" s="11" t="s">
        <v>22</v>
      </c>
      <c r="B1307" s="12">
        <v>43831</v>
      </c>
      <c r="C1307">
        <v>6000</v>
      </c>
      <c r="D1307">
        <v>5</v>
      </c>
      <c r="E1307">
        <v>0.03</v>
      </c>
      <c r="F1307">
        <v>60</v>
      </c>
      <c r="G1307" s="13">
        <v>44500</v>
      </c>
      <c r="H1307">
        <v>1306</v>
      </c>
      <c r="I1307">
        <v>22</v>
      </c>
      <c r="J1307">
        <v>2.5000000000000001E-3</v>
      </c>
      <c r="K1307" s="14">
        <v>5679.3006767300994</v>
      </c>
      <c r="L1307" s="14">
        <v>333914.14612083195</v>
      </c>
      <c r="M1307" s="36">
        <f>IF(Output[[#This Row],[Index]]=1,Output[[#This Row],[Droit Utilisation]],P1306)</f>
        <v>222689.4781007742</v>
      </c>
      <c r="N1307" s="15">
        <f>Output[[#This Row],[Capital Debut Period]]*Output[[#This Row],[Tx_interet_M]]</f>
        <v>556.72369525193551</v>
      </c>
      <c r="O1307" s="15">
        <f>Output[[#This Row],[Mensualité initial]]-Output[[#This Row],[Interet]]</f>
        <v>5443.2763047480648</v>
      </c>
      <c r="P1307" s="15">
        <f>Output[[#This Row],[Capital Debut Period]]-Output[[#This Row],[Paiement Principal]]</f>
        <v>217246.20179602614</v>
      </c>
      <c r="Q1307" s="15">
        <f>Output[[#This Row],[Droit Utilisation]]/Output[[#This Row],[Duree_Mois]]</f>
        <v>5565.2357686805326</v>
      </c>
    </row>
    <row r="1308" spans="1:17" x14ac:dyDescent="0.25">
      <c r="A1308" s="11" t="s">
        <v>22</v>
      </c>
      <c r="B1308" s="12">
        <v>43831</v>
      </c>
      <c r="C1308">
        <v>6000</v>
      </c>
      <c r="D1308">
        <v>5</v>
      </c>
      <c r="E1308">
        <v>0.03</v>
      </c>
      <c r="F1308">
        <v>60</v>
      </c>
      <c r="G1308" s="13">
        <v>44530</v>
      </c>
      <c r="H1308">
        <v>1307</v>
      </c>
      <c r="I1308">
        <v>23</v>
      </c>
      <c r="J1308">
        <v>2.5000000000000001E-3</v>
      </c>
      <c r="K1308" s="14">
        <v>5665.137832149725</v>
      </c>
      <c r="L1308" s="14">
        <v>333914.14612083195</v>
      </c>
      <c r="M1308" s="36">
        <f>IF(Output[[#This Row],[Index]]=1,Output[[#This Row],[Droit Utilisation]],P1307)</f>
        <v>217246.20179602614</v>
      </c>
      <c r="N1308" s="15">
        <f>Output[[#This Row],[Capital Debut Period]]*Output[[#This Row],[Tx_interet_M]]</f>
        <v>543.1155044900654</v>
      </c>
      <c r="O1308" s="15">
        <f>Output[[#This Row],[Mensualité initial]]-Output[[#This Row],[Interet]]</f>
        <v>5456.8844955099348</v>
      </c>
      <c r="P1308" s="15">
        <f>Output[[#This Row],[Capital Debut Period]]-Output[[#This Row],[Paiement Principal]]</f>
        <v>211789.31730051621</v>
      </c>
      <c r="Q1308" s="15">
        <f>Output[[#This Row],[Droit Utilisation]]/Output[[#This Row],[Duree_Mois]]</f>
        <v>5565.2357686805326</v>
      </c>
    </row>
    <row r="1309" spans="1:17" x14ac:dyDescent="0.25">
      <c r="A1309" s="11" t="s">
        <v>22</v>
      </c>
      <c r="B1309" s="12">
        <v>43831</v>
      </c>
      <c r="C1309">
        <v>6000</v>
      </c>
      <c r="D1309">
        <v>5</v>
      </c>
      <c r="E1309">
        <v>0.03</v>
      </c>
      <c r="F1309">
        <v>60</v>
      </c>
      <c r="G1309" s="13">
        <v>44561</v>
      </c>
      <c r="H1309">
        <v>1308</v>
      </c>
      <c r="I1309">
        <v>24</v>
      </c>
      <c r="J1309">
        <v>2.5000000000000001E-3</v>
      </c>
      <c r="K1309" s="14">
        <v>5651.010306383766</v>
      </c>
      <c r="L1309" s="14">
        <v>333914.14612083195</v>
      </c>
      <c r="M1309" s="36">
        <f>IF(Output[[#This Row],[Index]]=1,Output[[#This Row],[Droit Utilisation]],P1308)</f>
        <v>211789.31730051621</v>
      </c>
      <c r="N1309" s="15">
        <f>Output[[#This Row],[Capital Debut Period]]*Output[[#This Row],[Tx_interet_M]]</f>
        <v>529.47329325129056</v>
      </c>
      <c r="O1309" s="15">
        <f>Output[[#This Row],[Mensualité initial]]-Output[[#This Row],[Interet]]</f>
        <v>5470.5267067487093</v>
      </c>
      <c r="P1309" s="15">
        <f>Output[[#This Row],[Capital Debut Period]]-Output[[#This Row],[Paiement Principal]]</f>
        <v>206318.79059376751</v>
      </c>
      <c r="Q1309" s="15">
        <f>Output[[#This Row],[Droit Utilisation]]/Output[[#This Row],[Duree_Mois]]</f>
        <v>5565.2357686805326</v>
      </c>
    </row>
    <row r="1310" spans="1:17" x14ac:dyDescent="0.25">
      <c r="A1310" s="11" t="s">
        <v>22</v>
      </c>
      <c r="B1310" s="12">
        <v>43831</v>
      </c>
      <c r="C1310">
        <v>6000</v>
      </c>
      <c r="D1310">
        <v>5</v>
      </c>
      <c r="E1310">
        <v>0.03</v>
      </c>
      <c r="F1310">
        <v>60</v>
      </c>
      <c r="G1310" s="13">
        <v>44592</v>
      </c>
      <c r="H1310">
        <v>1309</v>
      </c>
      <c r="I1310">
        <v>25</v>
      </c>
      <c r="J1310">
        <v>2.5000000000000001E-3</v>
      </c>
      <c r="K1310" s="14">
        <v>5636.9180113553775</v>
      </c>
      <c r="L1310" s="14">
        <v>333914.14612083195</v>
      </c>
      <c r="M1310" s="36">
        <f>IF(Output[[#This Row],[Index]]=1,Output[[#This Row],[Droit Utilisation]],P1309)</f>
        <v>206318.79059376751</v>
      </c>
      <c r="N1310" s="15">
        <f>Output[[#This Row],[Capital Debut Period]]*Output[[#This Row],[Tx_interet_M]]</f>
        <v>515.79697648441879</v>
      </c>
      <c r="O1310" s="15">
        <f>Output[[#This Row],[Mensualité initial]]-Output[[#This Row],[Interet]]</f>
        <v>5484.2030235155817</v>
      </c>
      <c r="P1310" s="15">
        <f>Output[[#This Row],[Capital Debut Period]]-Output[[#This Row],[Paiement Principal]]</f>
        <v>200834.58757025193</v>
      </c>
      <c r="Q1310" s="15">
        <f>Output[[#This Row],[Droit Utilisation]]/Output[[#This Row],[Duree_Mois]]</f>
        <v>5565.2357686805326</v>
      </c>
    </row>
    <row r="1311" spans="1:17" x14ac:dyDescent="0.25">
      <c r="A1311" s="11" t="s">
        <v>22</v>
      </c>
      <c r="B1311" s="12">
        <v>43831</v>
      </c>
      <c r="C1311">
        <v>6000</v>
      </c>
      <c r="D1311">
        <v>5</v>
      </c>
      <c r="E1311">
        <v>0.03</v>
      </c>
      <c r="F1311">
        <v>60</v>
      </c>
      <c r="G1311" s="13">
        <v>44620</v>
      </c>
      <c r="H1311">
        <v>1310</v>
      </c>
      <c r="I1311">
        <v>26</v>
      </c>
      <c r="J1311">
        <v>2.5000000000000001E-3</v>
      </c>
      <c r="K1311" s="14">
        <v>5622.8608592073597</v>
      </c>
      <c r="L1311" s="14">
        <v>333914.14612083195</v>
      </c>
      <c r="M1311" s="36">
        <f>IF(Output[[#This Row],[Index]]=1,Output[[#This Row],[Droit Utilisation]],P1310)</f>
        <v>200834.58757025193</v>
      </c>
      <c r="N1311" s="15">
        <f>Output[[#This Row],[Capital Debut Period]]*Output[[#This Row],[Tx_interet_M]]</f>
        <v>502.08646892562984</v>
      </c>
      <c r="O1311" s="15">
        <f>Output[[#This Row],[Mensualité initial]]-Output[[#This Row],[Interet]]</f>
        <v>5497.9135310743704</v>
      </c>
      <c r="P1311" s="15">
        <f>Output[[#This Row],[Capital Debut Period]]-Output[[#This Row],[Paiement Principal]]</f>
        <v>195336.67403917757</v>
      </c>
      <c r="Q1311" s="15">
        <f>Output[[#This Row],[Droit Utilisation]]/Output[[#This Row],[Duree_Mois]]</f>
        <v>5565.2357686805326</v>
      </c>
    </row>
    <row r="1312" spans="1:17" x14ac:dyDescent="0.25">
      <c r="A1312" s="11" t="s">
        <v>22</v>
      </c>
      <c r="B1312" s="12">
        <v>43831</v>
      </c>
      <c r="C1312">
        <v>6000</v>
      </c>
      <c r="D1312">
        <v>5</v>
      </c>
      <c r="E1312">
        <v>0.03</v>
      </c>
      <c r="F1312">
        <v>60</v>
      </c>
      <c r="G1312" s="13">
        <v>44651</v>
      </c>
      <c r="H1312">
        <v>1311</v>
      </c>
      <c r="I1312">
        <v>27</v>
      </c>
      <c r="J1312">
        <v>2.5000000000000001E-3</v>
      </c>
      <c r="K1312" s="14">
        <v>5608.838762301606</v>
      </c>
      <c r="L1312" s="14">
        <v>333914.14612083195</v>
      </c>
      <c r="M1312" s="36">
        <f>IF(Output[[#This Row],[Index]]=1,Output[[#This Row],[Droit Utilisation]],P1311)</f>
        <v>195336.67403917757</v>
      </c>
      <c r="N1312" s="15">
        <f>Output[[#This Row],[Capital Debut Period]]*Output[[#This Row],[Tx_interet_M]]</f>
        <v>488.34168509794392</v>
      </c>
      <c r="O1312" s="15">
        <f>Output[[#This Row],[Mensualité initial]]-Output[[#This Row],[Interet]]</f>
        <v>5511.6583149020562</v>
      </c>
      <c r="P1312" s="15">
        <f>Output[[#This Row],[Capital Debut Period]]-Output[[#This Row],[Paiement Principal]]</f>
        <v>189825.01572427552</v>
      </c>
      <c r="Q1312" s="15">
        <f>Output[[#This Row],[Droit Utilisation]]/Output[[#This Row],[Duree_Mois]]</f>
        <v>5565.2357686805326</v>
      </c>
    </row>
    <row r="1313" spans="1:17" x14ac:dyDescent="0.25">
      <c r="A1313" s="11" t="s">
        <v>22</v>
      </c>
      <c r="B1313" s="12">
        <v>43831</v>
      </c>
      <c r="C1313">
        <v>6000</v>
      </c>
      <c r="D1313">
        <v>5</v>
      </c>
      <c r="E1313">
        <v>0.03</v>
      </c>
      <c r="F1313">
        <v>60</v>
      </c>
      <c r="G1313" s="13">
        <v>44681</v>
      </c>
      <c r="H1313">
        <v>1312</v>
      </c>
      <c r="I1313">
        <v>28</v>
      </c>
      <c r="J1313">
        <v>2.5000000000000001E-3</v>
      </c>
      <c r="K1313" s="14">
        <v>5594.85163321856</v>
      </c>
      <c r="L1313" s="14">
        <v>333914.14612083195</v>
      </c>
      <c r="M1313" s="36">
        <f>IF(Output[[#This Row],[Index]]=1,Output[[#This Row],[Droit Utilisation]],P1312)</f>
        <v>189825.01572427552</v>
      </c>
      <c r="N1313" s="15">
        <f>Output[[#This Row],[Capital Debut Period]]*Output[[#This Row],[Tx_interet_M]]</f>
        <v>474.56253931068881</v>
      </c>
      <c r="O1313" s="15">
        <f>Output[[#This Row],[Mensualité initial]]-Output[[#This Row],[Interet]]</f>
        <v>5525.4374606893116</v>
      </c>
      <c r="P1313" s="15">
        <f>Output[[#This Row],[Capital Debut Period]]-Output[[#This Row],[Paiement Principal]]</f>
        <v>184299.57826358621</v>
      </c>
      <c r="Q1313" s="15">
        <f>Output[[#This Row],[Droit Utilisation]]/Output[[#This Row],[Duree_Mois]]</f>
        <v>5565.2357686805326</v>
      </c>
    </row>
    <row r="1314" spans="1:17" x14ac:dyDescent="0.25">
      <c r="A1314" s="11" t="s">
        <v>22</v>
      </c>
      <c r="B1314" s="12">
        <v>43831</v>
      </c>
      <c r="C1314">
        <v>6000</v>
      </c>
      <c r="D1314">
        <v>5</v>
      </c>
      <c r="E1314">
        <v>0.03</v>
      </c>
      <c r="F1314">
        <v>60</v>
      </c>
      <c r="G1314" s="13">
        <v>44712</v>
      </c>
      <c r="H1314">
        <v>1313</v>
      </c>
      <c r="I1314">
        <v>29</v>
      </c>
      <c r="J1314">
        <v>2.5000000000000001E-3</v>
      </c>
      <c r="K1314" s="14">
        <v>5580.899384756669</v>
      </c>
      <c r="L1314" s="14">
        <v>333914.14612083195</v>
      </c>
      <c r="M1314" s="36">
        <f>IF(Output[[#This Row],[Index]]=1,Output[[#This Row],[Droit Utilisation]],P1313)</f>
        <v>184299.57826358621</v>
      </c>
      <c r="N1314" s="15">
        <f>Output[[#This Row],[Capital Debut Period]]*Output[[#This Row],[Tx_interet_M]]</f>
        <v>460.74894565896557</v>
      </c>
      <c r="O1314" s="15">
        <f>Output[[#This Row],[Mensualité initial]]-Output[[#This Row],[Interet]]</f>
        <v>5539.2510543410344</v>
      </c>
      <c r="P1314" s="15">
        <f>Output[[#This Row],[Capital Debut Period]]-Output[[#This Row],[Paiement Principal]]</f>
        <v>178760.32720924518</v>
      </c>
      <c r="Q1314" s="15">
        <f>Output[[#This Row],[Droit Utilisation]]/Output[[#This Row],[Duree_Mois]]</f>
        <v>5565.2357686805326</v>
      </c>
    </row>
    <row r="1315" spans="1:17" x14ac:dyDescent="0.25">
      <c r="A1315" s="11" t="s">
        <v>22</v>
      </c>
      <c r="B1315" s="12">
        <v>43831</v>
      </c>
      <c r="C1315">
        <v>6000</v>
      </c>
      <c r="D1315">
        <v>5</v>
      </c>
      <c r="E1315">
        <v>0.03</v>
      </c>
      <c r="F1315">
        <v>60</v>
      </c>
      <c r="G1315" s="13">
        <v>44742</v>
      </c>
      <c r="H1315">
        <v>1314</v>
      </c>
      <c r="I1315">
        <v>30</v>
      </c>
      <c r="J1315">
        <v>2.5000000000000001E-3</v>
      </c>
      <c r="K1315" s="14">
        <v>5566.9819299318397</v>
      </c>
      <c r="L1315" s="14">
        <v>333914.14612083195</v>
      </c>
      <c r="M1315" s="36">
        <f>IF(Output[[#This Row],[Index]]=1,Output[[#This Row],[Droit Utilisation]],P1314)</f>
        <v>178760.32720924518</v>
      </c>
      <c r="N1315" s="15">
        <f>Output[[#This Row],[Capital Debut Period]]*Output[[#This Row],[Tx_interet_M]]</f>
        <v>446.90081802311295</v>
      </c>
      <c r="O1315" s="15">
        <f>Output[[#This Row],[Mensualité initial]]-Output[[#This Row],[Interet]]</f>
        <v>5553.0991819768869</v>
      </c>
      <c r="P1315" s="15">
        <f>Output[[#This Row],[Capital Debut Period]]-Output[[#This Row],[Paiement Principal]]</f>
        <v>173207.22802726828</v>
      </c>
      <c r="Q1315" s="15">
        <f>Output[[#This Row],[Droit Utilisation]]/Output[[#This Row],[Duree_Mois]]</f>
        <v>5565.2357686805326</v>
      </c>
    </row>
    <row r="1316" spans="1:17" x14ac:dyDescent="0.25">
      <c r="A1316" s="11" t="s">
        <v>22</v>
      </c>
      <c r="B1316" s="12">
        <v>43831</v>
      </c>
      <c r="C1316">
        <v>6000</v>
      </c>
      <c r="D1316">
        <v>5</v>
      </c>
      <c r="E1316">
        <v>0.03</v>
      </c>
      <c r="F1316">
        <v>60</v>
      </c>
      <c r="G1316" s="13">
        <v>44773</v>
      </c>
      <c r="H1316">
        <v>1315</v>
      </c>
      <c r="I1316">
        <v>31</v>
      </c>
      <c r="J1316">
        <v>2.5000000000000001E-3</v>
      </c>
      <c r="K1316" s="14">
        <v>5553.0991819768969</v>
      </c>
      <c r="L1316" s="14">
        <v>333914.14612083195</v>
      </c>
      <c r="M1316" s="36">
        <f>IF(Output[[#This Row],[Index]]=1,Output[[#This Row],[Droit Utilisation]],P1315)</f>
        <v>173207.22802726828</v>
      </c>
      <c r="N1316" s="15">
        <f>Output[[#This Row],[Capital Debut Period]]*Output[[#This Row],[Tx_interet_M]]</f>
        <v>433.01807006817074</v>
      </c>
      <c r="O1316" s="15">
        <f>Output[[#This Row],[Mensualité initial]]-Output[[#This Row],[Interet]]</f>
        <v>5566.9819299318297</v>
      </c>
      <c r="P1316" s="15">
        <f>Output[[#This Row],[Capital Debut Period]]-Output[[#This Row],[Paiement Principal]]</f>
        <v>167640.24609733647</v>
      </c>
      <c r="Q1316" s="15">
        <f>Output[[#This Row],[Droit Utilisation]]/Output[[#This Row],[Duree_Mois]]</f>
        <v>5565.2357686805326</v>
      </c>
    </row>
    <row r="1317" spans="1:17" x14ac:dyDescent="0.25">
      <c r="A1317" s="11" t="s">
        <v>22</v>
      </c>
      <c r="B1317" s="12">
        <v>43831</v>
      </c>
      <c r="C1317">
        <v>6000</v>
      </c>
      <c r="D1317">
        <v>5</v>
      </c>
      <c r="E1317">
        <v>0.03</v>
      </c>
      <c r="F1317">
        <v>60</v>
      </c>
      <c r="G1317" s="13">
        <v>44804</v>
      </c>
      <c r="H1317">
        <v>1316</v>
      </c>
      <c r="I1317">
        <v>32</v>
      </c>
      <c r="J1317">
        <v>2.5000000000000001E-3</v>
      </c>
      <c r="K1317" s="14">
        <v>5539.2510543410453</v>
      </c>
      <c r="L1317" s="14">
        <v>333914.14612083195</v>
      </c>
      <c r="M1317" s="36">
        <f>IF(Output[[#This Row],[Index]]=1,Output[[#This Row],[Droit Utilisation]],P1316)</f>
        <v>167640.24609733647</v>
      </c>
      <c r="N1317" s="15">
        <f>Output[[#This Row],[Capital Debut Period]]*Output[[#This Row],[Tx_interet_M]]</f>
        <v>419.10061524334117</v>
      </c>
      <c r="O1317" s="15">
        <f>Output[[#This Row],[Mensualité initial]]-Output[[#This Row],[Interet]]</f>
        <v>5580.8993847566589</v>
      </c>
      <c r="P1317" s="15">
        <f>Output[[#This Row],[Capital Debut Period]]-Output[[#This Row],[Paiement Principal]]</f>
        <v>162059.34671257981</v>
      </c>
      <c r="Q1317" s="15">
        <f>Output[[#This Row],[Droit Utilisation]]/Output[[#This Row],[Duree_Mois]]</f>
        <v>5565.2357686805326</v>
      </c>
    </row>
    <row r="1318" spans="1:17" x14ac:dyDescent="0.25">
      <c r="A1318" s="11" t="s">
        <v>22</v>
      </c>
      <c r="B1318" s="12">
        <v>43831</v>
      </c>
      <c r="C1318">
        <v>6000</v>
      </c>
      <c r="D1318">
        <v>5</v>
      </c>
      <c r="E1318">
        <v>0.03</v>
      </c>
      <c r="F1318">
        <v>60</v>
      </c>
      <c r="G1318" s="13">
        <v>44834</v>
      </c>
      <c r="H1318">
        <v>1317</v>
      </c>
      <c r="I1318">
        <v>33</v>
      </c>
      <c r="J1318">
        <v>2.5000000000000001E-3</v>
      </c>
      <c r="K1318" s="14">
        <v>5525.4374606893225</v>
      </c>
      <c r="L1318" s="14">
        <v>333914.14612083195</v>
      </c>
      <c r="M1318" s="36">
        <f>IF(Output[[#This Row],[Index]]=1,Output[[#This Row],[Droit Utilisation]],P1317)</f>
        <v>162059.34671257981</v>
      </c>
      <c r="N1318" s="15">
        <f>Output[[#This Row],[Capital Debut Period]]*Output[[#This Row],[Tx_interet_M]]</f>
        <v>405.14836678144951</v>
      </c>
      <c r="O1318" s="15">
        <f>Output[[#This Row],[Mensualité initial]]-Output[[#This Row],[Interet]]</f>
        <v>5594.8516332185509</v>
      </c>
      <c r="P1318" s="15">
        <f>Output[[#This Row],[Capital Debut Period]]-Output[[#This Row],[Paiement Principal]]</f>
        <v>156464.49507936125</v>
      </c>
      <c r="Q1318" s="15">
        <f>Output[[#This Row],[Droit Utilisation]]/Output[[#This Row],[Duree_Mois]]</f>
        <v>5565.2357686805326</v>
      </c>
    </row>
    <row r="1319" spans="1:17" x14ac:dyDescent="0.25">
      <c r="A1319" s="11" t="s">
        <v>22</v>
      </c>
      <c r="B1319" s="12">
        <v>43831</v>
      </c>
      <c r="C1319">
        <v>6000</v>
      </c>
      <c r="D1319">
        <v>5</v>
      </c>
      <c r="E1319">
        <v>0.03</v>
      </c>
      <c r="F1319">
        <v>60</v>
      </c>
      <c r="G1319" s="13">
        <v>44865</v>
      </c>
      <c r="H1319">
        <v>1318</v>
      </c>
      <c r="I1319">
        <v>34</v>
      </c>
      <c r="J1319">
        <v>2.5000000000000001E-3</v>
      </c>
      <c r="K1319" s="14">
        <v>5511.6583149020671</v>
      </c>
      <c r="L1319" s="14">
        <v>333914.14612083195</v>
      </c>
      <c r="M1319" s="36">
        <f>IF(Output[[#This Row],[Index]]=1,Output[[#This Row],[Droit Utilisation]],P1318)</f>
        <v>156464.49507936125</v>
      </c>
      <c r="N1319" s="15">
        <f>Output[[#This Row],[Capital Debut Period]]*Output[[#This Row],[Tx_interet_M]]</f>
        <v>391.16123769840311</v>
      </c>
      <c r="O1319" s="15">
        <f>Output[[#This Row],[Mensualité initial]]-Output[[#This Row],[Interet]]</f>
        <v>5608.8387623015969</v>
      </c>
      <c r="P1319" s="15">
        <f>Output[[#This Row],[Capital Debut Period]]-Output[[#This Row],[Paiement Principal]]</f>
        <v>150855.65631705965</v>
      </c>
      <c r="Q1319" s="15">
        <f>Output[[#This Row],[Droit Utilisation]]/Output[[#This Row],[Duree_Mois]]</f>
        <v>5565.2357686805326</v>
      </c>
    </row>
    <row r="1320" spans="1:17" x14ac:dyDescent="0.25">
      <c r="A1320" s="11" t="s">
        <v>22</v>
      </c>
      <c r="B1320" s="12">
        <v>43831</v>
      </c>
      <c r="C1320">
        <v>6000</v>
      </c>
      <c r="D1320">
        <v>5</v>
      </c>
      <c r="E1320">
        <v>0.03</v>
      </c>
      <c r="F1320">
        <v>60</v>
      </c>
      <c r="G1320" s="13">
        <v>44895</v>
      </c>
      <c r="H1320">
        <v>1319</v>
      </c>
      <c r="I1320">
        <v>35</v>
      </c>
      <c r="J1320">
        <v>2.5000000000000001E-3</v>
      </c>
      <c r="K1320" s="14">
        <v>5497.9135310743814</v>
      </c>
      <c r="L1320" s="14">
        <v>333914.14612083195</v>
      </c>
      <c r="M1320" s="36">
        <f>IF(Output[[#This Row],[Index]]=1,Output[[#This Row],[Droit Utilisation]],P1319)</f>
        <v>150855.65631705965</v>
      </c>
      <c r="N1320" s="15">
        <f>Output[[#This Row],[Capital Debut Period]]*Output[[#This Row],[Tx_interet_M]]</f>
        <v>377.13914079264913</v>
      </c>
      <c r="O1320" s="15">
        <f>Output[[#This Row],[Mensualité initial]]-Output[[#This Row],[Interet]]</f>
        <v>5622.8608592073506</v>
      </c>
      <c r="P1320" s="15">
        <f>Output[[#This Row],[Capital Debut Period]]-Output[[#This Row],[Paiement Principal]]</f>
        <v>145232.79545785231</v>
      </c>
      <c r="Q1320" s="15">
        <f>Output[[#This Row],[Droit Utilisation]]/Output[[#This Row],[Duree_Mois]]</f>
        <v>5565.2357686805326</v>
      </c>
    </row>
    <row r="1321" spans="1:17" x14ac:dyDescent="0.25">
      <c r="A1321" s="11" t="s">
        <v>22</v>
      </c>
      <c r="B1321" s="12">
        <v>43831</v>
      </c>
      <c r="C1321">
        <v>6000</v>
      </c>
      <c r="D1321">
        <v>5</v>
      </c>
      <c r="E1321">
        <v>0.03</v>
      </c>
      <c r="F1321">
        <v>60</v>
      </c>
      <c r="G1321" s="13">
        <v>44926</v>
      </c>
      <c r="H1321">
        <v>1320</v>
      </c>
      <c r="I1321">
        <v>36</v>
      </c>
      <c r="J1321">
        <v>2.5000000000000001E-3</v>
      </c>
      <c r="K1321" s="14">
        <v>5484.2030235155926</v>
      </c>
      <c r="L1321" s="14">
        <v>333914.14612083195</v>
      </c>
      <c r="M1321" s="36">
        <f>IF(Output[[#This Row],[Index]]=1,Output[[#This Row],[Droit Utilisation]],P1320)</f>
        <v>145232.79545785231</v>
      </c>
      <c r="N1321" s="15">
        <f>Output[[#This Row],[Capital Debut Period]]*Output[[#This Row],[Tx_interet_M]]</f>
        <v>363.08198864463077</v>
      </c>
      <c r="O1321" s="15">
        <f>Output[[#This Row],[Mensualité initial]]-Output[[#This Row],[Interet]]</f>
        <v>5636.9180113553693</v>
      </c>
      <c r="P1321" s="15">
        <f>Output[[#This Row],[Capital Debut Period]]-Output[[#This Row],[Paiement Principal]]</f>
        <v>139595.87744649695</v>
      </c>
      <c r="Q1321" s="15">
        <f>Output[[#This Row],[Droit Utilisation]]/Output[[#This Row],[Duree_Mois]]</f>
        <v>5565.2357686805326</v>
      </c>
    </row>
    <row r="1322" spans="1:17" x14ac:dyDescent="0.25">
      <c r="A1322" s="11" t="s">
        <v>22</v>
      </c>
      <c r="B1322" s="12">
        <v>43831</v>
      </c>
      <c r="C1322">
        <v>6000</v>
      </c>
      <c r="D1322">
        <v>5</v>
      </c>
      <c r="E1322">
        <v>0.03</v>
      </c>
      <c r="F1322">
        <v>60</v>
      </c>
      <c r="G1322" s="13">
        <v>44957</v>
      </c>
      <c r="H1322">
        <v>1321</v>
      </c>
      <c r="I1322">
        <v>37</v>
      </c>
      <c r="J1322">
        <v>2.5000000000000001E-3</v>
      </c>
      <c r="K1322" s="14">
        <v>5470.5267067487212</v>
      </c>
      <c r="L1322" s="14">
        <v>333914.14612083195</v>
      </c>
      <c r="M1322" s="36">
        <f>IF(Output[[#This Row],[Index]]=1,Output[[#This Row],[Droit Utilisation]],P1321)</f>
        <v>139595.87744649695</v>
      </c>
      <c r="N1322" s="15">
        <f>Output[[#This Row],[Capital Debut Period]]*Output[[#This Row],[Tx_interet_M]]</f>
        <v>348.98969361624239</v>
      </c>
      <c r="O1322" s="15">
        <f>Output[[#This Row],[Mensualité initial]]-Output[[#This Row],[Interet]]</f>
        <v>5651.0103063837578</v>
      </c>
      <c r="P1322" s="15">
        <f>Output[[#This Row],[Capital Debut Period]]-Output[[#This Row],[Paiement Principal]]</f>
        <v>133944.8671401132</v>
      </c>
      <c r="Q1322" s="15">
        <f>Output[[#This Row],[Droit Utilisation]]/Output[[#This Row],[Duree_Mois]]</f>
        <v>5565.2357686805326</v>
      </c>
    </row>
    <row r="1323" spans="1:17" x14ac:dyDescent="0.25">
      <c r="A1323" s="11" t="s">
        <v>22</v>
      </c>
      <c r="B1323" s="12">
        <v>43831</v>
      </c>
      <c r="C1323">
        <v>6000</v>
      </c>
      <c r="D1323">
        <v>5</v>
      </c>
      <c r="E1323">
        <v>0.03</v>
      </c>
      <c r="F1323">
        <v>60</v>
      </c>
      <c r="G1323" s="13">
        <v>44985</v>
      </c>
      <c r="H1323">
        <v>1322</v>
      </c>
      <c r="I1323">
        <v>38</v>
      </c>
      <c r="J1323">
        <v>2.5000000000000001E-3</v>
      </c>
      <c r="K1323" s="14">
        <v>5456.8844955099466</v>
      </c>
      <c r="L1323" s="14">
        <v>333914.14612083195</v>
      </c>
      <c r="M1323" s="36">
        <f>IF(Output[[#This Row],[Index]]=1,Output[[#This Row],[Droit Utilisation]],P1322)</f>
        <v>133944.8671401132</v>
      </c>
      <c r="N1323" s="15">
        <f>Output[[#This Row],[Capital Debut Period]]*Output[[#This Row],[Tx_interet_M]]</f>
        <v>334.86216785028302</v>
      </c>
      <c r="O1323" s="15">
        <f>Output[[#This Row],[Mensualité initial]]-Output[[#This Row],[Interet]]</f>
        <v>5665.1378321497168</v>
      </c>
      <c r="P1323" s="15">
        <f>Output[[#This Row],[Capital Debut Period]]-Output[[#This Row],[Paiement Principal]]</f>
        <v>128279.72930796348</v>
      </c>
      <c r="Q1323" s="15">
        <f>Output[[#This Row],[Droit Utilisation]]/Output[[#This Row],[Duree_Mois]]</f>
        <v>5565.2357686805326</v>
      </c>
    </row>
    <row r="1324" spans="1:17" x14ac:dyDescent="0.25">
      <c r="A1324" s="11" t="s">
        <v>22</v>
      </c>
      <c r="B1324" s="12">
        <v>43831</v>
      </c>
      <c r="C1324">
        <v>6000</v>
      </c>
      <c r="D1324">
        <v>5</v>
      </c>
      <c r="E1324">
        <v>0.03</v>
      </c>
      <c r="F1324">
        <v>60</v>
      </c>
      <c r="G1324" s="13">
        <v>45016</v>
      </c>
      <c r="H1324">
        <v>1323</v>
      </c>
      <c r="I1324">
        <v>39</v>
      </c>
      <c r="J1324">
        <v>2.5000000000000001E-3</v>
      </c>
      <c r="K1324" s="14">
        <v>5443.2763047480767</v>
      </c>
      <c r="L1324" s="14">
        <v>333914.14612083195</v>
      </c>
      <c r="M1324" s="36">
        <f>IF(Output[[#This Row],[Index]]=1,Output[[#This Row],[Droit Utilisation]],P1323)</f>
        <v>128279.72930796348</v>
      </c>
      <c r="N1324" s="15">
        <f>Output[[#This Row],[Capital Debut Period]]*Output[[#This Row],[Tx_interet_M]]</f>
        <v>320.69932326990869</v>
      </c>
      <c r="O1324" s="15">
        <f>Output[[#This Row],[Mensualité initial]]-Output[[#This Row],[Interet]]</f>
        <v>5679.3006767300913</v>
      </c>
      <c r="P1324" s="15">
        <f>Output[[#This Row],[Capital Debut Period]]-Output[[#This Row],[Paiement Principal]]</f>
        <v>122600.42863123339</v>
      </c>
      <c r="Q1324" s="15">
        <f>Output[[#This Row],[Droit Utilisation]]/Output[[#This Row],[Duree_Mois]]</f>
        <v>5565.2357686805326</v>
      </c>
    </row>
    <row r="1325" spans="1:17" x14ac:dyDescent="0.25">
      <c r="A1325" s="11" t="s">
        <v>22</v>
      </c>
      <c r="B1325" s="12">
        <v>43831</v>
      </c>
      <c r="C1325">
        <v>6000</v>
      </c>
      <c r="D1325">
        <v>5</v>
      </c>
      <c r="E1325">
        <v>0.03</v>
      </c>
      <c r="F1325">
        <v>60</v>
      </c>
      <c r="G1325" s="13">
        <v>45046</v>
      </c>
      <c r="H1325">
        <v>1324</v>
      </c>
      <c r="I1325">
        <v>40</v>
      </c>
      <c r="J1325">
        <v>2.5000000000000001E-3</v>
      </c>
      <c r="K1325" s="14">
        <v>5429.7020496240175</v>
      </c>
      <c r="L1325" s="14">
        <v>333914.14612083195</v>
      </c>
      <c r="M1325" s="36">
        <f>IF(Output[[#This Row],[Index]]=1,Output[[#This Row],[Droit Utilisation]],P1324)</f>
        <v>122600.42863123339</v>
      </c>
      <c r="N1325" s="15">
        <f>Output[[#This Row],[Capital Debut Period]]*Output[[#This Row],[Tx_interet_M]]</f>
        <v>306.5010715780835</v>
      </c>
      <c r="O1325" s="15">
        <f>Output[[#This Row],[Mensualité initial]]-Output[[#This Row],[Interet]]</f>
        <v>5693.4989284219164</v>
      </c>
      <c r="P1325" s="15">
        <f>Output[[#This Row],[Capital Debut Period]]-Output[[#This Row],[Paiement Principal]]</f>
        <v>116906.92970281147</v>
      </c>
      <c r="Q1325" s="15">
        <f>Output[[#This Row],[Droit Utilisation]]/Output[[#This Row],[Duree_Mois]]</f>
        <v>5565.2357686805326</v>
      </c>
    </row>
    <row r="1326" spans="1:17" x14ac:dyDescent="0.25">
      <c r="A1326" s="11" t="s">
        <v>22</v>
      </c>
      <c r="B1326" s="12">
        <v>43831</v>
      </c>
      <c r="C1326">
        <v>6000</v>
      </c>
      <c r="D1326">
        <v>5</v>
      </c>
      <c r="E1326">
        <v>0.03</v>
      </c>
      <c r="F1326">
        <v>60</v>
      </c>
      <c r="G1326" s="13">
        <v>45077</v>
      </c>
      <c r="H1326">
        <v>1325</v>
      </c>
      <c r="I1326">
        <v>41</v>
      </c>
      <c r="J1326">
        <v>2.5000000000000001E-3</v>
      </c>
      <c r="K1326" s="14">
        <v>5416.1616455102412</v>
      </c>
      <c r="L1326" s="14">
        <v>333914.14612083195</v>
      </c>
      <c r="M1326" s="36">
        <f>IF(Output[[#This Row],[Index]]=1,Output[[#This Row],[Droit Utilisation]],P1325)</f>
        <v>116906.92970281147</v>
      </c>
      <c r="N1326" s="15">
        <f>Output[[#This Row],[Capital Debut Period]]*Output[[#This Row],[Tx_interet_M]]</f>
        <v>292.26732425702869</v>
      </c>
      <c r="O1326" s="15">
        <f>Output[[#This Row],[Mensualité initial]]-Output[[#This Row],[Interet]]</f>
        <v>5707.732675742971</v>
      </c>
      <c r="P1326" s="15">
        <f>Output[[#This Row],[Capital Debut Period]]-Output[[#This Row],[Paiement Principal]]</f>
        <v>111199.1970270685</v>
      </c>
      <c r="Q1326" s="15">
        <f>Output[[#This Row],[Droit Utilisation]]/Output[[#This Row],[Duree_Mois]]</f>
        <v>5565.2357686805326</v>
      </c>
    </row>
    <row r="1327" spans="1:17" x14ac:dyDescent="0.25">
      <c r="A1327" s="11" t="s">
        <v>22</v>
      </c>
      <c r="B1327" s="12">
        <v>43831</v>
      </c>
      <c r="C1327">
        <v>6000</v>
      </c>
      <c r="D1327">
        <v>5</v>
      </c>
      <c r="E1327">
        <v>0.03</v>
      </c>
      <c r="F1327">
        <v>60</v>
      </c>
      <c r="G1327" s="13">
        <v>45107</v>
      </c>
      <c r="H1327">
        <v>1326</v>
      </c>
      <c r="I1327">
        <v>42</v>
      </c>
      <c r="J1327">
        <v>2.5000000000000001E-3</v>
      </c>
      <c r="K1327" s="14">
        <v>5402.6550079902663</v>
      </c>
      <c r="L1327" s="14">
        <v>333914.14612083195</v>
      </c>
      <c r="M1327" s="36">
        <f>IF(Output[[#This Row],[Index]]=1,Output[[#This Row],[Droit Utilisation]],P1326)</f>
        <v>111199.1970270685</v>
      </c>
      <c r="N1327" s="15">
        <f>Output[[#This Row],[Capital Debut Period]]*Output[[#This Row],[Tx_interet_M]]</f>
        <v>277.99799256767125</v>
      </c>
      <c r="O1327" s="15">
        <f>Output[[#This Row],[Mensualité initial]]-Output[[#This Row],[Interet]]</f>
        <v>5722.0020074323284</v>
      </c>
      <c r="P1327" s="15">
        <f>Output[[#This Row],[Capital Debut Period]]-Output[[#This Row],[Paiement Principal]]</f>
        <v>105477.19501963617</v>
      </c>
      <c r="Q1327" s="15">
        <f>Output[[#This Row],[Droit Utilisation]]/Output[[#This Row],[Duree_Mois]]</f>
        <v>5565.2357686805326</v>
      </c>
    </row>
    <row r="1328" spans="1:17" x14ac:dyDescent="0.25">
      <c r="A1328" s="11" t="s">
        <v>22</v>
      </c>
      <c r="B1328" s="12">
        <v>43831</v>
      </c>
      <c r="C1328">
        <v>6000</v>
      </c>
      <c r="D1328">
        <v>5</v>
      </c>
      <c r="E1328">
        <v>0.03</v>
      </c>
      <c r="F1328">
        <v>60</v>
      </c>
      <c r="G1328" s="13">
        <v>45138</v>
      </c>
      <c r="H1328">
        <v>1327</v>
      </c>
      <c r="I1328">
        <v>43</v>
      </c>
      <c r="J1328">
        <v>2.5000000000000001E-3</v>
      </c>
      <c r="K1328" s="14">
        <v>5389.1820528581211</v>
      </c>
      <c r="L1328" s="14">
        <v>333914.14612083195</v>
      </c>
      <c r="M1328" s="36">
        <f>IF(Output[[#This Row],[Index]]=1,Output[[#This Row],[Droit Utilisation]],P1327)</f>
        <v>105477.19501963617</v>
      </c>
      <c r="N1328" s="15">
        <f>Output[[#This Row],[Capital Debut Period]]*Output[[#This Row],[Tx_interet_M]]</f>
        <v>263.69298754909045</v>
      </c>
      <c r="O1328" s="15">
        <f>Output[[#This Row],[Mensualité initial]]-Output[[#This Row],[Interet]]</f>
        <v>5736.3070124509095</v>
      </c>
      <c r="P1328" s="15">
        <f>Output[[#This Row],[Capital Debut Period]]-Output[[#This Row],[Paiement Principal]]</f>
        <v>99740.888007185262</v>
      </c>
      <c r="Q1328" s="15">
        <f>Output[[#This Row],[Droit Utilisation]]/Output[[#This Row],[Duree_Mois]]</f>
        <v>5565.2357686805326</v>
      </c>
    </row>
    <row r="1329" spans="1:17" x14ac:dyDescent="0.25">
      <c r="A1329" s="11" t="s">
        <v>22</v>
      </c>
      <c r="B1329" s="12">
        <v>43831</v>
      </c>
      <c r="C1329">
        <v>6000</v>
      </c>
      <c r="D1329">
        <v>5</v>
      </c>
      <c r="E1329">
        <v>0.03</v>
      </c>
      <c r="F1329">
        <v>60</v>
      </c>
      <c r="G1329" s="13">
        <v>45169</v>
      </c>
      <c r="H1329">
        <v>1328</v>
      </c>
      <c r="I1329">
        <v>44</v>
      </c>
      <c r="J1329">
        <v>2.5000000000000001E-3</v>
      </c>
      <c r="K1329" s="14">
        <v>5375.7426961178271</v>
      </c>
      <c r="L1329" s="14">
        <v>333914.14612083195</v>
      </c>
      <c r="M1329" s="36">
        <f>IF(Output[[#This Row],[Index]]=1,Output[[#This Row],[Droit Utilisation]],P1328)</f>
        <v>99740.888007185262</v>
      </c>
      <c r="N1329" s="15">
        <f>Output[[#This Row],[Capital Debut Period]]*Output[[#This Row],[Tx_interet_M]]</f>
        <v>249.35222001796316</v>
      </c>
      <c r="O1329" s="15">
        <f>Output[[#This Row],[Mensualité initial]]-Output[[#This Row],[Interet]]</f>
        <v>5750.6477799820368</v>
      </c>
      <c r="P1329" s="15">
        <f>Output[[#This Row],[Capital Debut Period]]-Output[[#This Row],[Paiement Principal]]</f>
        <v>93990.24022720322</v>
      </c>
      <c r="Q1329" s="15">
        <f>Output[[#This Row],[Droit Utilisation]]/Output[[#This Row],[Duree_Mois]]</f>
        <v>5565.2357686805326</v>
      </c>
    </row>
    <row r="1330" spans="1:17" x14ac:dyDescent="0.25">
      <c r="A1330" s="11" t="s">
        <v>22</v>
      </c>
      <c r="B1330" s="12">
        <v>43831</v>
      </c>
      <c r="C1330">
        <v>6000</v>
      </c>
      <c r="D1330">
        <v>5</v>
      </c>
      <c r="E1330">
        <v>0.03</v>
      </c>
      <c r="F1330">
        <v>60</v>
      </c>
      <c r="G1330" s="13">
        <v>45199</v>
      </c>
      <c r="H1330">
        <v>1329</v>
      </c>
      <c r="I1330">
        <v>45</v>
      </c>
      <c r="J1330">
        <v>2.5000000000000001E-3</v>
      </c>
      <c r="K1330" s="14">
        <v>5362.3368539828707</v>
      </c>
      <c r="L1330" s="14">
        <v>333914.14612083195</v>
      </c>
      <c r="M1330" s="36">
        <f>IF(Output[[#This Row],[Index]]=1,Output[[#This Row],[Droit Utilisation]],P1329)</f>
        <v>93990.24022720322</v>
      </c>
      <c r="N1330" s="15">
        <f>Output[[#This Row],[Capital Debut Period]]*Output[[#This Row],[Tx_interet_M]]</f>
        <v>234.97560056800805</v>
      </c>
      <c r="O1330" s="15">
        <f>Output[[#This Row],[Mensualité initial]]-Output[[#This Row],[Interet]]</f>
        <v>5765.0243994319917</v>
      </c>
      <c r="P1330" s="15">
        <f>Output[[#This Row],[Capital Debut Period]]-Output[[#This Row],[Paiement Principal]]</f>
        <v>88225.21582777123</v>
      </c>
      <c r="Q1330" s="15">
        <f>Output[[#This Row],[Droit Utilisation]]/Output[[#This Row],[Duree_Mois]]</f>
        <v>5565.2357686805326</v>
      </c>
    </row>
    <row r="1331" spans="1:17" x14ac:dyDescent="0.25">
      <c r="A1331" s="11" t="s">
        <v>22</v>
      </c>
      <c r="B1331" s="12">
        <v>43831</v>
      </c>
      <c r="C1331">
        <v>6000</v>
      </c>
      <c r="D1331">
        <v>5</v>
      </c>
      <c r="E1331">
        <v>0.03</v>
      </c>
      <c r="F1331">
        <v>60</v>
      </c>
      <c r="G1331" s="13">
        <v>45230</v>
      </c>
      <c r="H1331">
        <v>1330</v>
      </c>
      <c r="I1331">
        <v>46</v>
      </c>
      <c r="J1331">
        <v>2.5000000000000001E-3</v>
      </c>
      <c r="K1331" s="14">
        <v>5348.9644428756819</v>
      </c>
      <c r="L1331" s="14">
        <v>333914.14612083195</v>
      </c>
      <c r="M1331" s="36">
        <f>IF(Output[[#This Row],[Index]]=1,Output[[#This Row],[Droit Utilisation]],P1330)</f>
        <v>88225.21582777123</v>
      </c>
      <c r="N1331" s="15">
        <f>Output[[#This Row],[Capital Debut Period]]*Output[[#This Row],[Tx_interet_M]]</f>
        <v>220.56303956942807</v>
      </c>
      <c r="O1331" s="15">
        <f>Output[[#This Row],[Mensualité initial]]-Output[[#This Row],[Interet]]</f>
        <v>5779.4369604305721</v>
      </c>
      <c r="P1331" s="15">
        <f>Output[[#This Row],[Capital Debut Period]]-Output[[#This Row],[Paiement Principal]]</f>
        <v>82445.778867340661</v>
      </c>
      <c r="Q1331" s="15">
        <f>Output[[#This Row],[Droit Utilisation]]/Output[[#This Row],[Duree_Mois]]</f>
        <v>5565.2357686805326</v>
      </c>
    </row>
    <row r="1332" spans="1:17" x14ac:dyDescent="0.25">
      <c r="A1332" s="11" t="s">
        <v>22</v>
      </c>
      <c r="B1332" s="12">
        <v>43831</v>
      </c>
      <c r="C1332">
        <v>6000</v>
      </c>
      <c r="D1332">
        <v>5</v>
      </c>
      <c r="E1332">
        <v>0.03</v>
      </c>
      <c r="F1332">
        <v>60</v>
      </c>
      <c r="G1332" s="13">
        <v>45260</v>
      </c>
      <c r="H1332">
        <v>1331</v>
      </c>
      <c r="I1332">
        <v>47</v>
      </c>
      <c r="J1332">
        <v>2.5000000000000001E-3</v>
      </c>
      <c r="K1332" s="14">
        <v>5335.6253794271142</v>
      </c>
      <c r="L1332" s="14">
        <v>333914.14612083195</v>
      </c>
      <c r="M1332" s="36">
        <f>IF(Output[[#This Row],[Index]]=1,Output[[#This Row],[Droit Utilisation]],P1331)</f>
        <v>82445.778867340661</v>
      </c>
      <c r="N1332" s="15">
        <f>Output[[#This Row],[Capital Debut Period]]*Output[[#This Row],[Tx_interet_M]]</f>
        <v>206.11444716835166</v>
      </c>
      <c r="O1332" s="15">
        <f>Output[[#This Row],[Mensualité initial]]-Output[[#This Row],[Interet]]</f>
        <v>5793.8855528316481</v>
      </c>
      <c r="P1332" s="15">
        <f>Output[[#This Row],[Capital Debut Period]]-Output[[#This Row],[Paiement Principal]]</f>
        <v>76651.893314509012</v>
      </c>
      <c r="Q1332" s="15">
        <f>Output[[#This Row],[Droit Utilisation]]/Output[[#This Row],[Duree_Mois]]</f>
        <v>5565.2357686805326</v>
      </c>
    </row>
    <row r="1333" spans="1:17" x14ac:dyDescent="0.25">
      <c r="A1333" s="11" t="s">
        <v>22</v>
      </c>
      <c r="B1333" s="12">
        <v>43831</v>
      </c>
      <c r="C1333">
        <v>6000</v>
      </c>
      <c r="D1333">
        <v>5</v>
      </c>
      <c r="E1333">
        <v>0.03</v>
      </c>
      <c r="F1333">
        <v>60</v>
      </c>
      <c r="G1333" s="13">
        <v>45291</v>
      </c>
      <c r="H1333">
        <v>1332</v>
      </c>
      <c r="I1333">
        <v>48</v>
      </c>
      <c r="J1333">
        <v>2.5000000000000001E-3</v>
      </c>
      <c r="K1333" s="14">
        <v>5322.3195804759243</v>
      </c>
      <c r="L1333" s="14">
        <v>333914.14612083195</v>
      </c>
      <c r="M1333" s="36">
        <f>IF(Output[[#This Row],[Index]]=1,Output[[#This Row],[Droit Utilisation]],P1332)</f>
        <v>76651.893314509012</v>
      </c>
      <c r="N1333" s="15">
        <f>Output[[#This Row],[Capital Debut Period]]*Output[[#This Row],[Tx_interet_M]]</f>
        <v>191.62973328627254</v>
      </c>
      <c r="O1333" s="15">
        <f>Output[[#This Row],[Mensualité initial]]-Output[[#This Row],[Interet]]</f>
        <v>5808.3702667137277</v>
      </c>
      <c r="P1333" s="15">
        <f>Output[[#This Row],[Capital Debut Period]]-Output[[#This Row],[Paiement Principal]]</f>
        <v>70843.523047795286</v>
      </c>
      <c r="Q1333" s="15">
        <f>Output[[#This Row],[Droit Utilisation]]/Output[[#This Row],[Duree_Mois]]</f>
        <v>5565.2357686805326</v>
      </c>
    </row>
    <row r="1334" spans="1:17" x14ac:dyDescent="0.25">
      <c r="A1334" s="11" t="s">
        <v>22</v>
      </c>
      <c r="B1334" s="12">
        <v>43831</v>
      </c>
      <c r="C1334">
        <v>6000</v>
      </c>
      <c r="D1334">
        <v>5</v>
      </c>
      <c r="E1334">
        <v>0.03</v>
      </c>
      <c r="F1334">
        <v>60</v>
      </c>
      <c r="G1334" s="13">
        <v>45322</v>
      </c>
      <c r="H1334">
        <v>1333</v>
      </c>
      <c r="I1334">
        <v>49</v>
      </c>
      <c r="J1334">
        <v>2.5000000000000001E-3</v>
      </c>
      <c r="K1334" s="14">
        <v>5309.0469630682537</v>
      </c>
      <c r="L1334" s="14">
        <v>333914.14612083195</v>
      </c>
      <c r="M1334" s="36">
        <f>IF(Output[[#This Row],[Index]]=1,Output[[#This Row],[Droit Utilisation]],P1333)</f>
        <v>70843.523047795286</v>
      </c>
      <c r="N1334" s="15">
        <f>Output[[#This Row],[Capital Debut Period]]*Output[[#This Row],[Tx_interet_M]]</f>
        <v>177.10880761948823</v>
      </c>
      <c r="O1334" s="15">
        <f>Output[[#This Row],[Mensualité initial]]-Output[[#This Row],[Interet]]</f>
        <v>5822.8911923805117</v>
      </c>
      <c r="P1334" s="15">
        <f>Output[[#This Row],[Capital Debut Period]]-Output[[#This Row],[Paiement Principal]]</f>
        <v>65020.631855414773</v>
      </c>
      <c r="Q1334" s="15">
        <f>Output[[#This Row],[Droit Utilisation]]/Output[[#This Row],[Duree_Mois]]</f>
        <v>5565.2357686805326</v>
      </c>
    </row>
    <row r="1335" spans="1:17" x14ac:dyDescent="0.25">
      <c r="A1335" s="11" t="s">
        <v>22</v>
      </c>
      <c r="B1335" s="12">
        <v>43831</v>
      </c>
      <c r="C1335">
        <v>6000</v>
      </c>
      <c r="D1335">
        <v>5</v>
      </c>
      <c r="E1335">
        <v>0.03</v>
      </c>
      <c r="F1335">
        <v>60</v>
      </c>
      <c r="G1335" s="13">
        <v>45351</v>
      </c>
      <c r="H1335">
        <v>1334</v>
      </c>
      <c r="I1335">
        <v>50</v>
      </c>
      <c r="J1335">
        <v>2.5000000000000001E-3</v>
      </c>
      <c r="K1335" s="14">
        <v>5295.8074444571121</v>
      </c>
      <c r="L1335" s="14">
        <v>333914.14612083195</v>
      </c>
      <c r="M1335" s="36">
        <f>IF(Output[[#This Row],[Index]]=1,Output[[#This Row],[Droit Utilisation]],P1334)</f>
        <v>65020.631855414773</v>
      </c>
      <c r="N1335" s="15">
        <f>Output[[#This Row],[Capital Debut Period]]*Output[[#This Row],[Tx_interet_M]]</f>
        <v>162.55157963853694</v>
      </c>
      <c r="O1335" s="15">
        <f>Output[[#This Row],[Mensualité initial]]-Output[[#This Row],[Interet]]</f>
        <v>5837.4484203614629</v>
      </c>
      <c r="P1335" s="15">
        <f>Output[[#This Row],[Capital Debut Period]]-Output[[#This Row],[Paiement Principal]]</f>
        <v>59183.18343505331</v>
      </c>
      <c r="Q1335" s="15">
        <f>Output[[#This Row],[Droit Utilisation]]/Output[[#This Row],[Duree_Mois]]</f>
        <v>5565.2357686805326</v>
      </c>
    </row>
    <row r="1336" spans="1:17" x14ac:dyDescent="0.25">
      <c r="A1336" s="11" t="s">
        <v>22</v>
      </c>
      <c r="B1336" s="12">
        <v>43831</v>
      </c>
      <c r="C1336">
        <v>6000</v>
      </c>
      <c r="D1336">
        <v>5</v>
      </c>
      <c r="E1336">
        <v>0.03</v>
      </c>
      <c r="F1336">
        <v>60</v>
      </c>
      <c r="G1336" s="13">
        <v>45382</v>
      </c>
      <c r="H1336">
        <v>1335</v>
      </c>
      <c r="I1336">
        <v>51</v>
      </c>
      <c r="J1336">
        <v>2.5000000000000001E-3</v>
      </c>
      <c r="K1336" s="14">
        <v>5282.6009421018571</v>
      </c>
      <c r="L1336" s="14">
        <v>333914.14612083195</v>
      </c>
      <c r="M1336" s="36">
        <f>IF(Output[[#This Row],[Index]]=1,Output[[#This Row],[Droit Utilisation]],P1335)</f>
        <v>59183.18343505331</v>
      </c>
      <c r="N1336" s="15">
        <f>Output[[#This Row],[Capital Debut Period]]*Output[[#This Row],[Tx_interet_M]]</f>
        <v>147.95795858763327</v>
      </c>
      <c r="O1336" s="15">
        <f>Output[[#This Row],[Mensualité initial]]-Output[[#This Row],[Interet]]</f>
        <v>5852.0420414123664</v>
      </c>
      <c r="P1336" s="15">
        <f>Output[[#This Row],[Capital Debut Period]]-Output[[#This Row],[Paiement Principal]]</f>
        <v>53331.141393640944</v>
      </c>
      <c r="Q1336" s="15">
        <f>Output[[#This Row],[Droit Utilisation]]/Output[[#This Row],[Duree_Mois]]</f>
        <v>5565.2357686805326</v>
      </c>
    </row>
    <row r="1337" spans="1:17" x14ac:dyDescent="0.25">
      <c r="A1337" s="11" t="s">
        <v>22</v>
      </c>
      <c r="B1337" s="12">
        <v>43831</v>
      </c>
      <c r="C1337">
        <v>6000</v>
      </c>
      <c r="D1337">
        <v>5</v>
      </c>
      <c r="E1337">
        <v>0.03</v>
      </c>
      <c r="F1337">
        <v>60</v>
      </c>
      <c r="G1337" s="13">
        <v>45412</v>
      </c>
      <c r="H1337">
        <v>1336</v>
      </c>
      <c r="I1337">
        <v>52</v>
      </c>
      <c r="J1337">
        <v>2.5000000000000001E-3</v>
      </c>
      <c r="K1337" s="14">
        <v>5269.4273736676878</v>
      </c>
      <c r="L1337" s="14">
        <v>333914.14612083195</v>
      </c>
      <c r="M1337" s="36">
        <f>IF(Output[[#This Row],[Index]]=1,Output[[#This Row],[Droit Utilisation]],P1336)</f>
        <v>53331.141393640944</v>
      </c>
      <c r="N1337" s="15">
        <f>Output[[#This Row],[Capital Debut Period]]*Output[[#This Row],[Tx_interet_M]]</f>
        <v>133.32785348410238</v>
      </c>
      <c r="O1337" s="15">
        <f>Output[[#This Row],[Mensualité initial]]-Output[[#This Row],[Interet]]</f>
        <v>5866.672146515898</v>
      </c>
      <c r="P1337" s="15">
        <f>Output[[#This Row],[Capital Debut Period]]-Output[[#This Row],[Paiement Principal]]</f>
        <v>47464.469247125046</v>
      </c>
      <c r="Q1337" s="15">
        <f>Output[[#This Row],[Droit Utilisation]]/Output[[#This Row],[Duree_Mois]]</f>
        <v>5565.2357686805326</v>
      </c>
    </row>
    <row r="1338" spans="1:17" x14ac:dyDescent="0.25">
      <c r="A1338" s="11" t="s">
        <v>22</v>
      </c>
      <c r="B1338" s="12">
        <v>43831</v>
      </c>
      <c r="C1338">
        <v>6000</v>
      </c>
      <c r="D1338">
        <v>5</v>
      </c>
      <c r="E1338">
        <v>0.03</v>
      </c>
      <c r="F1338">
        <v>60</v>
      </c>
      <c r="G1338" s="13">
        <v>45443</v>
      </c>
      <c r="H1338">
        <v>1337</v>
      </c>
      <c r="I1338">
        <v>53</v>
      </c>
      <c r="J1338">
        <v>2.5000000000000001E-3</v>
      </c>
      <c r="K1338" s="14">
        <v>5256.2866570251254</v>
      </c>
      <c r="L1338" s="14">
        <v>333914.14612083195</v>
      </c>
      <c r="M1338" s="36">
        <f>IF(Output[[#This Row],[Index]]=1,Output[[#This Row],[Droit Utilisation]],P1337)</f>
        <v>47464.469247125046</v>
      </c>
      <c r="N1338" s="15">
        <f>Output[[#This Row],[Capital Debut Period]]*Output[[#This Row],[Tx_interet_M]]</f>
        <v>118.66117311781261</v>
      </c>
      <c r="O1338" s="15">
        <f>Output[[#This Row],[Mensualité initial]]-Output[[#This Row],[Interet]]</f>
        <v>5881.3388268821873</v>
      </c>
      <c r="P1338" s="15">
        <f>Output[[#This Row],[Capital Debut Period]]-Output[[#This Row],[Paiement Principal]]</f>
        <v>41583.130420242858</v>
      </c>
      <c r="Q1338" s="15">
        <f>Output[[#This Row],[Droit Utilisation]]/Output[[#This Row],[Duree_Mois]]</f>
        <v>5565.2357686805326</v>
      </c>
    </row>
    <row r="1339" spans="1:17" x14ac:dyDescent="0.25">
      <c r="A1339" s="11" t="s">
        <v>22</v>
      </c>
      <c r="B1339" s="12">
        <v>43831</v>
      </c>
      <c r="C1339">
        <v>6000</v>
      </c>
      <c r="D1339">
        <v>5</v>
      </c>
      <c r="E1339">
        <v>0.03</v>
      </c>
      <c r="F1339">
        <v>60</v>
      </c>
      <c r="G1339" s="13">
        <v>45473</v>
      </c>
      <c r="H1339">
        <v>1338</v>
      </c>
      <c r="I1339">
        <v>54</v>
      </c>
      <c r="J1339">
        <v>2.5000000000000001E-3</v>
      </c>
      <c r="K1339" s="14">
        <v>5243.1787102495018</v>
      </c>
      <c r="L1339" s="14">
        <v>333914.14612083195</v>
      </c>
      <c r="M1339" s="36">
        <f>IF(Output[[#This Row],[Index]]=1,Output[[#This Row],[Droit Utilisation]],P1338)</f>
        <v>41583.130420242858</v>
      </c>
      <c r="N1339" s="15">
        <f>Output[[#This Row],[Capital Debut Period]]*Output[[#This Row],[Tx_interet_M]]</f>
        <v>103.95782605060715</v>
      </c>
      <c r="O1339" s="15">
        <f>Output[[#This Row],[Mensualité initial]]-Output[[#This Row],[Interet]]</f>
        <v>5896.0421739493931</v>
      </c>
      <c r="P1339" s="15">
        <f>Output[[#This Row],[Capital Debut Period]]-Output[[#This Row],[Paiement Principal]]</f>
        <v>35687.088246293468</v>
      </c>
      <c r="Q1339" s="15">
        <f>Output[[#This Row],[Droit Utilisation]]/Output[[#This Row],[Duree_Mois]]</f>
        <v>5565.2357686805326</v>
      </c>
    </row>
    <row r="1340" spans="1:17" x14ac:dyDescent="0.25">
      <c r="A1340" s="11" t="s">
        <v>22</v>
      </c>
      <c r="B1340" s="12">
        <v>43831</v>
      </c>
      <c r="C1340">
        <v>6000</v>
      </c>
      <c r="D1340">
        <v>5</v>
      </c>
      <c r="E1340">
        <v>0.03</v>
      </c>
      <c r="F1340">
        <v>60</v>
      </c>
      <c r="G1340" s="13">
        <v>45504</v>
      </c>
      <c r="H1340">
        <v>1339</v>
      </c>
      <c r="I1340">
        <v>55</v>
      </c>
      <c r="J1340">
        <v>2.5000000000000001E-3</v>
      </c>
      <c r="K1340" s="14">
        <v>5230.1034516204509</v>
      </c>
      <c r="L1340" s="14">
        <v>333914.14612083195</v>
      </c>
      <c r="M1340" s="36">
        <f>IF(Output[[#This Row],[Index]]=1,Output[[#This Row],[Droit Utilisation]],P1339)</f>
        <v>35687.088246293468</v>
      </c>
      <c r="N1340" s="15">
        <f>Output[[#This Row],[Capital Debut Period]]*Output[[#This Row],[Tx_interet_M]]</f>
        <v>89.217720615733668</v>
      </c>
      <c r="O1340" s="15">
        <f>Output[[#This Row],[Mensualité initial]]-Output[[#This Row],[Interet]]</f>
        <v>5910.7822793842661</v>
      </c>
      <c r="P1340" s="15">
        <f>Output[[#This Row],[Capital Debut Period]]-Output[[#This Row],[Paiement Principal]]</f>
        <v>29776.305966909204</v>
      </c>
      <c r="Q1340" s="15">
        <f>Output[[#This Row],[Droit Utilisation]]/Output[[#This Row],[Duree_Mois]]</f>
        <v>5565.2357686805326</v>
      </c>
    </row>
    <row r="1341" spans="1:17" x14ac:dyDescent="0.25">
      <c r="A1341" s="11" t="s">
        <v>22</v>
      </c>
      <c r="B1341" s="12">
        <v>43831</v>
      </c>
      <c r="C1341">
        <v>6000</v>
      </c>
      <c r="D1341">
        <v>5</v>
      </c>
      <c r="E1341">
        <v>0.03</v>
      </c>
      <c r="F1341">
        <v>60</v>
      </c>
      <c r="G1341" s="13">
        <v>45535</v>
      </c>
      <c r="H1341">
        <v>1340</v>
      </c>
      <c r="I1341">
        <v>56</v>
      </c>
      <c r="J1341">
        <v>2.5000000000000001E-3</v>
      </c>
      <c r="K1341" s="14">
        <v>5217.0607996213976</v>
      </c>
      <c r="L1341" s="14">
        <v>333914.14612083195</v>
      </c>
      <c r="M1341" s="36">
        <f>IF(Output[[#This Row],[Index]]=1,Output[[#This Row],[Droit Utilisation]],P1340)</f>
        <v>29776.305966909204</v>
      </c>
      <c r="N1341" s="15">
        <f>Output[[#This Row],[Capital Debut Period]]*Output[[#This Row],[Tx_interet_M]]</f>
        <v>74.440764917273015</v>
      </c>
      <c r="O1341" s="15">
        <f>Output[[#This Row],[Mensualité initial]]-Output[[#This Row],[Interet]]</f>
        <v>5925.5592350827274</v>
      </c>
      <c r="P1341" s="15">
        <f>Output[[#This Row],[Capital Debut Period]]-Output[[#This Row],[Paiement Principal]]</f>
        <v>23850.746731826475</v>
      </c>
      <c r="Q1341" s="15">
        <f>Output[[#This Row],[Droit Utilisation]]/Output[[#This Row],[Duree_Mois]]</f>
        <v>5565.2357686805326</v>
      </c>
    </row>
    <row r="1342" spans="1:17" x14ac:dyDescent="0.25">
      <c r="A1342" s="11" t="s">
        <v>22</v>
      </c>
      <c r="B1342" s="12">
        <v>43831</v>
      </c>
      <c r="C1342">
        <v>6000</v>
      </c>
      <c r="D1342">
        <v>5</v>
      </c>
      <c r="E1342">
        <v>0.03</v>
      </c>
      <c r="F1342">
        <v>60</v>
      </c>
      <c r="G1342" s="13">
        <v>45565</v>
      </c>
      <c r="H1342">
        <v>1341</v>
      </c>
      <c r="I1342">
        <v>57</v>
      </c>
      <c r="J1342">
        <v>2.5000000000000001E-3</v>
      </c>
      <c r="K1342" s="14">
        <v>5204.0506729390509</v>
      </c>
      <c r="L1342" s="14">
        <v>333914.14612083195</v>
      </c>
      <c r="M1342" s="36">
        <f>IF(Output[[#This Row],[Index]]=1,Output[[#This Row],[Droit Utilisation]],P1341)</f>
        <v>23850.746731826475</v>
      </c>
      <c r="N1342" s="15">
        <f>Output[[#This Row],[Capital Debut Period]]*Output[[#This Row],[Tx_interet_M]]</f>
        <v>59.62686682956619</v>
      </c>
      <c r="O1342" s="15">
        <f>Output[[#This Row],[Mensualité initial]]-Output[[#This Row],[Interet]]</f>
        <v>5940.3731331704339</v>
      </c>
      <c r="P1342" s="15">
        <f>Output[[#This Row],[Capital Debut Period]]-Output[[#This Row],[Paiement Principal]]</f>
        <v>17910.373598656042</v>
      </c>
      <c r="Q1342" s="15">
        <f>Output[[#This Row],[Droit Utilisation]]/Output[[#This Row],[Duree_Mois]]</f>
        <v>5565.2357686805326</v>
      </c>
    </row>
    <row r="1343" spans="1:17" x14ac:dyDescent="0.25">
      <c r="A1343" s="11" t="s">
        <v>22</v>
      </c>
      <c r="B1343" s="12">
        <v>43831</v>
      </c>
      <c r="C1343">
        <v>6000</v>
      </c>
      <c r="D1343">
        <v>5</v>
      </c>
      <c r="E1343">
        <v>0.03</v>
      </c>
      <c r="F1343">
        <v>60</v>
      </c>
      <c r="G1343" s="13">
        <v>45596</v>
      </c>
      <c r="H1343">
        <v>1342</v>
      </c>
      <c r="I1343">
        <v>58</v>
      </c>
      <c r="J1343">
        <v>2.5000000000000001E-3</v>
      </c>
      <c r="K1343" s="14">
        <v>5191.0729904628934</v>
      </c>
      <c r="L1343" s="14">
        <v>333914.14612083195</v>
      </c>
      <c r="M1343" s="36">
        <f>IF(Output[[#This Row],[Index]]=1,Output[[#This Row],[Droit Utilisation]],P1342)</f>
        <v>17910.373598656042</v>
      </c>
      <c r="N1343" s="15">
        <f>Output[[#This Row],[Capital Debut Period]]*Output[[#This Row],[Tx_interet_M]]</f>
        <v>44.775933996640106</v>
      </c>
      <c r="O1343" s="15">
        <f>Output[[#This Row],[Mensualité initial]]-Output[[#This Row],[Interet]]</f>
        <v>5955.2240660033603</v>
      </c>
      <c r="P1343" s="15">
        <f>Output[[#This Row],[Capital Debut Period]]-Output[[#This Row],[Paiement Principal]]</f>
        <v>11955.149532652682</v>
      </c>
      <c r="Q1343" s="15">
        <f>Output[[#This Row],[Droit Utilisation]]/Output[[#This Row],[Duree_Mois]]</f>
        <v>5565.2357686805326</v>
      </c>
    </row>
    <row r="1344" spans="1:17" x14ac:dyDescent="0.25">
      <c r="A1344" s="11" t="s">
        <v>22</v>
      </c>
      <c r="B1344" s="12">
        <v>43831</v>
      </c>
      <c r="C1344">
        <v>6000</v>
      </c>
      <c r="D1344">
        <v>5</v>
      </c>
      <c r="E1344">
        <v>0.03</v>
      </c>
      <c r="F1344">
        <v>60</v>
      </c>
      <c r="G1344" s="13">
        <v>45626</v>
      </c>
      <c r="H1344">
        <v>1343</v>
      </c>
      <c r="I1344">
        <v>59</v>
      </c>
      <c r="J1344">
        <v>2.5000000000000001E-3</v>
      </c>
      <c r="K1344" s="14">
        <v>5178.127671284682</v>
      </c>
      <c r="L1344" s="14">
        <v>333914.14612083195</v>
      </c>
      <c r="M1344" s="36">
        <f>IF(Output[[#This Row],[Index]]=1,Output[[#This Row],[Droit Utilisation]],P1343)</f>
        <v>11955.149532652682</v>
      </c>
      <c r="N1344" s="15">
        <f>Output[[#This Row],[Capital Debut Period]]*Output[[#This Row],[Tx_interet_M]]</f>
        <v>29.887873831631705</v>
      </c>
      <c r="O1344" s="15">
        <f>Output[[#This Row],[Mensualité initial]]-Output[[#This Row],[Interet]]</f>
        <v>5970.1121261683684</v>
      </c>
      <c r="P1344" s="15">
        <f>Output[[#This Row],[Capital Debut Period]]-Output[[#This Row],[Paiement Principal]]</f>
        <v>5985.0374064843136</v>
      </c>
      <c r="Q1344" s="15">
        <f>Output[[#This Row],[Droit Utilisation]]/Output[[#This Row],[Duree_Mois]]</f>
        <v>5565.2357686805326</v>
      </c>
    </row>
    <row r="1345" spans="1:17" x14ac:dyDescent="0.25">
      <c r="A1345" s="11" t="s">
        <v>22</v>
      </c>
      <c r="B1345" s="12">
        <v>43831</v>
      </c>
      <c r="C1345">
        <v>6000</v>
      </c>
      <c r="D1345">
        <v>5</v>
      </c>
      <c r="E1345">
        <v>0.03</v>
      </c>
      <c r="F1345">
        <v>60</v>
      </c>
      <c r="G1345" s="13">
        <v>45657</v>
      </c>
      <c r="H1345">
        <v>1344</v>
      </c>
      <c r="I1345">
        <v>60</v>
      </c>
      <c r="J1345">
        <v>2.5000000000000001E-3</v>
      </c>
      <c r="K1345" s="14">
        <v>5165.2146346979371</v>
      </c>
      <c r="L1345" s="14">
        <v>333914.14612083195</v>
      </c>
      <c r="M1345" s="36">
        <f>IF(Output[[#This Row],[Index]]=1,Output[[#This Row],[Droit Utilisation]],P1344)</f>
        <v>5985.0374064843136</v>
      </c>
      <c r="N1345" s="15">
        <f>Output[[#This Row],[Capital Debut Period]]*Output[[#This Row],[Tx_interet_M]]</f>
        <v>14.962593516210784</v>
      </c>
      <c r="O1345" s="15">
        <f>Output[[#This Row],[Mensualité initial]]-Output[[#This Row],[Interet]]</f>
        <v>5985.0374064837888</v>
      </c>
      <c r="P1345" s="15">
        <f>Output[[#This Row],[Capital Debut Period]]-Output[[#This Row],[Paiement Principal]]</f>
        <v>5.2477844292297959E-10</v>
      </c>
      <c r="Q1345" s="15">
        <f>Output[[#This Row],[Droit Utilisation]]/Output[[#This Row],[Duree_Mois]]</f>
        <v>5565.2357686805326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AD2033"/>
  <sheetViews>
    <sheetView showGridLines="0" tabSelected="1" zoomScale="85" zoomScaleNormal="85" workbookViewId="0">
      <selection activeCell="Y28" sqref="Y28"/>
    </sheetView>
  </sheetViews>
  <sheetFormatPr baseColWidth="10" defaultRowHeight="15" outlineLevelCol="1" x14ac:dyDescent="0.25"/>
  <cols>
    <col min="1" max="1" width="3" customWidth="1"/>
    <col min="2" max="2" width="7.140625" customWidth="1"/>
    <col min="4" max="4" width="2.7109375" customWidth="1"/>
    <col min="5" max="5" width="16.85546875" bestFit="1" customWidth="1"/>
    <col min="6" max="6" width="2.42578125" customWidth="1"/>
    <col min="7" max="7" width="15.140625" customWidth="1"/>
    <col min="8" max="8" width="12.7109375" hidden="1" customWidth="1" outlineLevel="1"/>
    <col min="9" max="19" width="11.42578125" hidden="1" customWidth="1" outlineLevel="1"/>
    <col min="20" max="20" width="1.7109375" customWidth="1" collapsed="1"/>
    <col min="21" max="21" width="14.85546875" customWidth="1"/>
    <col min="24" max="24" width="5" customWidth="1"/>
    <col min="29" max="30" width="0" style="30" hidden="1" customWidth="1"/>
  </cols>
  <sheetData>
    <row r="1" spans="1:30" ht="26.25" x14ac:dyDescent="0.4">
      <c r="A1" s="26"/>
      <c r="B1" s="39" t="s">
        <v>44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1"/>
      <c r="AD1" s="34">
        <f>MIN(Flux!G:G)</f>
        <v>42582</v>
      </c>
    </row>
    <row r="2" spans="1:30" x14ac:dyDescent="0.25">
      <c r="AD2" s="34">
        <f>MAX(Flux!G:G)</f>
        <v>50586</v>
      </c>
    </row>
    <row r="3" spans="1:30" x14ac:dyDescent="0.25">
      <c r="E3" t="s">
        <v>39</v>
      </c>
      <c r="M3" s="17">
        <v>54</v>
      </c>
      <c r="AC3" s="30">
        <v>1</v>
      </c>
      <c r="AD3" s="31">
        <v>42582</v>
      </c>
    </row>
    <row r="4" spans="1:30" x14ac:dyDescent="0.25">
      <c r="AC4" s="30">
        <v>2</v>
      </c>
      <c r="AD4" s="32">
        <v>42613</v>
      </c>
    </row>
    <row r="5" spans="1:30" x14ac:dyDescent="0.25">
      <c r="AC5" s="30">
        <f>AC4+1</f>
        <v>3</v>
      </c>
      <c r="AD5" s="31">
        <v>42643</v>
      </c>
    </row>
    <row r="6" spans="1:30" x14ac:dyDescent="0.25">
      <c r="AC6" s="33">
        <f t="shared" ref="AC6:AC69" si="0">AC5+1</f>
        <v>4</v>
      </c>
      <c r="AD6" s="34">
        <f>AD1</f>
        <v>42582</v>
      </c>
    </row>
    <row r="7" spans="1:30" ht="15.75" thickBot="1" x14ac:dyDescent="0.3">
      <c r="E7" s="21">
        <f>VLOOKUP(M3,AC$3:AD$3122,2,0)</f>
        <v>44104</v>
      </c>
      <c r="G7" s="29" t="s">
        <v>45</v>
      </c>
      <c r="H7" s="13">
        <f>EOMONTH(E7,1)</f>
        <v>44135</v>
      </c>
      <c r="I7" s="13">
        <f>EOMONTH(H7,1)</f>
        <v>44165</v>
      </c>
      <c r="J7" s="13">
        <f t="shared" ref="J7:T7" si="1">EOMONTH(I7,1)</f>
        <v>44196</v>
      </c>
      <c r="K7" s="13">
        <f t="shared" si="1"/>
        <v>44227</v>
      </c>
      <c r="L7" s="13">
        <f t="shared" si="1"/>
        <v>44255</v>
      </c>
      <c r="M7" s="13">
        <f t="shared" si="1"/>
        <v>44286</v>
      </c>
      <c r="N7" s="13">
        <f t="shared" si="1"/>
        <v>44316</v>
      </c>
      <c r="O7" s="13">
        <f t="shared" si="1"/>
        <v>44347</v>
      </c>
      <c r="P7" s="13">
        <f t="shared" si="1"/>
        <v>44377</v>
      </c>
      <c r="Q7" s="13">
        <f t="shared" si="1"/>
        <v>44408</v>
      </c>
      <c r="R7" s="13">
        <f t="shared" si="1"/>
        <v>44439</v>
      </c>
      <c r="S7" s="13">
        <f t="shared" si="1"/>
        <v>44469</v>
      </c>
      <c r="T7" s="13">
        <f t="shared" si="1"/>
        <v>44500</v>
      </c>
      <c r="U7" s="29" t="s">
        <v>46</v>
      </c>
      <c r="AC7" s="33">
        <f t="shared" si="0"/>
        <v>5</v>
      </c>
      <c r="AD7" s="35">
        <f>IF(AD6&gt;AD$2,"",EOMONTH(AD6,1))</f>
        <v>42613</v>
      </c>
    </row>
    <row r="8" spans="1:30" ht="4.5" customHeight="1" thickBot="1" x14ac:dyDescent="0.3">
      <c r="C8" s="19"/>
      <c r="D8" s="19"/>
      <c r="E8" s="20"/>
      <c r="G8" s="27"/>
      <c r="I8" s="19"/>
      <c r="U8" s="27"/>
      <c r="AC8" s="33">
        <f t="shared" si="0"/>
        <v>6</v>
      </c>
      <c r="AD8" s="35">
        <f t="shared" ref="AD8:AD71" si="2">IF(AD7&gt;AD$2,"",EOMONTH(AD7,1))</f>
        <v>42643</v>
      </c>
    </row>
    <row r="9" spans="1:30" x14ac:dyDescent="0.25">
      <c r="A9" s="37"/>
      <c r="C9" s="24" t="s">
        <v>40</v>
      </c>
      <c r="D9" s="19"/>
      <c r="E9" s="22">
        <f>SUMIF(Flux!$G:$G,'Impact Comptable'!E$7,Flux!$N:$N)</f>
        <v>12268.751593819095</v>
      </c>
      <c r="G9" s="22">
        <f>SUM(H9:S9)</f>
        <v>131150.70516168262</v>
      </c>
      <c r="H9" s="28">
        <f>SUMIF(Flux!$G:$G,'Impact Comptable'!H$7,Flux!$N:$N)</f>
        <v>12064.73287214704</v>
      </c>
      <c r="I9" s="28">
        <f>SUMIF(Flux!$G:$G,'Impact Comptable'!I$7,Flux!$N:$N)</f>
        <v>11860.155826820552</v>
      </c>
      <c r="J9" s="28">
        <f>SUMIF(Flux!$G:$G,'Impact Comptable'!J$7,Flux!$N:$N)</f>
        <v>11655.018826588537</v>
      </c>
      <c r="K9" s="28">
        <f>SUMIF(Flux!$G:$G,'Impact Comptable'!K$7,Flux!$N:$N)</f>
        <v>11449.320234969337</v>
      </c>
      <c r="L9" s="28">
        <f>SUMIF(Flux!$G:$G,'Impact Comptable'!L$7,Flux!$N:$N)</f>
        <v>11243.058410231977</v>
      </c>
      <c r="M9" s="28">
        <f>SUMIF(Flux!$G:$G,'Impact Comptable'!M$7,Flux!$N:$N)</f>
        <v>11036.23170537737</v>
      </c>
      <c r="N9" s="28">
        <f>SUMIF(Flux!$G:$G,'Impact Comptable'!N$7,Flux!$N:$N)</f>
        <v>10828.838468119398</v>
      </c>
      <c r="O9" s="28">
        <f>SUMIF(Flux!$G:$G,'Impact Comptable'!O$7,Flux!$N:$N)</f>
        <v>10620.877040865995</v>
      </c>
      <c r="P9" s="28">
        <f>SUMIF(Flux!$G:$G,'Impact Comptable'!P$7,Flux!$N:$N)</f>
        <v>10412.345760700066</v>
      </c>
      <c r="Q9" s="28">
        <f>SUMIF(Flux!$G:$G,'Impact Comptable'!Q$7,Flux!$N:$N)</f>
        <v>10203.242959360419</v>
      </c>
      <c r="R9" s="28">
        <f>SUMIF(Flux!$G:$G,'Impact Comptable'!R$7,Flux!$N:$N)</f>
        <v>9993.5669632225508</v>
      </c>
      <c r="S9" s="28">
        <f>SUMIF(Flux!$G:$G,'Impact Comptable'!S$7,Flux!$N:$N)</f>
        <v>9783.3160932793689</v>
      </c>
      <c r="U9" s="22">
        <f>SUMIF(Flux!$G:$G,CONCATENATE("&gt;",S7),Flux!$N:$N)</f>
        <v>414974.04587486404</v>
      </c>
      <c r="AC9" s="33">
        <f t="shared" si="0"/>
        <v>7</v>
      </c>
      <c r="AD9" s="35">
        <f t="shared" si="2"/>
        <v>42674</v>
      </c>
    </row>
    <row r="10" spans="1:30" x14ac:dyDescent="0.25">
      <c r="A10" s="37"/>
      <c r="C10" s="24" t="s">
        <v>38</v>
      </c>
      <c r="D10" s="19"/>
      <c r="E10" s="22">
        <f>SUMIF(Output[[#All],[Periodes]],'Impact Comptable'!E$7,Output[[#All],[Paiement Principal]])</f>
        <v>77631.248406180879</v>
      </c>
      <c r="G10" s="22">
        <f t="shared" ref="G10:G12" si="3">SUM(H10:S10)</f>
        <v>947649.2948383172</v>
      </c>
      <c r="H10" s="28">
        <f>SUMIF(Flux!$G:$G,'Impact Comptable'!H$7,Flux!$O:$O)</f>
        <v>77835.267127852945</v>
      </c>
      <c r="I10" s="28">
        <f>SUMIF(Flux!$G:$G,'Impact Comptable'!I$7,Flux!$O:$O)</f>
        <v>78039.844173179445</v>
      </c>
      <c r="J10" s="28">
        <f>SUMIF(Flux!$G:$G,'Impact Comptable'!J$7,Flux!$O:$O)</f>
        <v>78244.981173411463</v>
      </c>
      <c r="K10" s="28">
        <f>SUMIF(Flux!$G:$G,'Impact Comptable'!K$7,Flux!$O:$O)</f>
        <v>78450.679765030669</v>
      </c>
      <c r="L10" s="28">
        <f>SUMIF(Flux!$G:$G,'Impact Comptable'!L$7,Flux!$O:$O)</f>
        <v>78656.941589768045</v>
      </c>
      <c r="M10" s="28">
        <f>SUMIF(Flux!$G:$G,'Impact Comptable'!M$7,Flux!$O:$O)</f>
        <v>78863.768294622641</v>
      </c>
      <c r="N10" s="28">
        <f>SUMIF(Flux!$G:$G,'Impact Comptable'!N$7,Flux!$O:$O)</f>
        <v>79071.1615318806</v>
      </c>
      <c r="O10" s="28">
        <f>SUMIF(Flux!$G:$G,'Impact Comptable'!O$7,Flux!$O:$O)</f>
        <v>79279.122959133994</v>
      </c>
      <c r="P10" s="28">
        <f>SUMIF(Flux!$G:$G,'Impact Comptable'!P$7,Flux!$O:$O)</f>
        <v>79487.65423929994</v>
      </c>
      <c r="Q10" s="28">
        <f>SUMIF(Flux!$G:$G,'Impact Comptable'!Q$7,Flux!$O:$O)</f>
        <v>79696.757040639568</v>
      </c>
      <c r="R10" s="28">
        <f>SUMIF(Flux!$G:$G,'Impact Comptable'!R$7,Flux!$O:$O)</f>
        <v>79906.433036777453</v>
      </c>
      <c r="S10" s="28">
        <f>SUMIF(Flux!$G:$G,'Impact Comptable'!S$7,Flux!$O:$O)</f>
        <v>80116.683906720631</v>
      </c>
      <c r="U10" s="22">
        <f>SUMIF(Flux!$G:$G,CONCATENATE("&gt;",S$7),Flux!$O:$O)</f>
        <v>3747725.9541251278</v>
      </c>
      <c r="AC10" s="33">
        <f t="shared" si="0"/>
        <v>8</v>
      </c>
      <c r="AD10" s="35">
        <f t="shared" si="2"/>
        <v>42704</v>
      </c>
    </row>
    <row r="11" spans="1:30" x14ac:dyDescent="0.25">
      <c r="A11" s="37"/>
      <c r="C11" s="24" t="s">
        <v>41</v>
      </c>
      <c r="D11" s="19"/>
      <c r="E11" s="22">
        <f>SUMIF(Output[[#All],[Periodes]],'Impact Comptable'!E$7,Output[[#All],[Mensualité initial]])</f>
        <v>89900</v>
      </c>
      <c r="G11" s="22">
        <f t="shared" si="3"/>
        <v>1078800</v>
      </c>
      <c r="H11" s="28">
        <f>SUMIF(Flux!$G:$G,'Impact Comptable'!H$7,Flux!$C:$C)</f>
        <v>89900</v>
      </c>
      <c r="I11" s="28">
        <f>SUMIF(Flux!$G:$G,'Impact Comptable'!I$7,Flux!$C:$C)</f>
        <v>89900</v>
      </c>
      <c r="J11" s="28">
        <f>SUMIF(Flux!$G:$G,'Impact Comptable'!J$7,Flux!$C:$C)</f>
        <v>89900</v>
      </c>
      <c r="K11" s="28">
        <f>SUMIF(Flux!$G:$G,'Impact Comptable'!K$7,Flux!$C:$C)</f>
        <v>89900</v>
      </c>
      <c r="L11" s="28">
        <f>SUMIF(Flux!$G:$G,'Impact Comptable'!L$7,Flux!$C:$C)</f>
        <v>89900</v>
      </c>
      <c r="M11" s="28">
        <f>SUMIF(Flux!$G:$G,'Impact Comptable'!M$7,Flux!$C:$C)</f>
        <v>89900</v>
      </c>
      <c r="N11" s="28">
        <f>SUMIF(Flux!$G:$G,'Impact Comptable'!N$7,Flux!$C:$C)</f>
        <v>89900</v>
      </c>
      <c r="O11" s="28">
        <f>SUMIF(Flux!$G:$G,'Impact Comptable'!O$7,Flux!$C:$C)</f>
        <v>89900</v>
      </c>
      <c r="P11" s="28">
        <f>SUMIF(Flux!$G:$G,'Impact Comptable'!P$7,Flux!$C:$C)</f>
        <v>89900</v>
      </c>
      <c r="Q11" s="28">
        <f>SUMIF(Flux!$G:$G,'Impact Comptable'!Q$7,Flux!$C:$C)</f>
        <v>89900</v>
      </c>
      <c r="R11" s="28">
        <f>SUMIF(Flux!$G:$G,'Impact Comptable'!R$7,Flux!$C:$C)</f>
        <v>89900</v>
      </c>
      <c r="S11" s="28">
        <f>SUMIF(Flux!$G:$G,'Impact Comptable'!S$7,Flux!$C:$C)</f>
        <v>89900</v>
      </c>
      <c r="U11" s="22">
        <f>SUMIF(Flux!$G:$G,CONCATENATE("&gt;",S$7),Flux!$C:$C)</f>
        <v>4162700</v>
      </c>
      <c r="AC11" s="33">
        <f t="shared" si="0"/>
        <v>9</v>
      </c>
      <c r="AD11" s="35">
        <f t="shared" si="2"/>
        <v>42735</v>
      </c>
    </row>
    <row r="12" spans="1:30" x14ac:dyDescent="0.25">
      <c r="A12" s="37"/>
      <c r="C12" s="24" t="s">
        <v>42</v>
      </c>
      <c r="D12" s="19"/>
      <c r="E12" s="22">
        <f>SUMIF(Output[[#All],[Periodes]],'Impact Comptable'!E$7,Output[[#All],[Dotation Amort]])</f>
        <v>82261.377344820328</v>
      </c>
      <c r="G12" s="22">
        <f t="shared" si="3"/>
        <v>987136.52813784371</v>
      </c>
      <c r="H12" s="28">
        <f>SUMIF(Flux!$G:$G,'Impact Comptable'!H$7,Flux!$Q:$Q)</f>
        <v>82261.377344820328</v>
      </c>
      <c r="I12" s="28">
        <f>SUMIF(Flux!$G:$G,'Impact Comptable'!I$7,Flux!$Q:$Q)</f>
        <v>82261.377344820328</v>
      </c>
      <c r="J12" s="28">
        <f>SUMIF(Flux!$G:$G,'Impact Comptable'!J$7,Flux!$Q:$Q)</f>
        <v>82261.377344820328</v>
      </c>
      <c r="K12" s="28">
        <f>SUMIF(Flux!$G:$G,'Impact Comptable'!K$7,Flux!$Q:$Q)</f>
        <v>82261.377344820328</v>
      </c>
      <c r="L12" s="28">
        <f>SUMIF(Flux!$G:$G,'Impact Comptable'!L$7,Flux!$Q:$Q)</f>
        <v>82261.377344820328</v>
      </c>
      <c r="M12" s="28">
        <f>SUMIF(Flux!$G:$G,'Impact Comptable'!M$7,Flux!$Q:$Q)</f>
        <v>82261.377344820328</v>
      </c>
      <c r="N12" s="28">
        <f>SUMIF(Flux!$G:$G,'Impact Comptable'!N$7,Flux!$Q:$Q)</f>
        <v>82261.377344820328</v>
      </c>
      <c r="O12" s="28">
        <f>SUMIF(Flux!$G:$G,'Impact Comptable'!O$7,Flux!$Q:$Q)</f>
        <v>82261.377344820328</v>
      </c>
      <c r="P12" s="28">
        <f>SUMIF(Flux!$G:$G,'Impact Comptable'!P$7,Flux!$Q:$Q)</f>
        <v>82261.377344820328</v>
      </c>
      <c r="Q12" s="28">
        <f>SUMIF(Flux!$G:$G,'Impact Comptable'!Q$7,Flux!$Q:$Q)</f>
        <v>82261.377344820328</v>
      </c>
      <c r="R12" s="28">
        <f>SUMIF(Flux!$G:$G,'Impact Comptable'!R$7,Flux!$Q:$Q)</f>
        <v>82261.377344820328</v>
      </c>
      <c r="S12" s="28">
        <f>SUMIF(Flux!$G:$G,'Impact Comptable'!S$7,Flux!$Q:$Q)</f>
        <v>82261.377344820328</v>
      </c>
      <c r="U12" s="22">
        <f>SUMIF(Flux!$G:$G,CONCATENATE("&gt;",S$7),Flux!$Q:$Q)</f>
        <v>3638382.0837042192</v>
      </c>
      <c r="AC12" s="33">
        <f t="shared" si="0"/>
        <v>10</v>
      </c>
      <c r="AD12" s="35">
        <f t="shared" si="2"/>
        <v>42766</v>
      </c>
    </row>
    <row r="13" spans="1:30" x14ac:dyDescent="0.25">
      <c r="C13" s="19"/>
      <c r="D13" s="19"/>
      <c r="E13" s="19"/>
      <c r="G13" s="19"/>
      <c r="H13" s="28"/>
      <c r="I13" s="19"/>
      <c r="U13" s="19"/>
      <c r="AC13" s="33">
        <f t="shared" si="0"/>
        <v>11</v>
      </c>
      <c r="AD13" s="35">
        <f t="shared" si="2"/>
        <v>42794</v>
      </c>
    </row>
    <row r="14" spans="1:30" x14ac:dyDescent="0.25">
      <c r="A14" s="38"/>
      <c r="C14" s="25" t="s">
        <v>43</v>
      </c>
      <c r="D14" s="19"/>
      <c r="E14" s="23">
        <f>E11-E9-E12</f>
        <v>-4630.1289386394201</v>
      </c>
      <c r="G14" s="23">
        <f>G11-G9-G12</f>
        <v>-39487.23329952627</v>
      </c>
      <c r="I14" s="19"/>
      <c r="U14" s="23">
        <f>U11-U9-U12</f>
        <v>109343.87042091694</v>
      </c>
      <c r="AC14" s="33">
        <f t="shared" si="0"/>
        <v>12</v>
      </c>
      <c r="AD14" s="35">
        <f t="shared" si="2"/>
        <v>42825</v>
      </c>
    </row>
    <row r="15" spans="1:30" x14ac:dyDescent="0.25">
      <c r="AC15" s="33">
        <f t="shared" si="0"/>
        <v>13</v>
      </c>
      <c r="AD15" s="35">
        <f t="shared" si="2"/>
        <v>42855</v>
      </c>
    </row>
    <row r="16" spans="1:30" ht="18" x14ac:dyDescent="0.25">
      <c r="X16" s="1"/>
      <c r="AC16" s="33">
        <f t="shared" si="0"/>
        <v>14</v>
      </c>
      <c r="AD16" s="35">
        <f t="shared" si="2"/>
        <v>42886</v>
      </c>
    </row>
    <row r="17" spans="8:30" x14ac:dyDescent="0.25">
      <c r="AC17" s="33">
        <f t="shared" si="0"/>
        <v>15</v>
      </c>
      <c r="AD17" s="35">
        <f t="shared" si="2"/>
        <v>42916</v>
      </c>
    </row>
    <row r="18" spans="8:30" x14ac:dyDescent="0.25">
      <c r="H18" s="18">
        <f>E9+E10-E11</f>
        <v>0</v>
      </c>
      <c r="AC18" s="33">
        <f t="shared" si="0"/>
        <v>16</v>
      </c>
      <c r="AD18" s="35">
        <f t="shared" si="2"/>
        <v>42947</v>
      </c>
    </row>
    <row r="19" spans="8:30" x14ac:dyDescent="0.25">
      <c r="AC19" s="33">
        <f t="shared" si="0"/>
        <v>17</v>
      </c>
      <c r="AD19" s="35">
        <f t="shared" si="2"/>
        <v>42978</v>
      </c>
    </row>
    <row r="20" spans="8:30" x14ac:dyDescent="0.25">
      <c r="AC20" s="33">
        <f t="shared" si="0"/>
        <v>18</v>
      </c>
      <c r="AD20" s="35">
        <f t="shared" si="2"/>
        <v>43008</v>
      </c>
    </row>
    <row r="21" spans="8:30" x14ac:dyDescent="0.25">
      <c r="AC21" s="33">
        <f t="shared" si="0"/>
        <v>19</v>
      </c>
      <c r="AD21" s="35">
        <f t="shared" si="2"/>
        <v>43039</v>
      </c>
    </row>
    <row r="22" spans="8:30" x14ac:dyDescent="0.25">
      <c r="AC22" s="33">
        <f t="shared" si="0"/>
        <v>20</v>
      </c>
      <c r="AD22" s="35">
        <f t="shared" si="2"/>
        <v>43069</v>
      </c>
    </row>
    <row r="23" spans="8:30" x14ac:dyDescent="0.25">
      <c r="AC23" s="33">
        <f t="shared" si="0"/>
        <v>21</v>
      </c>
      <c r="AD23" s="35">
        <f t="shared" si="2"/>
        <v>43100</v>
      </c>
    </row>
    <row r="24" spans="8:30" x14ac:dyDescent="0.25">
      <c r="AC24" s="33">
        <f t="shared" si="0"/>
        <v>22</v>
      </c>
      <c r="AD24" s="35">
        <f t="shared" si="2"/>
        <v>43131</v>
      </c>
    </row>
    <row r="25" spans="8:30" x14ac:dyDescent="0.25">
      <c r="AC25" s="33">
        <f t="shared" si="0"/>
        <v>23</v>
      </c>
      <c r="AD25" s="35">
        <f t="shared" si="2"/>
        <v>43159</v>
      </c>
    </row>
    <row r="26" spans="8:30" x14ac:dyDescent="0.25">
      <c r="AC26" s="33">
        <f t="shared" si="0"/>
        <v>24</v>
      </c>
      <c r="AD26" s="35">
        <f t="shared" si="2"/>
        <v>43190</v>
      </c>
    </row>
    <row r="27" spans="8:30" x14ac:dyDescent="0.25">
      <c r="AC27" s="33">
        <f t="shared" si="0"/>
        <v>25</v>
      </c>
      <c r="AD27" s="35">
        <f t="shared" si="2"/>
        <v>43220</v>
      </c>
    </row>
    <row r="28" spans="8:30" x14ac:dyDescent="0.25">
      <c r="AC28" s="33">
        <f t="shared" si="0"/>
        <v>26</v>
      </c>
      <c r="AD28" s="35">
        <f t="shared" si="2"/>
        <v>43251</v>
      </c>
    </row>
    <row r="29" spans="8:30" x14ac:dyDescent="0.25">
      <c r="AC29" s="33">
        <f t="shared" si="0"/>
        <v>27</v>
      </c>
      <c r="AD29" s="35">
        <f t="shared" si="2"/>
        <v>43281</v>
      </c>
    </row>
    <row r="30" spans="8:30" x14ac:dyDescent="0.25">
      <c r="AC30" s="33">
        <f t="shared" si="0"/>
        <v>28</v>
      </c>
      <c r="AD30" s="35">
        <f t="shared" si="2"/>
        <v>43312</v>
      </c>
    </row>
    <row r="31" spans="8:30" x14ac:dyDescent="0.25">
      <c r="AC31" s="33">
        <f t="shared" si="0"/>
        <v>29</v>
      </c>
      <c r="AD31" s="35">
        <f t="shared" si="2"/>
        <v>43343</v>
      </c>
    </row>
    <row r="32" spans="8:30" x14ac:dyDescent="0.25">
      <c r="AC32" s="33">
        <f t="shared" si="0"/>
        <v>30</v>
      </c>
      <c r="AD32" s="35">
        <f t="shared" si="2"/>
        <v>43373</v>
      </c>
    </row>
    <row r="33" spans="29:30" x14ac:dyDescent="0.25">
      <c r="AC33" s="33">
        <f t="shared" si="0"/>
        <v>31</v>
      </c>
      <c r="AD33" s="35">
        <f t="shared" si="2"/>
        <v>43404</v>
      </c>
    </row>
    <row r="34" spans="29:30" x14ac:dyDescent="0.25">
      <c r="AC34" s="33">
        <f t="shared" si="0"/>
        <v>32</v>
      </c>
      <c r="AD34" s="35">
        <f t="shared" si="2"/>
        <v>43434</v>
      </c>
    </row>
    <row r="35" spans="29:30" x14ac:dyDescent="0.25">
      <c r="AC35" s="33">
        <f t="shared" si="0"/>
        <v>33</v>
      </c>
      <c r="AD35" s="35">
        <f t="shared" si="2"/>
        <v>43465</v>
      </c>
    </row>
    <row r="36" spans="29:30" x14ac:dyDescent="0.25">
      <c r="AC36" s="33">
        <f>AC35+1</f>
        <v>34</v>
      </c>
      <c r="AD36" s="35">
        <f>IF(AD35&gt;AD$2,"",EOMONTH(AD35,1))</f>
        <v>43496</v>
      </c>
    </row>
    <row r="37" spans="29:30" x14ac:dyDescent="0.25">
      <c r="AC37" s="33">
        <f t="shared" si="0"/>
        <v>35</v>
      </c>
      <c r="AD37" s="35">
        <f t="shared" si="2"/>
        <v>43524</v>
      </c>
    </row>
    <row r="38" spans="29:30" x14ac:dyDescent="0.25">
      <c r="AC38" s="33">
        <f t="shared" si="0"/>
        <v>36</v>
      </c>
      <c r="AD38" s="35">
        <f t="shared" si="2"/>
        <v>43555</v>
      </c>
    </row>
    <row r="39" spans="29:30" x14ac:dyDescent="0.25">
      <c r="AC39" s="33">
        <f t="shared" si="0"/>
        <v>37</v>
      </c>
      <c r="AD39" s="35">
        <f t="shared" si="2"/>
        <v>43585</v>
      </c>
    </row>
    <row r="40" spans="29:30" x14ac:dyDescent="0.25">
      <c r="AC40" s="33">
        <f t="shared" si="0"/>
        <v>38</v>
      </c>
      <c r="AD40" s="35">
        <f t="shared" si="2"/>
        <v>43616</v>
      </c>
    </row>
    <row r="41" spans="29:30" x14ac:dyDescent="0.25">
      <c r="AC41" s="33">
        <f t="shared" si="0"/>
        <v>39</v>
      </c>
      <c r="AD41" s="35">
        <f t="shared" si="2"/>
        <v>43646</v>
      </c>
    </row>
    <row r="42" spans="29:30" x14ac:dyDescent="0.25">
      <c r="AC42" s="33">
        <f t="shared" si="0"/>
        <v>40</v>
      </c>
      <c r="AD42" s="35">
        <f t="shared" si="2"/>
        <v>43677</v>
      </c>
    </row>
    <row r="43" spans="29:30" x14ac:dyDescent="0.25">
      <c r="AC43" s="33">
        <f t="shared" si="0"/>
        <v>41</v>
      </c>
      <c r="AD43" s="35">
        <f t="shared" si="2"/>
        <v>43708</v>
      </c>
    </row>
    <row r="44" spans="29:30" x14ac:dyDescent="0.25">
      <c r="AC44" s="33">
        <f t="shared" si="0"/>
        <v>42</v>
      </c>
      <c r="AD44" s="35">
        <f t="shared" si="2"/>
        <v>43738</v>
      </c>
    </row>
    <row r="45" spans="29:30" x14ac:dyDescent="0.25">
      <c r="AC45" s="33">
        <f t="shared" si="0"/>
        <v>43</v>
      </c>
      <c r="AD45" s="35">
        <f t="shared" si="2"/>
        <v>43769</v>
      </c>
    </row>
    <row r="46" spans="29:30" x14ac:dyDescent="0.25">
      <c r="AC46" s="33">
        <f t="shared" si="0"/>
        <v>44</v>
      </c>
      <c r="AD46" s="35">
        <f t="shared" si="2"/>
        <v>43799</v>
      </c>
    </row>
    <row r="47" spans="29:30" x14ac:dyDescent="0.25">
      <c r="AC47" s="33">
        <f t="shared" si="0"/>
        <v>45</v>
      </c>
      <c r="AD47" s="35">
        <f t="shared" si="2"/>
        <v>43830</v>
      </c>
    </row>
    <row r="48" spans="29:30" x14ac:dyDescent="0.25">
      <c r="AC48" s="33">
        <f t="shared" si="0"/>
        <v>46</v>
      </c>
      <c r="AD48" s="35">
        <f t="shared" si="2"/>
        <v>43861</v>
      </c>
    </row>
    <row r="49" spans="29:30" x14ac:dyDescent="0.25">
      <c r="AC49" s="33">
        <f t="shared" si="0"/>
        <v>47</v>
      </c>
      <c r="AD49" s="35">
        <f t="shared" si="2"/>
        <v>43890</v>
      </c>
    </row>
    <row r="50" spans="29:30" x14ac:dyDescent="0.25">
      <c r="AC50" s="33">
        <f t="shared" si="0"/>
        <v>48</v>
      </c>
      <c r="AD50" s="35">
        <f t="shared" si="2"/>
        <v>43921</v>
      </c>
    </row>
    <row r="51" spans="29:30" x14ac:dyDescent="0.25">
      <c r="AC51" s="33">
        <f t="shared" si="0"/>
        <v>49</v>
      </c>
      <c r="AD51" s="35">
        <f t="shared" si="2"/>
        <v>43951</v>
      </c>
    </row>
    <row r="52" spans="29:30" x14ac:dyDescent="0.25">
      <c r="AC52" s="33">
        <f t="shared" si="0"/>
        <v>50</v>
      </c>
      <c r="AD52" s="35">
        <f t="shared" si="2"/>
        <v>43982</v>
      </c>
    </row>
    <row r="53" spans="29:30" x14ac:dyDescent="0.25">
      <c r="AC53" s="33">
        <f t="shared" si="0"/>
        <v>51</v>
      </c>
      <c r="AD53" s="35">
        <f t="shared" si="2"/>
        <v>44012</v>
      </c>
    </row>
    <row r="54" spans="29:30" x14ac:dyDescent="0.25">
      <c r="AC54" s="33">
        <f t="shared" si="0"/>
        <v>52</v>
      </c>
      <c r="AD54" s="35">
        <f t="shared" si="2"/>
        <v>44043</v>
      </c>
    </row>
    <row r="55" spans="29:30" x14ac:dyDescent="0.25">
      <c r="AC55" s="33">
        <f t="shared" si="0"/>
        <v>53</v>
      </c>
      <c r="AD55" s="35">
        <f t="shared" si="2"/>
        <v>44074</v>
      </c>
    </row>
    <row r="56" spans="29:30" x14ac:dyDescent="0.25">
      <c r="AC56" s="33">
        <f t="shared" si="0"/>
        <v>54</v>
      </c>
      <c r="AD56" s="35">
        <f t="shared" si="2"/>
        <v>44104</v>
      </c>
    </row>
    <row r="57" spans="29:30" x14ac:dyDescent="0.25">
      <c r="AC57" s="33">
        <f t="shared" si="0"/>
        <v>55</v>
      </c>
      <c r="AD57" s="35">
        <f t="shared" si="2"/>
        <v>44135</v>
      </c>
    </row>
    <row r="58" spans="29:30" x14ac:dyDescent="0.25">
      <c r="AC58" s="33">
        <f t="shared" si="0"/>
        <v>56</v>
      </c>
      <c r="AD58" s="35">
        <f t="shared" si="2"/>
        <v>44165</v>
      </c>
    </row>
    <row r="59" spans="29:30" x14ac:dyDescent="0.25">
      <c r="AC59" s="33">
        <f t="shared" si="0"/>
        <v>57</v>
      </c>
      <c r="AD59" s="35">
        <f t="shared" si="2"/>
        <v>44196</v>
      </c>
    </row>
    <row r="60" spans="29:30" x14ac:dyDescent="0.25">
      <c r="AC60" s="33">
        <f t="shared" si="0"/>
        <v>58</v>
      </c>
      <c r="AD60" s="35">
        <f t="shared" si="2"/>
        <v>44227</v>
      </c>
    </row>
    <row r="61" spans="29:30" x14ac:dyDescent="0.25">
      <c r="AC61" s="33">
        <f t="shared" si="0"/>
        <v>59</v>
      </c>
      <c r="AD61" s="35">
        <f t="shared" si="2"/>
        <v>44255</v>
      </c>
    </row>
    <row r="62" spans="29:30" x14ac:dyDescent="0.25">
      <c r="AC62" s="33">
        <f t="shared" si="0"/>
        <v>60</v>
      </c>
      <c r="AD62" s="35">
        <f t="shared" si="2"/>
        <v>44286</v>
      </c>
    </row>
    <row r="63" spans="29:30" x14ac:dyDescent="0.25">
      <c r="AC63" s="33">
        <f t="shared" si="0"/>
        <v>61</v>
      </c>
      <c r="AD63" s="35">
        <f t="shared" si="2"/>
        <v>44316</v>
      </c>
    </row>
    <row r="64" spans="29:30" x14ac:dyDescent="0.25">
      <c r="AC64" s="33">
        <f t="shared" si="0"/>
        <v>62</v>
      </c>
      <c r="AD64" s="35">
        <f t="shared" si="2"/>
        <v>44347</v>
      </c>
    </row>
    <row r="65" spans="29:30" x14ac:dyDescent="0.25">
      <c r="AC65" s="33">
        <f t="shared" si="0"/>
        <v>63</v>
      </c>
      <c r="AD65" s="35">
        <f t="shared" si="2"/>
        <v>44377</v>
      </c>
    </row>
    <row r="66" spans="29:30" x14ac:dyDescent="0.25">
      <c r="AC66" s="33">
        <f t="shared" si="0"/>
        <v>64</v>
      </c>
      <c r="AD66" s="35">
        <f t="shared" si="2"/>
        <v>44408</v>
      </c>
    </row>
    <row r="67" spans="29:30" x14ac:dyDescent="0.25">
      <c r="AC67" s="33">
        <f t="shared" si="0"/>
        <v>65</v>
      </c>
      <c r="AD67" s="35">
        <f t="shared" si="2"/>
        <v>44439</v>
      </c>
    </row>
    <row r="68" spans="29:30" x14ac:dyDescent="0.25">
      <c r="AC68" s="33">
        <f t="shared" si="0"/>
        <v>66</v>
      </c>
      <c r="AD68" s="35">
        <f t="shared" si="2"/>
        <v>44469</v>
      </c>
    </row>
    <row r="69" spans="29:30" x14ac:dyDescent="0.25">
      <c r="AC69" s="33">
        <f t="shared" si="0"/>
        <v>67</v>
      </c>
      <c r="AD69" s="35">
        <f t="shared" si="2"/>
        <v>44500</v>
      </c>
    </row>
    <row r="70" spans="29:30" x14ac:dyDescent="0.25">
      <c r="AC70" s="33">
        <f t="shared" ref="AC70:AC122" si="4">AC69+1</f>
        <v>68</v>
      </c>
      <c r="AD70" s="35">
        <f t="shared" si="2"/>
        <v>44530</v>
      </c>
    </row>
    <row r="71" spans="29:30" x14ac:dyDescent="0.25">
      <c r="AC71" s="33">
        <f t="shared" si="4"/>
        <v>69</v>
      </c>
      <c r="AD71" s="35">
        <f t="shared" si="2"/>
        <v>44561</v>
      </c>
    </row>
    <row r="72" spans="29:30" x14ac:dyDescent="0.25">
      <c r="AC72" s="33">
        <f t="shared" si="4"/>
        <v>70</v>
      </c>
      <c r="AD72" s="35">
        <f t="shared" ref="AD72:AD135" si="5">IF(AD71&gt;AD$2,"",EOMONTH(AD71,1))</f>
        <v>44592</v>
      </c>
    </row>
    <row r="73" spans="29:30" x14ac:dyDescent="0.25">
      <c r="AC73" s="33">
        <f t="shared" si="4"/>
        <v>71</v>
      </c>
      <c r="AD73" s="35">
        <f t="shared" si="5"/>
        <v>44620</v>
      </c>
    </row>
    <row r="74" spans="29:30" x14ac:dyDescent="0.25">
      <c r="AC74" s="33">
        <f t="shared" si="4"/>
        <v>72</v>
      </c>
      <c r="AD74" s="35">
        <f t="shared" si="5"/>
        <v>44651</v>
      </c>
    </row>
    <row r="75" spans="29:30" x14ac:dyDescent="0.25">
      <c r="AC75" s="33">
        <f t="shared" si="4"/>
        <v>73</v>
      </c>
      <c r="AD75" s="35">
        <f t="shared" si="5"/>
        <v>44681</v>
      </c>
    </row>
    <row r="76" spans="29:30" x14ac:dyDescent="0.25">
      <c r="AC76" s="33">
        <f t="shared" si="4"/>
        <v>74</v>
      </c>
      <c r="AD76" s="35">
        <f t="shared" si="5"/>
        <v>44712</v>
      </c>
    </row>
    <row r="77" spans="29:30" x14ac:dyDescent="0.25">
      <c r="AC77" s="33">
        <f t="shared" si="4"/>
        <v>75</v>
      </c>
      <c r="AD77" s="35">
        <f t="shared" si="5"/>
        <v>44742</v>
      </c>
    </row>
    <row r="78" spans="29:30" x14ac:dyDescent="0.25">
      <c r="AC78" s="33">
        <f t="shared" si="4"/>
        <v>76</v>
      </c>
      <c r="AD78" s="35">
        <f t="shared" si="5"/>
        <v>44773</v>
      </c>
    </row>
    <row r="79" spans="29:30" x14ac:dyDescent="0.25">
      <c r="AC79" s="33">
        <f t="shared" si="4"/>
        <v>77</v>
      </c>
      <c r="AD79" s="35">
        <f t="shared" si="5"/>
        <v>44804</v>
      </c>
    </row>
    <row r="80" spans="29:30" x14ac:dyDescent="0.25">
      <c r="AC80" s="33">
        <f t="shared" si="4"/>
        <v>78</v>
      </c>
      <c r="AD80" s="35">
        <f t="shared" si="5"/>
        <v>44834</v>
      </c>
    </row>
    <row r="81" spans="29:30" x14ac:dyDescent="0.25">
      <c r="AC81" s="33">
        <f t="shared" si="4"/>
        <v>79</v>
      </c>
      <c r="AD81" s="35">
        <f t="shared" si="5"/>
        <v>44865</v>
      </c>
    </row>
    <row r="82" spans="29:30" x14ac:dyDescent="0.25">
      <c r="AC82" s="33">
        <f t="shared" si="4"/>
        <v>80</v>
      </c>
      <c r="AD82" s="35">
        <f t="shared" si="5"/>
        <v>44895</v>
      </c>
    </row>
    <row r="83" spans="29:30" x14ac:dyDescent="0.25">
      <c r="AC83" s="33">
        <f t="shared" si="4"/>
        <v>81</v>
      </c>
      <c r="AD83" s="35">
        <f t="shared" si="5"/>
        <v>44926</v>
      </c>
    </row>
    <row r="84" spans="29:30" x14ac:dyDescent="0.25">
      <c r="AC84" s="33">
        <f t="shared" si="4"/>
        <v>82</v>
      </c>
      <c r="AD84" s="35">
        <f t="shared" si="5"/>
        <v>44957</v>
      </c>
    </row>
    <row r="85" spans="29:30" x14ac:dyDescent="0.25">
      <c r="AC85" s="33">
        <f t="shared" si="4"/>
        <v>83</v>
      </c>
      <c r="AD85" s="35">
        <f t="shared" si="5"/>
        <v>44985</v>
      </c>
    </row>
    <row r="86" spans="29:30" x14ac:dyDescent="0.25">
      <c r="AC86" s="33">
        <f t="shared" si="4"/>
        <v>84</v>
      </c>
      <c r="AD86" s="35">
        <f t="shared" si="5"/>
        <v>45016</v>
      </c>
    </row>
    <row r="87" spans="29:30" x14ac:dyDescent="0.25">
      <c r="AC87" s="33">
        <f t="shared" si="4"/>
        <v>85</v>
      </c>
      <c r="AD87" s="35">
        <f t="shared" si="5"/>
        <v>45046</v>
      </c>
    </row>
    <row r="88" spans="29:30" x14ac:dyDescent="0.25">
      <c r="AC88" s="33">
        <f t="shared" si="4"/>
        <v>86</v>
      </c>
      <c r="AD88" s="35">
        <f t="shared" si="5"/>
        <v>45077</v>
      </c>
    </row>
    <row r="89" spans="29:30" x14ac:dyDescent="0.25">
      <c r="AC89" s="33">
        <f t="shared" si="4"/>
        <v>87</v>
      </c>
      <c r="AD89" s="35">
        <f t="shared" si="5"/>
        <v>45107</v>
      </c>
    </row>
    <row r="90" spans="29:30" x14ac:dyDescent="0.25">
      <c r="AC90" s="33">
        <f t="shared" si="4"/>
        <v>88</v>
      </c>
      <c r="AD90" s="35">
        <f t="shared" si="5"/>
        <v>45138</v>
      </c>
    </row>
    <row r="91" spans="29:30" x14ac:dyDescent="0.25">
      <c r="AC91" s="33">
        <f t="shared" si="4"/>
        <v>89</v>
      </c>
      <c r="AD91" s="35">
        <f t="shared" si="5"/>
        <v>45169</v>
      </c>
    </row>
    <row r="92" spans="29:30" x14ac:dyDescent="0.25">
      <c r="AC92" s="33">
        <f t="shared" si="4"/>
        <v>90</v>
      </c>
      <c r="AD92" s="35">
        <f t="shared" si="5"/>
        <v>45199</v>
      </c>
    </row>
    <row r="93" spans="29:30" x14ac:dyDescent="0.25">
      <c r="AC93" s="33">
        <f t="shared" si="4"/>
        <v>91</v>
      </c>
      <c r="AD93" s="35">
        <f t="shared" si="5"/>
        <v>45230</v>
      </c>
    </row>
    <row r="94" spans="29:30" x14ac:dyDescent="0.25">
      <c r="AC94" s="33">
        <f t="shared" si="4"/>
        <v>92</v>
      </c>
      <c r="AD94" s="35">
        <f t="shared" si="5"/>
        <v>45260</v>
      </c>
    </row>
    <row r="95" spans="29:30" x14ac:dyDescent="0.25">
      <c r="AC95" s="33">
        <f t="shared" si="4"/>
        <v>93</v>
      </c>
      <c r="AD95" s="35">
        <f t="shared" si="5"/>
        <v>45291</v>
      </c>
    </row>
    <row r="96" spans="29:30" x14ac:dyDescent="0.25">
      <c r="AC96" s="33">
        <f t="shared" si="4"/>
        <v>94</v>
      </c>
      <c r="AD96" s="35">
        <f t="shared" si="5"/>
        <v>45322</v>
      </c>
    </row>
    <row r="97" spans="29:30" x14ac:dyDescent="0.25">
      <c r="AC97" s="33">
        <f t="shared" si="4"/>
        <v>95</v>
      </c>
      <c r="AD97" s="35">
        <f t="shared" si="5"/>
        <v>45351</v>
      </c>
    </row>
    <row r="98" spans="29:30" x14ac:dyDescent="0.25">
      <c r="AC98" s="33">
        <f t="shared" si="4"/>
        <v>96</v>
      </c>
      <c r="AD98" s="35">
        <f t="shared" si="5"/>
        <v>45382</v>
      </c>
    </row>
    <row r="99" spans="29:30" x14ac:dyDescent="0.25">
      <c r="AC99" s="33">
        <f t="shared" si="4"/>
        <v>97</v>
      </c>
      <c r="AD99" s="35">
        <f t="shared" si="5"/>
        <v>45412</v>
      </c>
    </row>
    <row r="100" spans="29:30" x14ac:dyDescent="0.25">
      <c r="AC100" s="33">
        <f t="shared" si="4"/>
        <v>98</v>
      </c>
      <c r="AD100" s="35">
        <f t="shared" si="5"/>
        <v>45443</v>
      </c>
    </row>
    <row r="101" spans="29:30" x14ac:dyDescent="0.25">
      <c r="AC101" s="33">
        <f t="shared" si="4"/>
        <v>99</v>
      </c>
      <c r="AD101" s="35">
        <f t="shared" si="5"/>
        <v>45473</v>
      </c>
    </row>
    <row r="102" spans="29:30" x14ac:dyDescent="0.25">
      <c r="AC102" s="33">
        <f t="shared" si="4"/>
        <v>100</v>
      </c>
      <c r="AD102" s="35">
        <f t="shared" si="5"/>
        <v>45504</v>
      </c>
    </row>
    <row r="103" spans="29:30" x14ac:dyDescent="0.25">
      <c r="AC103" s="33">
        <f t="shared" si="4"/>
        <v>101</v>
      </c>
      <c r="AD103" s="35">
        <f t="shared" si="5"/>
        <v>45535</v>
      </c>
    </row>
    <row r="104" spans="29:30" x14ac:dyDescent="0.25">
      <c r="AC104" s="33">
        <f t="shared" si="4"/>
        <v>102</v>
      </c>
      <c r="AD104" s="35">
        <f t="shared" si="5"/>
        <v>45565</v>
      </c>
    </row>
    <row r="105" spans="29:30" x14ac:dyDescent="0.25">
      <c r="AC105" s="33">
        <f t="shared" si="4"/>
        <v>103</v>
      </c>
      <c r="AD105" s="35">
        <f t="shared" si="5"/>
        <v>45596</v>
      </c>
    </row>
    <row r="106" spans="29:30" x14ac:dyDescent="0.25">
      <c r="AC106" s="33">
        <f t="shared" si="4"/>
        <v>104</v>
      </c>
      <c r="AD106" s="35">
        <f t="shared" si="5"/>
        <v>45626</v>
      </c>
    </row>
    <row r="107" spans="29:30" x14ac:dyDescent="0.25">
      <c r="AC107" s="33">
        <f t="shared" si="4"/>
        <v>105</v>
      </c>
      <c r="AD107" s="35">
        <f t="shared" si="5"/>
        <v>45657</v>
      </c>
    </row>
    <row r="108" spans="29:30" x14ac:dyDescent="0.25">
      <c r="AC108" s="33">
        <f t="shared" si="4"/>
        <v>106</v>
      </c>
      <c r="AD108" s="35">
        <f t="shared" si="5"/>
        <v>45688</v>
      </c>
    </row>
    <row r="109" spans="29:30" x14ac:dyDescent="0.25">
      <c r="AC109" s="33">
        <f t="shared" si="4"/>
        <v>107</v>
      </c>
      <c r="AD109" s="35">
        <f t="shared" si="5"/>
        <v>45716</v>
      </c>
    </row>
    <row r="110" spans="29:30" x14ac:dyDescent="0.25">
      <c r="AC110" s="33">
        <f t="shared" si="4"/>
        <v>108</v>
      </c>
      <c r="AD110" s="35">
        <f t="shared" si="5"/>
        <v>45747</v>
      </c>
    </row>
    <row r="111" spans="29:30" x14ac:dyDescent="0.25">
      <c r="AC111" s="33">
        <f t="shared" si="4"/>
        <v>109</v>
      </c>
      <c r="AD111" s="35">
        <f t="shared" si="5"/>
        <v>45777</v>
      </c>
    </row>
    <row r="112" spans="29:30" x14ac:dyDescent="0.25">
      <c r="AC112" s="33">
        <f t="shared" si="4"/>
        <v>110</v>
      </c>
      <c r="AD112" s="35">
        <f t="shared" si="5"/>
        <v>45808</v>
      </c>
    </row>
    <row r="113" spans="29:30" x14ac:dyDescent="0.25">
      <c r="AC113" s="33">
        <f t="shared" si="4"/>
        <v>111</v>
      </c>
      <c r="AD113" s="35">
        <f t="shared" si="5"/>
        <v>45838</v>
      </c>
    </row>
    <row r="114" spans="29:30" x14ac:dyDescent="0.25">
      <c r="AC114" s="33">
        <f t="shared" si="4"/>
        <v>112</v>
      </c>
      <c r="AD114" s="35">
        <f t="shared" si="5"/>
        <v>45869</v>
      </c>
    </row>
    <row r="115" spans="29:30" x14ac:dyDescent="0.25">
      <c r="AC115" s="33">
        <f t="shared" si="4"/>
        <v>113</v>
      </c>
      <c r="AD115" s="35">
        <f t="shared" si="5"/>
        <v>45900</v>
      </c>
    </row>
    <row r="116" spans="29:30" x14ac:dyDescent="0.25">
      <c r="AC116" s="33">
        <f t="shared" si="4"/>
        <v>114</v>
      </c>
      <c r="AD116" s="35">
        <f t="shared" si="5"/>
        <v>45930</v>
      </c>
    </row>
    <row r="117" spans="29:30" x14ac:dyDescent="0.25">
      <c r="AC117" s="33">
        <f t="shared" si="4"/>
        <v>115</v>
      </c>
      <c r="AD117" s="35">
        <f t="shared" si="5"/>
        <v>45961</v>
      </c>
    </row>
    <row r="118" spans="29:30" x14ac:dyDescent="0.25">
      <c r="AC118" s="33">
        <f t="shared" si="4"/>
        <v>116</v>
      </c>
      <c r="AD118" s="35">
        <f t="shared" si="5"/>
        <v>45991</v>
      </c>
    </row>
    <row r="119" spans="29:30" x14ac:dyDescent="0.25">
      <c r="AC119" s="33">
        <f t="shared" si="4"/>
        <v>117</v>
      </c>
      <c r="AD119" s="35">
        <f t="shared" si="5"/>
        <v>46022</v>
      </c>
    </row>
    <row r="120" spans="29:30" x14ac:dyDescent="0.25">
      <c r="AC120" s="33">
        <f t="shared" si="4"/>
        <v>118</v>
      </c>
      <c r="AD120" s="35">
        <f t="shared" si="5"/>
        <v>46053</v>
      </c>
    </row>
    <row r="121" spans="29:30" x14ac:dyDescent="0.25">
      <c r="AC121" s="33">
        <f t="shared" si="4"/>
        <v>119</v>
      </c>
      <c r="AD121" s="35">
        <f t="shared" si="5"/>
        <v>46081</v>
      </c>
    </row>
    <row r="122" spans="29:30" x14ac:dyDescent="0.25">
      <c r="AC122" s="33">
        <f t="shared" si="4"/>
        <v>120</v>
      </c>
      <c r="AD122" s="35">
        <f t="shared" si="5"/>
        <v>46112</v>
      </c>
    </row>
    <row r="123" spans="29:30" x14ac:dyDescent="0.25">
      <c r="AC123" s="33">
        <f t="shared" ref="AC123:AC186" si="6">AC122+1</f>
        <v>121</v>
      </c>
      <c r="AD123" s="35">
        <f t="shared" si="5"/>
        <v>46142</v>
      </c>
    </row>
    <row r="124" spans="29:30" x14ac:dyDescent="0.25">
      <c r="AC124" s="33">
        <f t="shared" si="6"/>
        <v>122</v>
      </c>
      <c r="AD124" s="35">
        <f t="shared" si="5"/>
        <v>46173</v>
      </c>
    </row>
    <row r="125" spans="29:30" x14ac:dyDescent="0.25">
      <c r="AC125" s="33">
        <f t="shared" si="6"/>
        <v>123</v>
      </c>
      <c r="AD125" s="35">
        <f t="shared" si="5"/>
        <v>46203</v>
      </c>
    </row>
    <row r="126" spans="29:30" x14ac:dyDescent="0.25">
      <c r="AC126" s="33">
        <f t="shared" si="6"/>
        <v>124</v>
      </c>
      <c r="AD126" s="35">
        <f t="shared" si="5"/>
        <v>46234</v>
      </c>
    </row>
    <row r="127" spans="29:30" x14ac:dyDescent="0.25">
      <c r="AC127" s="33">
        <f t="shared" si="6"/>
        <v>125</v>
      </c>
      <c r="AD127" s="35">
        <f t="shared" si="5"/>
        <v>46265</v>
      </c>
    </row>
    <row r="128" spans="29:30" x14ac:dyDescent="0.25">
      <c r="AC128" s="33">
        <f t="shared" si="6"/>
        <v>126</v>
      </c>
      <c r="AD128" s="35">
        <f t="shared" si="5"/>
        <v>46295</v>
      </c>
    </row>
    <row r="129" spans="29:30" x14ac:dyDescent="0.25">
      <c r="AC129" s="33">
        <f t="shared" si="6"/>
        <v>127</v>
      </c>
      <c r="AD129" s="35">
        <f t="shared" si="5"/>
        <v>46326</v>
      </c>
    </row>
    <row r="130" spans="29:30" x14ac:dyDescent="0.25">
      <c r="AC130" s="33">
        <f t="shared" si="6"/>
        <v>128</v>
      </c>
      <c r="AD130" s="35">
        <f t="shared" si="5"/>
        <v>46356</v>
      </c>
    </row>
    <row r="131" spans="29:30" x14ac:dyDescent="0.25">
      <c r="AC131" s="33">
        <f t="shared" si="6"/>
        <v>129</v>
      </c>
      <c r="AD131" s="35">
        <f t="shared" si="5"/>
        <v>46387</v>
      </c>
    </row>
    <row r="132" spans="29:30" x14ac:dyDescent="0.25">
      <c r="AC132" s="33">
        <f t="shared" si="6"/>
        <v>130</v>
      </c>
      <c r="AD132" s="35">
        <f t="shared" si="5"/>
        <v>46418</v>
      </c>
    </row>
    <row r="133" spans="29:30" x14ac:dyDescent="0.25">
      <c r="AC133" s="33">
        <f t="shared" si="6"/>
        <v>131</v>
      </c>
      <c r="AD133" s="35">
        <f t="shared" si="5"/>
        <v>46446</v>
      </c>
    </row>
    <row r="134" spans="29:30" x14ac:dyDescent="0.25">
      <c r="AC134" s="33">
        <f t="shared" si="6"/>
        <v>132</v>
      </c>
      <c r="AD134" s="35">
        <f t="shared" si="5"/>
        <v>46477</v>
      </c>
    </row>
    <row r="135" spans="29:30" x14ac:dyDescent="0.25">
      <c r="AC135" s="33">
        <f t="shared" si="6"/>
        <v>133</v>
      </c>
      <c r="AD135" s="35">
        <f t="shared" si="5"/>
        <v>46507</v>
      </c>
    </row>
    <row r="136" spans="29:30" x14ac:dyDescent="0.25">
      <c r="AC136" s="33">
        <f t="shared" si="6"/>
        <v>134</v>
      </c>
      <c r="AD136" s="35">
        <f t="shared" ref="AD136:AD199" si="7">IF(AD135&gt;AD$2,"",EOMONTH(AD135,1))</f>
        <v>46538</v>
      </c>
    </row>
    <row r="137" spans="29:30" x14ac:dyDescent="0.25">
      <c r="AC137" s="33">
        <f t="shared" si="6"/>
        <v>135</v>
      </c>
      <c r="AD137" s="35">
        <f t="shared" si="7"/>
        <v>46568</v>
      </c>
    </row>
    <row r="138" spans="29:30" x14ac:dyDescent="0.25">
      <c r="AC138" s="33">
        <f t="shared" si="6"/>
        <v>136</v>
      </c>
      <c r="AD138" s="35">
        <f t="shared" si="7"/>
        <v>46599</v>
      </c>
    </row>
    <row r="139" spans="29:30" x14ac:dyDescent="0.25">
      <c r="AC139" s="33">
        <f t="shared" si="6"/>
        <v>137</v>
      </c>
      <c r="AD139" s="35">
        <f t="shared" si="7"/>
        <v>46630</v>
      </c>
    </row>
    <row r="140" spans="29:30" x14ac:dyDescent="0.25">
      <c r="AC140" s="33">
        <f t="shared" si="6"/>
        <v>138</v>
      </c>
      <c r="AD140" s="35">
        <f t="shared" si="7"/>
        <v>46660</v>
      </c>
    </row>
    <row r="141" spans="29:30" x14ac:dyDescent="0.25">
      <c r="AC141" s="33">
        <f t="shared" si="6"/>
        <v>139</v>
      </c>
      <c r="AD141" s="35">
        <f t="shared" si="7"/>
        <v>46691</v>
      </c>
    </row>
    <row r="142" spans="29:30" x14ac:dyDescent="0.25">
      <c r="AC142" s="33">
        <f t="shared" si="6"/>
        <v>140</v>
      </c>
      <c r="AD142" s="35">
        <f t="shared" si="7"/>
        <v>46721</v>
      </c>
    </row>
    <row r="143" spans="29:30" x14ac:dyDescent="0.25">
      <c r="AC143" s="33">
        <f t="shared" si="6"/>
        <v>141</v>
      </c>
      <c r="AD143" s="35">
        <f t="shared" si="7"/>
        <v>46752</v>
      </c>
    </row>
    <row r="144" spans="29:30" x14ac:dyDescent="0.25">
      <c r="AC144" s="33">
        <f t="shared" si="6"/>
        <v>142</v>
      </c>
      <c r="AD144" s="35">
        <f t="shared" si="7"/>
        <v>46783</v>
      </c>
    </row>
    <row r="145" spans="29:30" x14ac:dyDescent="0.25">
      <c r="AC145" s="33">
        <f t="shared" si="6"/>
        <v>143</v>
      </c>
      <c r="AD145" s="35">
        <f t="shared" si="7"/>
        <v>46812</v>
      </c>
    </row>
    <row r="146" spans="29:30" x14ac:dyDescent="0.25">
      <c r="AC146" s="33">
        <f t="shared" si="6"/>
        <v>144</v>
      </c>
      <c r="AD146" s="35">
        <f t="shared" si="7"/>
        <v>46843</v>
      </c>
    </row>
    <row r="147" spans="29:30" x14ac:dyDescent="0.25">
      <c r="AC147" s="33">
        <f t="shared" si="6"/>
        <v>145</v>
      </c>
      <c r="AD147" s="35">
        <f t="shared" si="7"/>
        <v>46873</v>
      </c>
    </row>
    <row r="148" spans="29:30" x14ac:dyDescent="0.25">
      <c r="AC148" s="33">
        <f t="shared" si="6"/>
        <v>146</v>
      </c>
      <c r="AD148" s="35">
        <f t="shared" si="7"/>
        <v>46904</v>
      </c>
    </row>
    <row r="149" spans="29:30" x14ac:dyDescent="0.25">
      <c r="AC149" s="33">
        <f t="shared" si="6"/>
        <v>147</v>
      </c>
      <c r="AD149" s="35">
        <f t="shared" si="7"/>
        <v>46934</v>
      </c>
    </row>
    <row r="150" spans="29:30" x14ac:dyDescent="0.25">
      <c r="AC150" s="33">
        <f t="shared" si="6"/>
        <v>148</v>
      </c>
      <c r="AD150" s="35">
        <f t="shared" si="7"/>
        <v>46965</v>
      </c>
    </row>
    <row r="151" spans="29:30" x14ac:dyDescent="0.25">
      <c r="AC151" s="33">
        <f t="shared" si="6"/>
        <v>149</v>
      </c>
      <c r="AD151" s="35">
        <f t="shared" si="7"/>
        <v>46996</v>
      </c>
    </row>
    <row r="152" spans="29:30" x14ac:dyDescent="0.25">
      <c r="AC152" s="33">
        <f t="shared" si="6"/>
        <v>150</v>
      </c>
      <c r="AD152" s="35">
        <f t="shared" si="7"/>
        <v>47026</v>
      </c>
    </row>
    <row r="153" spans="29:30" x14ac:dyDescent="0.25">
      <c r="AC153" s="33">
        <f t="shared" si="6"/>
        <v>151</v>
      </c>
      <c r="AD153" s="35">
        <f t="shared" si="7"/>
        <v>47057</v>
      </c>
    </row>
    <row r="154" spans="29:30" x14ac:dyDescent="0.25">
      <c r="AC154" s="33">
        <f t="shared" si="6"/>
        <v>152</v>
      </c>
      <c r="AD154" s="35">
        <f t="shared" si="7"/>
        <v>47087</v>
      </c>
    </row>
    <row r="155" spans="29:30" x14ac:dyDescent="0.25">
      <c r="AC155" s="33">
        <f t="shared" si="6"/>
        <v>153</v>
      </c>
      <c r="AD155" s="35">
        <f t="shared" si="7"/>
        <v>47118</v>
      </c>
    </row>
    <row r="156" spans="29:30" x14ac:dyDescent="0.25">
      <c r="AC156" s="33">
        <f t="shared" si="6"/>
        <v>154</v>
      </c>
      <c r="AD156" s="35">
        <f t="shared" si="7"/>
        <v>47149</v>
      </c>
    </row>
    <row r="157" spans="29:30" x14ac:dyDescent="0.25">
      <c r="AC157" s="33">
        <f t="shared" si="6"/>
        <v>155</v>
      </c>
      <c r="AD157" s="35">
        <f t="shared" si="7"/>
        <v>47177</v>
      </c>
    </row>
    <row r="158" spans="29:30" x14ac:dyDescent="0.25">
      <c r="AC158" s="33">
        <f t="shared" si="6"/>
        <v>156</v>
      </c>
      <c r="AD158" s="35">
        <f t="shared" si="7"/>
        <v>47208</v>
      </c>
    </row>
    <row r="159" spans="29:30" x14ac:dyDescent="0.25">
      <c r="AC159" s="33">
        <f t="shared" si="6"/>
        <v>157</v>
      </c>
      <c r="AD159" s="35">
        <f t="shared" si="7"/>
        <v>47238</v>
      </c>
    </row>
    <row r="160" spans="29:30" x14ac:dyDescent="0.25">
      <c r="AC160" s="33">
        <f t="shared" si="6"/>
        <v>158</v>
      </c>
      <c r="AD160" s="35">
        <f t="shared" si="7"/>
        <v>47269</v>
      </c>
    </row>
    <row r="161" spans="29:30" x14ac:dyDescent="0.25">
      <c r="AC161" s="33">
        <f t="shared" si="6"/>
        <v>159</v>
      </c>
      <c r="AD161" s="35">
        <f t="shared" si="7"/>
        <v>47299</v>
      </c>
    </row>
    <row r="162" spans="29:30" x14ac:dyDescent="0.25">
      <c r="AC162" s="33">
        <f t="shared" si="6"/>
        <v>160</v>
      </c>
      <c r="AD162" s="35">
        <f t="shared" si="7"/>
        <v>47330</v>
      </c>
    </row>
    <row r="163" spans="29:30" x14ac:dyDescent="0.25">
      <c r="AC163" s="33">
        <f t="shared" si="6"/>
        <v>161</v>
      </c>
      <c r="AD163" s="35">
        <f t="shared" si="7"/>
        <v>47361</v>
      </c>
    </row>
    <row r="164" spans="29:30" x14ac:dyDescent="0.25">
      <c r="AC164" s="33">
        <f t="shared" si="6"/>
        <v>162</v>
      </c>
      <c r="AD164" s="35">
        <f t="shared" si="7"/>
        <v>47391</v>
      </c>
    </row>
    <row r="165" spans="29:30" x14ac:dyDescent="0.25">
      <c r="AC165" s="33">
        <f t="shared" si="6"/>
        <v>163</v>
      </c>
      <c r="AD165" s="35">
        <f t="shared" si="7"/>
        <v>47422</v>
      </c>
    </row>
    <row r="166" spans="29:30" x14ac:dyDescent="0.25">
      <c r="AC166" s="33">
        <f t="shared" si="6"/>
        <v>164</v>
      </c>
      <c r="AD166" s="35">
        <f t="shared" si="7"/>
        <v>47452</v>
      </c>
    </row>
    <row r="167" spans="29:30" x14ac:dyDescent="0.25">
      <c r="AC167" s="33">
        <f t="shared" si="6"/>
        <v>165</v>
      </c>
      <c r="AD167" s="35">
        <f t="shared" si="7"/>
        <v>47483</v>
      </c>
    </row>
    <row r="168" spans="29:30" x14ac:dyDescent="0.25">
      <c r="AC168" s="33">
        <f t="shared" si="6"/>
        <v>166</v>
      </c>
      <c r="AD168" s="35">
        <f t="shared" si="7"/>
        <v>47514</v>
      </c>
    </row>
    <row r="169" spans="29:30" x14ac:dyDescent="0.25">
      <c r="AC169" s="33">
        <f t="shared" si="6"/>
        <v>167</v>
      </c>
      <c r="AD169" s="35">
        <f t="shared" si="7"/>
        <v>47542</v>
      </c>
    </row>
    <row r="170" spans="29:30" x14ac:dyDescent="0.25">
      <c r="AC170" s="33">
        <f t="shared" si="6"/>
        <v>168</v>
      </c>
      <c r="AD170" s="35">
        <f t="shared" si="7"/>
        <v>47573</v>
      </c>
    </row>
    <row r="171" spans="29:30" x14ac:dyDescent="0.25">
      <c r="AC171" s="33">
        <f t="shared" si="6"/>
        <v>169</v>
      </c>
      <c r="AD171" s="35">
        <f t="shared" si="7"/>
        <v>47603</v>
      </c>
    </row>
    <row r="172" spans="29:30" x14ac:dyDescent="0.25">
      <c r="AC172" s="33">
        <f t="shared" si="6"/>
        <v>170</v>
      </c>
      <c r="AD172" s="35">
        <f t="shared" si="7"/>
        <v>47634</v>
      </c>
    </row>
    <row r="173" spans="29:30" x14ac:dyDescent="0.25">
      <c r="AC173" s="33">
        <f t="shared" si="6"/>
        <v>171</v>
      </c>
      <c r="AD173" s="35">
        <f t="shared" si="7"/>
        <v>47664</v>
      </c>
    </row>
    <row r="174" spans="29:30" x14ac:dyDescent="0.25">
      <c r="AC174" s="33">
        <f t="shared" si="6"/>
        <v>172</v>
      </c>
      <c r="AD174" s="35">
        <f t="shared" si="7"/>
        <v>47695</v>
      </c>
    </row>
    <row r="175" spans="29:30" x14ac:dyDescent="0.25">
      <c r="AC175" s="33">
        <f t="shared" si="6"/>
        <v>173</v>
      </c>
      <c r="AD175" s="35">
        <f t="shared" si="7"/>
        <v>47726</v>
      </c>
    </row>
    <row r="176" spans="29:30" x14ac:dyDescent="0.25">
      <c r="AC176" s="33">
        <f t="shared" si="6"/>
        <v>174</v>
      </c>
      <c r="AD176" s="35">
        <f t="shared" si="7"/>
        <v>47756</v>
      </c>
    </row>
    <row r="177" spans="29:30" x14ac:dyDescent="0.25">
      <c r="AC177" s="33">
        <f t="shared" si="6"/>
        <v>175</v>
      </c>
      <c r="AD177" s="35">
        <f t="shared" si="7"/>
        <v>47787</v>
      </c>
    </row>
    <row r="178" spans="29:30" x14ac:dyDescent="0.25">
      <c r="AC178" s="33">
        <f t="shared" si="6"/>
        <v>176</v>
      </c>
      <c r="AD178" s="35">
        <f t="shared" si="7"/>
        <v>47817</v>
      </c>
    </row>
    <row r="179" spans="29:30" x14ac:dyDescent="0.25">
      <c r="AC179" s="33">
        <f t="shared" si="6"/>
        <v>177</v>
      </c>
      <c r="AD179" s="35">
        <f t="shared" si="7"/>
        <v>47848</v>
      </c>
    </row>
    <row r="180" spans="29:30" x14ac:dyDescent="0.25">
      <c r="AC180" s="33">
        <f t="shared" si="6"/>
        <v>178</v>
      </c>
      <c r="AD180" s="35">
        <f t="shared" si="7"/>
        <v>47879</v>
      </c>
    </row>
    <row r="181" spans="29:30" x14ac:dyDescent="0.25">
      <c r="AC181" s="33">
        <f t="shared" si="6"/>
        <v>179</v>
      </c>
      <c r="AD181" s="35">
        <f t="shared" si="7"/>
        <v>47907</v>
      </c>
    </row>
    <row r="182" spans="29:30" x14ac:dyDescent="0.25">
      <c r="AC182" s="33">
        <f t="shared" si="6"/>
        <v>180</v>
      </c>
      <c r="AD182" s="35">
        <f t="shared" si="7"/>
        <v>47938</v>
      </c>
    </row>
    <row r="183" spans="29:30" x14ac:dyDescent="0.25">
      <c r="AC183" s="33">
        <f t="shared" si="6"/>
        <v>181</v>
      </c>
      <c r="AD183" s="35">
        <f t="shared" si="7"/>
        <v>47968</v>
      </c>
    </row>
    <row r="184" spans="29:30" x14ac:dyDescent="0.25">
      <c r="AC184" s="33">
        <f t="shared" si="6"/>
        <v>182</v>
      </c>
      <c r="AD184" s="35">
        <f t="shared" si="7"/>
        <v>47999</v>
      </c>
    </row>
    <row r="185" spans="29:30" x14ac:dyDescent="0.25">
      <c r="AC185" s="33">
        <f t="shared" si="6"/>
        <v>183</v>
      </c>
      <c r="AD185" s="35">
        <f t="shared" si="7"/>
        <v>48029</v>
      </c>
    </row>
    <row r="186" spans="29:30" x14ac:dyDescent="0.25">
      <c r="AC186" s="33">
        <f t="shared" si="6"/>
        <v>184</v>
      </c>
      <c r="AD186" s="35">
        <f t="shared" si="7"/>
        <v>48060</v>
      </c>
    </row>
    <row r="187" spans="29:30" x14ac:dyDescent="0.25">
      <c r="AC187" s="33">
        <f t="shared" ref="AC187:AC250" si="8">AC186+1</f>
        <v>185</v>
      </c>
      <c r="AD187" s="35">
        <f t="shared" si="7"/>
        <v>48091</v>
      </c>
    </row>
    <row r="188" spans="29:30" x14ac:dyDescent="0.25">
      <c r="AC188" s="33">
        <f t="shared" si="8"/>
        <v>186</v>
      </c>
      <c r="AD188" s="35">
        <f t="shared" si="7"/>
        <v>48121</v>
      </c>
    </row>
    <row r="189" spans="29:30" x14ac:dyDescent="0.25">
      <c r="AC189" s="33">
        <f t="shared" si="8"/>
        <v>187</v>
      </c>
      <c r="AD189" s="35">
        <f t="shared" si="7"/>
        <v>48152</v>
      </c>
    </row>
    <row r="190" spans="29:30" x14ac:dyDescent="0.25">
      <c r="AC190" s="33">
        <f t="shared" si="8"/>
        <v>188</v>
      </c>
      <c r="AD190" s="35">
        <f t="shared" si="7"/>
        <v>48182</v>
      </c>
    </row>
    <row r="191" spans="29:30" x14ac:dyDescent="0.25">
      <c r="AC191" s="33">
        <f t="shared" si="8"/>
        <v>189</v>
      </c>
      <c r="AD191" s="35">
        <f t="shared" si="7"/>
        <v>48213</v>
      </c>
    </row>
    <row r="192" spans="29:30" x14ac:dyDescent="0.25">
      <c r="AC192" s="33">
        <f t="shared" si="8"/>
        <v>190</v>
      </c>
      <c r="AD192" s="35">
        <f t="shared" si="7"/>
        <v>48244</v>
      </c>
    </row>
    <row r="193" spans="29:30" x14ac:dyDescent="0.25">
      <c r="AC193" s="33">
        <f t="shared" si="8"/>
        <v>191</v>
      </c>
      <c r="AD193" s="35">
        <f t="shared" si="7"/>
        <v>48273</v>
      </c>
    </row>
    <row r="194" spans="29:30" x14ac:dyDescent="0.25">
      <c r="AC194" s="33">
        <f t="shared" si="8"/>
        <v>192</v>
      </c>
      <c r="AD194" s="35">
        <f t="shared" si="7"/>
        <v>48304</v>
      </c>
    </row>
    <row r="195" spans="29:30" x14ac:dyDescent="0.25">
      <c r="AC195" s="33">
        <f t="shared" si="8"/>
        <v>193</v>
      </c>
      <c r="AD195" s="35">
        <f t="shared" si="7"/>
        <v>48334</v>
      </c>
    </row>
    <row r="196" spans="29:30" x14ac:dyDescent="0.25">
      <c r="AC196" s="33">
        <f t="shared" si="8"/>
        <v>194</v>
      </c>
      <c r="AD196" s="35">
        <f t="shared" si="7"/>
        <v>48365</v>
      </c>
    </row>
    <row r="197" spans="29:30" x14ac:dyDescent="0.25">
      <c r="AC197" s="33">
        <f t="shared" si="8"/>
        <v>195</v>
      </c>
      <c r="AD197" s="35">
        <f t="shared" si="7"/>
        <v>48395</v>
      </c>
    </row>
    <row r="198" spans="29:30" x14ac:dyDescent="0.25">
      <c r="AC198" s="33">
        <f t="shared" si="8"/>
        <v>196</v>
      </c>
      <c r="AD198" s="35">
        <f t="shared" si="7"/>
        <v>48426</v>
      </c>
    </row>
    <row r="199" spans="29:30" x14ac:dyDescent="0.25">
      <c r="AC199" s="33">
        <f t="shared" si="8"/>
        <v>197</v>
      </c>
      <c r="AD199" s="35">
        <f t="shared" si="7"/>
        <v>48457</v>
      </c>
    </row>
    <row r="200" spans="29:30" x14ac:dyDescent="0.25">
      <c r="AC200" s="33">
        <f t="shared" si="8"/>
        <v>198</v>
      </c>
      <c r="AD200" s="35">
        <f t="shared" ref="AD200:AD263" si="9">IF(AD199&gt;AD$2,"",EOMONTH(AD199,1))</f>
        <v>48487</v>
      </c>
    </row>
    <row r="201" spans="29:30" x14ac:dyDescent="0.25">
      <c r="AC201" s="33">
        <f t="shared" si="8"/>
        <v>199</v>
      </c>
      <c r="AD201" s="35">
        <f t="shared" si="9"/>
        <v>48518</v>
      </c>
    </row>
    <row r="202" spans="29:30" x14ac:dyDescent="0.25">
      <c r="AC202" s="33">
        <f t="shared" si="8"/>
        <v>200</v>
      </c>
      <c r="AD202" s="35">
        <f t="shared" si="9"/>
        <v>48548</v>
      </c>
    </row>
    <row r="203" spans="29:30" x14ac:dyDescent="0.25">
      <c r="AC203" s="33">
        <f t="shared" si="8"/>
        <v>201</v>
      </c>
      <c r="AD203" s="35">
        <f t="shared" si="9"/>
        <v>48579</v>
      </c>
    </row>
    <row r="204" spans="29:30" x14ac:dyDescent="0.25">
      <c r="AC204" s="33">
        <f t="shared" si="8"/>
        <v>202</v>
      </c>
      <c r="AD204" s="35">
        <f t="shared" si="9"/>
        <v>48610</v>
      </c>
    </row>
    <row r="205" spans="29:30" x14ac:dyDescent="0.25">
      <c r="AC205" s="33">
        <f t="shared" si="8"/>
        <v>203</v>
      </c>
      <c r="AD205" s="35">
        <f t="shared" si="9"/>
        <v>48638</v>
      </c>
    </row>
    <row r="206" spans="29:30" x14ac:dyDescent="0.25">
      <c r="AC206" s="33">
        <f t="shared" si="8"/>
        <v>204</v>
      </c>
      <c r="AD206" s="35">
        <f t="shared" si="9"/>
        <v>48669</v>
      </c>
    </row>
    <row r="207" spans="29:30" x14ac:dyDescent="0.25">
      <c r="AC207" s="33">
        <f t="shared" si="8"/>
        <v>205</v>
      </c>
      <c r="AD207" s="35">
        <f t="shared" si="9"/>
        <v>48699</v>
      </c>
    </row>
    <row r="208" spans="29:30" x14ac:dyDescent="0.25">
      <c r="AC208" s="33">
        <f t="shared" si="8"/>
        <v>206</v>
      </c>
      <c r="AD208" s="35">
        <f t="shared" si="9"/>
        <v>48730</v>
      </c>
    </row>
    <row r="209" spans="29:30" x14ac:dyDescent="0.25">
      <c r="AC209" s="33">
        <f t="shared" si="8"/>
        <v>207</v>
      </c>
      <c r="AD209" s="35">
        <f t="shared" si="9"/>
        <v>48760</v>
      </c>
    </row>
    <row r="210" spans="29:30" x14ac:dyDescent="0.25">
      <c r="AC210" s="33">
        <f t="shared" si="8"/>
        <v>208</v>
      </c>
      <c r="AD210" s="35">
        <f t="shared" si="9"/>
        <v>48791</v>
      </c>
    </row>
    <row r="211" spans="29:30" x14ac:dyDescent="0.25">
      <c r="AC211" s="33">
        <f t="shared" si="8"/>
        <v>209</v>
      </c>
      <c r="AD211" s="35">
        <f t="shared" si="9"/>
        <v>48822</v>
      </c>
    </row>
    <row r="212" spans="29:30" x14ac:dyDescent="0.25">
      <c r="AC212" s="33">
        <f t="shared" si="8"/>
        <v>210</v>
      </c>
      <c r="AD212" s="35">
        <f t="shared" si="9"/>
        <v>48852</v>
      </c>
    </row>
    <row r="213" spans="29:30" x14ac:dyDescent="0.25">
      <c r="AC213" s="33">
        <f t="shared" si="8"/>
        <v>211</v>
      </c>
      <c r="AD213" s="35">
        <f t="shared" si="9"/>
        <v>48883</v>
      </c>
    </row>
    <row r="214" spans="29:30" x14ac:dyDescent="0.25">
      <c r="AC214" s="33">
        <f t="shared" si="8"/>
        <v>212</v>
      </c>
      <c r="AD214" s="35">
        <f t="shared" si="9"/>
        <v>48913</v>
      </c>
    </row>
    <row r="215" spans="29:30" x14ac:dyDescent="0.25">
      <c r="AC215" s="33">
        <f t="shared" si="8"/>
        <v>213</v>
      </c>
      <c r="AD215" s="35">
        <f t="shared" si="9"/>
        <v>48944</v>
      </c>
    </row>
    <row r="216" spans="29:30" x14ac:dyDescent="0.25">
      <c r="AC216" s="33">
        <f t="shared" si="8"/>
        <v>214</v>
      </c>
      <c r="AD216" s="35">
        <f t="shared" si="9"/>
        <v>48975</v>
      </c>
    </row>
    <row r="217" spans="29:30" x14ac:dyDescent="0.25">
      <c r="AC217" s="33">
        <f t="shared" si="8"/>
        <v>215</v>
      </c>
      <c r="AD217" s="35">
        <f t="shared" si="9"/>
        <v>49003</v>
      </c>
    </row>
    <row r="218" spans="29:30" x14ac:dyDescent="0.25">
      <c r="AC218" s="33">
        <f t="shared" si="8"/>
        <v>216</v>
      </c>
      <c r="AD218" s="35">
        <f t="shared" si="9"/>
        <v>49034</v>
      </c>
    </row>
    <row r="219" spans="29:30" x14ac:dyDescent="0.25">
      <c r="AC219" s="33">
        <f t="shared" si="8"/>
        <v>217</v>
      </c>
      <c r="AD219" s="35">
        <f t="shared" si="9"/>
        <v>49064</v>
      </c>
    </row>
    <row r="220" spans="29:30" x14ac:dyDescent="0.25">
      <c r="AC220" s="33">
        <f t="shared" si="8"/>
        <v>218</v>
      </c>
      <c r="AD220" s="35">
        <f t="shared" si="9"/>
        <v>49095</v>
      </c>
    </row>
    <row r="221" spans="29:30" x14ac:dyDescent="0.25">
      <c r="AC221" s="33">
        <f t="shared" si="8"/>
        <v>219</v>
      </c>
      <c r="AD221" s="35">
        <f t="shared" si="9"/>
        <v>49125</v>
      </c>
    </row>
    <row r="222" spans="29:30" x14ac:dyDescent="0.25">
      <c r="AC222" s="33">
        <f t="shared" si="8"/>
        <v>220</v>
      </c>
      <c r="AD222" s="35">
        <f t="shared" si="9"/>
        <v>49156</v>
      </c>
    </row>
    <row r="223" spans="29:30" x14ac:dyDescent="0.25">
      <c r="AC223" s="33">
        <f t="shared" si="8"/>
        <v>221</v>
      </c>
      <c r="AD223" s="35">
        <f t="shared" si="9"/>
        <v>49187</v>
      </c>
    </row>
    <row r="224" spans="29:30" x14ac:dyDescent="0.25">
      <c r="AC224" s="33">
        <f t="shared" si="8"/>
        <v>222</v>
      </c>
      <c r="AD224" s="35">
        <f t="shared" si="9"/>
        <v>49217</v>
      </c>
    </row>
    <row r="225" spans="29:30" x14ac:dyDescent="0.25">
      <c r="AC225" s="33">
        <f t="shared" si="8"/>
        <v>223</v>
      </c>
      <c r="AD225" s="35">
        <f t="shared" si="9"/>
        <v>49248</v>
      </c>
    </row>
    <row r="226" spans="29:30" x14ac:dyDescent="0.25">
      <c r="AC226" s="33">
        <f t="shared" si="8"/>
        <v>224</v>
      </c>
      <c r="AD226" s="35">
        <f t="shared" si="9"/>
        <v>49278</v>
      </c>
    </row>
    <row r="227" spans="29:30" x14ac:dyDescent="0.25">
      <c r="AC227" s="33">
        <f t="shared" si="8"/>
        <v>225</v>
      </c>
      <c r="AD227" s="35">
        <f t="shared" si="9"/>
        <v>49309</v>
      </c>
    </row>
    <row r="228" spans="29:30" x14ac:dyDescent="0.25">
      <c r="AC228" s="33">
        <f t="shared" si="8"/>
        <v>226</v>
      </c>
      <c r="AD228" s="35">
        <f t="shared" si="9"/>
        <v>49340</v>
      </c>
    </row>
    <row r="229" spans="29:30" x14ac:dyDescent="0.25">
      <c r="AC229" s="33">
        <f t="shared" si="8"/>
        <v>227</v>
      </c>
      <c r="AD229" s="35">
        <f t="shared" si="9"/>
        <v>49368</v>
      </c>
    </row>
    <row r="230" spans="29:30" x14ac:dyDescent="0.25">
      <c r="AC230" s="33">
        <f t="shared" si="8"/>
        <v>228</v>
      </c>
      <c r="AD230" s="35">
        <f t="shared" si="9"/>
        <v>49399</v>
      </c>
    </row>
    <row r="231" spans="29:30" x14ac:dyDescent="0.25">
      <c r="AC231" s="33">
        <f t="shared" si="8"/>
        <v>229</v>
      </c>
      <c r="AD231" s="35">
        <f t="shared" si="9"/>
        <v>49429</v>
      </c>
    </row>
    <row r="232" spans="29:30" x14ac:dyDescent="0.25">
      <c r="AC232" s="33">
        <f t="shared" si="8"/>
        <v>230</v>
      </c>
      <c r="AD232" s="35">
        <f t="shared" si="9"/>
        <v>49460</v>
      </c>
    </row>
    <row r="233" spans="29:30" x14ac:dyDescent="0.25">
      <c r="AC233" s="33">
        <f t="shared" si="8"/>
        <v>231</v>
      </c>
      <c r="AD233" s="35">
        <f t="shared" si="9"/>
        <v>49490</v>
      </c>
    </row>
    <row r="234" spans="29:30" x14ac:dyDescent="0.25">
      <c r="AC234" s="33">
        <f t="shared" si="8"/>
        <v>232</v>
      </c>
      <c r="AD234" s="35">
        <f t="shared" si="9"/>
        <v>49521</v>
      </c>
    </row>
    <row r="235" spans="29:30" x14ac:dyDescent="0.25">
      <c r="AC235" s="33">
        <f t="shared" si="8"/>
        <v>233</v>
      </c>
      <c r="AD235" s="35">
        <f t="shared" si="9"/>
        <v>49552</v>
      </c>
    </row>
    <row r="236" spans="29:30" x14ac:dyDescent="0.25">
      <c r="AC236" s="33">
        <f t="shared" si="8"/>
        <v>234</v>
      </c>
      <c r="AD236" s="35">
        <f t="shared" si="9"/>
        <v>49582</v>
      </c>
    </row>
    <row r="237" spans="29:30" x14ac:dyDescent="0.25">
      <c r="AC237" s="33">
        <f t="shared" si="8"/>
        <v>235</v>
      </c>
      <c r="AD237" s="35">
        <f t="shared" si="9"/>
        <v>49613</v>
      </c>
    </row>
    <row r="238" spans="29:30" x14ac:dyDescent="0.25">
      <c r="AC238" s="33">
        <f t="shared" si="8"/>
        <v>236</v>
      </c>
      <c r="AD238" s="35">
        <f t="shared" si="9"/>
        <v>49643</v>
      </c>
    </row>
    <row r="239" spans="29:30" x14ac:dyDescent="0.25">
      <c r="AC239" s="33">
        <f t="shared" si="8"/>
        <v>237</v>
      </c>
      <c r="AD239" s="35">
        <f t="shared" si="9"/>
        <v>49674</v>
      </c>
    </row>
    <row r="240" spans="29:30" x14ac:dyDescent="0.25">
      <c r="AC240" s="33">
        <f t="shared" si="8"/>
        <v>238</v>
      </c>
      <c r="AD240" s="35">
        <f t="shared" si="9"/>
        <v>49705</v>
      </c>
    </row>
    <row r="241" spans="29:30" x14ac:dyDescent="0.25">
      <c r="AC241" s="33">
        <f t="shared" si="8"/>
        <v>239</v>
      </c>
      <c r="AD241" s="35">
        <f t="shared" si="9"/>
        <v>49734</v>
      </c>
    </row>
    <row r="242" spans="29:30" x14ac:dyDescent="0.25">
      <c r="AC242" s="33">
        <f t="shared" si="8"/>
        <v>240</v>
      </c>
      <c r="AD242" s="35">
        <f t="shared" si="9"/>
        <v>49765</v>
      </c>
    </row>
    <row r="243" spans="29:30" x14ac:dyDescent="0.25">
      <c r="AC243" s="33">
        <f t="shared" si="8"/>
        <v>241</v>
      </c>
      <c r="AD243" s="35">
        <f t="shared" si="9"/>
        <v>49795</v>
      </c>
    </row>
    <row r="244" spans="29:30" x14ac:dyDescent="0.25">
      <c r="AC244" s="33">
        <f t="shared" si="8"/>
        <v>242</v>
      </c>
      <c r="AD244" s="35">
        <f t="shared" si="9"/>
        <v>49826</v>
      </c>
    </row>
    <row r="245" spans="29:30" x14ac:dyDescent="0.25">
      <c r="AC245" s="33">
        <f t="shared" si="8"/>
        <v>243</v>
      </c>
      <c r="AD245" s="35">
        <f t="shared" si="9"/>
        <v>49856</v>
      </c>
    </row>
    <row r="246" spans="29:30" x14ac:dyDescent="0.25">
      <c r="AC246" s="33">
        <f t="shared" si="8"/>
        <v>244</v>
      </c>
      <c r="AD246" s="35">
        <f t="shared" si="9"/>
        <v>49887</v>
      </c>
    </row>
    <row r="247" spans="29:30" x14ac:dyDescent="0.25">
      <c r="AC247" s="33">
        <f t="shared" si="8"/>
        <v>245</v>
      </c>
      <c r="AD247" s="35">
        <f t="shared" si="9"/>
        <v>49918</v>
      </c>
    </row>
    <row r="248" spans="29:30" x14ac:dyDescent="0.25">
      <c r="AC248" s="33">
        <f t="shared" si="8"/>
        <v>246</v>
      </c>
      <c r="AD248" s="35">
        <f t="shared" si="9"/>
        <v>49948</v>
      </c>
    </row>
    <row r="249" spans="29:30" x14ac:dyDescent="0.25">
      <c r="AC249" s="33">
        <f t="shared" si="8"/>
        <v>247</v>
      </c>
      <c r="AD249" s="35">
        <f t="shared" si="9"/>
        <v>49979</v>
      </c>
    </row>
    <row r="250" spans="29:30" x14ac:dyDescent="0.25">
      <c r="AC250" s="33">
        <f t="shared" si="8"/>
        <v>248</v>
      </c>
      <c r="AD250" s="35">
        <f t="shared" si="9"/>
        <v>50009</v>
      </c>
    </row>
    <row r="251" spans="29:30" x14ac:dyDescent="0.25">
      <c r="AC251" s="33">
        <f t="shared" ref="AC251:AC314" si="10">AC250+1</f>
        <v>249</v>
      </c>
      <c r="AD251" s="35">
        <f t="shared" si="9"/>
        <v>50040</v>
      </c>
    </row>
    <row r="252" spans="29:30" x14ac:dyDescent="0.25">
      <c r="AC252" s="33">
        <f t="shared" si="10"/>
        <v>250</v>
      </c>
      <c r="AD252" s="35">
        <f t="shared" si="9"/>
        <v>50071</v>
      </c>
    </row>
    <row r="253" spans="29:30" x14ac:dyDescent="0.25">
      <c r="AC253" s="33">
        <f t="shared" si="10"/>
        <v>251</v>
      </c>
      <c r="AD253" s="35">
        <f t="shared" si="9"/>
        <v>50099</v>
      </c>
    </row>
    <row r="254" spans="29:30" x14ac:dyDescent="0.25">
      <c r="AC254" s="33">
        <f t="shared" si="10"/>
        <v>252</v>
      </c>
      <c r="AD254" s="35">
        <f t="shared" si="9"/>
        <v>50130</v>
      </c>
    </row>
    <row r="255" spans="29:30" x14ac:dyDescent="0.25">
      <c r="AC255" s="33">
        <f t="shared" si="10"/>
        <v>253</v>
      </c>
      <c r="AD255" s="35">
        <f t="shared" si="9"/>
        <v>50160</v>
      </c>
    </row>
    <row r="256" spans="29:30" x14ac:dyDescent="0.25">
      <c r="AC256" s="33">
        <f t="shared" si="10"/>
        <v>254</v>
      </c>
      <c r="AD256" s="35">
        <f t="shared" si="9"/>
        <v>50191</v>
      </c>
    </row>
    <row r="257" spans="29:30" x14ac:dyDescent="0.25">
      <c r="AC257" s="33">
        <f t="shared" si="10"/>
        <v>255</v>
      </c>
      <c r="AD257" s="35">
        <f t="shared" si="9"/>
        <v>50221</v>
      </c>
    </row>
    <row r="258" spans="29:30" x14ac:dyDescent="0.25">
      <c r="AC258" s="33">
        <f t="shared" si="10"/>
        <v>256</v>
      </c>
      <c r="AD258" s="35">
        <f t="shared" si="9"/>
        <v>50252</v>
      </c>
    </row>
    <row r="259" spans="29:30" x14ac:dyDescent="0.25">
      <c r="AC259" s="33">
        <f t="shared" si="10"/>
        <v>257</v>
      </c>
      <c r="AD259" s="35">
        <f t="shared" si="9"/>
        <v>50283</v>
      </c>
    </row>
    <row r="260" spans="29:30" x14ac:dyDescent="0.25">
      <c r="AC260" s="33">
        <f t="shared" si="10"/>
        <v>258</v>
      </c>
      <c r="AD260" s="35">
        <f t="shared" si="9"/>
        <v>50313</v>
      </c>
    </row>
    <row r="261" spans="29:30" x14ac:dyDescent="0.25">
      <c r="AC261" s="33">
        <f t="shared" si="10"/>
        <v>259</v>
      </c>
      <c r="AD261" s="35">
        <f t="shared" si="9"/>
        <v>50344</v>
      </c>
    </row>
    <row r="262" spans="29:30" x14ac:dyDescent="0.25">
      <c r="AC262" s="33">
        <f t="shared" si="10"/>
        <v>260</v>
      </c>
      <c r="AD262" s="35">
        <f t="shared" si="9"/>
        <v>50374</v>
      </c>
    </row>
    <row r="263" spans="29:30" x14ac:dyDescent="0.25">
      <c r="AC263" s="33">
        <f t="shared" si="10"/>
        <v>261</v>
      </c>
      <c r="AD263" s="35">
        <f t="shared" si="9"/>
        <v>50405</v>
      </c>
    </row>
    <row r="264" spans="29:30" x14ac:dyDescent="0.25">
      <c r="AC264" s="33">
        <f t="shared" si="10"/>
        <v>262</v>
      </c>
      <c r="AD264" s="35">
        <f t="shared" ref="AD264:AD327" si="11">IF(AD263&gt;AD$2,"",EOMONTH(AD263,1))</f>
        <v>50436</v>
      </c>
    </row>
    <row r="265" spans="29:30" x14ac:dyDescent="0.25">
      <c r="AC265" s="33">
        <f t="shared" si="10"/>
        <v>263</v>
      </c>
      <c r="AD265" s="35">
        <f t="shared" si="11"/>
        <v>50464</v>
      </c>
    </row>
    <row r="266" spans="29:30" x14ac:dyDescent="0.25">
      <c r="AC266" s="33">
        <f t="shared" si="10"/>
        <v>264</v>
      </c>
      <c r="AD266" s="35">
        <f t="shared" si="11"/>
        <v>50495</v>
      </c>
    </row>
    <row r="267" spans="29:30" x14ac:dyDescent="0.25">
      <c r="AC267" s="33">
        <f t="shared" si="10"/>
        <v>265</v>
      </c>
      <c r="AD267" s="35">
        <f t="shared" si="11"/>
        <v>50525</v>
      </c>
    </row>
    <row r="268" spans="29:30" x14ac:dyDescent="0.25">
      <c r="AC268" s="33">
        <f t="shared" si="10"/>
        <v>266</v>
      </c>
      <c r="AD268" s="35">
        <f t="shared" si="11"/>
        <v>50556</v>
      </c>
    </row>
    <row r="269" spans="29:30" x14ac:dyDescent="0.25">
      <c r="AC269" s="33">
        <f t="shared" si="10"/>
        <v>267</v>
      </c>
      <c r="AD269" s="35">
        <f t="shared" si="11"/>
        <v>50586</v>
      </c>
    </row>
    <row r="270" spans="29:30" x14ac:dyDescent="0.25">
      <c r="AC270" s="33">
        <f t="shared" si="10"/>
        <v>268</v>
      </c>
      <c r="AD270" s="35">
        <f t="shared" si="11"/>
        <v>50617</v>
      </c>
    </row>
    <row r="271" spans="29:30" x14ac:dyDescent="0.25">
      <c r="AC271" s="33">
        <f t="shared" si="10"/>
        <v>269</v>
      </c>
      <c r="AD271" s="35" t="str">
        <f t="shared" si="11"/>
        <v/>
      </c>
    </row>
    <row r="272" spans="29:30" x14ac:dyDescent="0.25">
      <c r="AC272" s="33">
        <f t="shared" si="10"/>
        <v>270</v>
      </c>
      <c r="AD272" s="35" t="str">
        <f t="shared" si="11"/>
        <v/>
      </c>
    </row>
    <row r="273" spans="29:30" x14ac:dyDescent="0.25">
      <c r="AC273" s="33">
        <f t="shared" si="10"/>
        <v>271</v>
      </c>
      <c r="AD273" s="35" t="str">
        <f t="shared" si="11"/>
        <v/>
      </c>
    </row>
    <row r="274" spans="29:30" x14ac:dyDescent="0.25">
      <c r="AC274" s="33">
        <f t="shared" si="10"/>
        <v>272</v>
      </c>
      <c r="AD274" s="35" t="str">
        <f t="shared" si="11"/>
        <v/>
      </c>
    </row>
    <row r="275" spans="29:30" x14ac:dyDescent="0.25">
      <c r="AC275" s="33">
        <f t="shared" si="10"/>
        <v>273</v>
      </c>
      <c r="AD275" s="35" t="str">
        <f t="shared" si="11"/>
        <v/>
      </c>
    </row>
    <row r="276" spans="29:30" x14ac:dyDescent="0.25">
      <c r="AC276" s="33">
        <f t="shared" si="10"/>
        <v>274</v>
      </c>
      <c r="AD276" s="35" t="str">
        <f t="shared" si="11"/>
        <v/>
      </c>
    </row>
    <row r="277" spans="29:30" x14ac:dyDescent="0.25">
      <c r="AC277" s="33">
        <f t="shared" si="10"/>
        <v>275</v>
      </c>
      <c r="AD277" s="35" t="str">
        <f t="shared" si="11"/>
        <v/>
      </c>
    </row>
    <row r="278" spans="29:30" x14ac:dyDescent="0.25">
      <c r="AC278" s="33">
        <f t="shared" si="10"/>
        <v>276</v>
      </c>
      <c r="AD278" s="35" t="str">
        <f t="shared" si="11"/>
        <v/>
      </c>
    </row>
    <row r="279" spans="29:30" x14ac:dyDescent="0.25">
      <c r="AC279" s="33">
        <f t="shared" si="10"/>
        <v>277</v>
      </c>
      <c r="AD279" s="35" t="str">
        <f t="shared" si="11"/>
        <v/>
      </c>
    </row>
    <row r="280" spans="29:30" x14ac:dyDescent="0.25">
      <c r="AC280" s="33">
        <f t="shared" si="10"/>
        <v>278</v>
      </c>
      <c r="AD280" s="35" t="str">
        <f t="shared" si="11"/>
        <v/>
      </c>
    </row>
    <row r="281" spans="29:30" x14ac:dyDescent="0.25">
      <c r="AC281" s="33">
        <f t="shared" si="10"/>
        <v>279</v>
      </c>
      <c r="AD281" s="35" t="str">
        <f t="shared" si="11"/>
        <v/>
      </c>
    </row>
    <row r="282" spans="29:30" x14ac:dyDescent="0.25">
      <c r="AC282" s="33">
        <f t="shared" si="10"/>
        <v>280</v>
      </c>
      <c r="AD282" s="35" t="str">
        <f t="shared" si="11"/>
        <v/>
      </c>
    </row>
    <row r="283" spans="29:30" x14ac:dyDescent="0.25">
      <c r="AC283" s="33">
        <f t="shared" si="10"/>
        <v>281</v>
      </c>
      <c r="AD283" s="35" t="str">
        <f t="shared" si="11"/>
        <v/>
      </c>
    </row>
    <row r="284" spans="29:30" x14ac:dyDescent="0.25">
      <c r="AC284" s="33">
        <f t="shared" si="10"/>
        <v>282</v>
      </c>
      <c r="AD284" s="35" t="str">
        <f t="shared" si="11"/>
        <v/>
      </c>
    </row>
    <row r="285" spans="29:30" x14ac:dyDescent="0.25">
      <c r="AC285" s="33">
        <f t="shared" si="10"/>
        <v>283</v>
      </c>
      <c r="AD285" s="35" t="str">
        <f t="shared" si="11"/>
        <v/>
      </c>
    </row>
    <row r="286" spans="29:30" x14ac:dyDescent="0.25">
      <c r="AC286" s="33">
        <f t="shared" si="10"/>
        <v>284</v>
      </c>
      <c r="AD286" s="35" t="str">
        <f t="shared" si="11"/>
        <v/>
      </c>
    </row>
    <row r="287" spans="29:30" x14ac:dyDescent="0.25">
      <c r="AC287" s="33">
        <f t="shared" si="10"/>
        <v>285</v>
      </c>
      <c r="AD287" s="35" t="str">
        <f t="shared" si="11"/>
        <v/>
      </c>
    </row>
    <row r="288" spans="29:30" x14ac:dyDescent="0.25">
      <c r="AC288" s="33">
        <f t="shared" si="10"/>
        <v>286</v>
      </c>
      <c r="AD288" s="35" t="str">
        <f t="shared" si="11"/>
        <v/>
      </c>
    </row>
    <row r="289" spans="29:30" x14ac:dyDescent="0.25">
      <c r="AC289" s="33">
        <f t="shared" si="10"/>
        <v>287</v>
      </c>
      <c r="AD289" s="35" t="str">
        <f t="shared" si="11"/>
        <v/>
      </c>
    </row>
    <row r="290" spans="29:30" x14ac:dyDescent="0.25">
      <c r="AC290" s="33">
        <f t="shared" si="10"/>
        <v>288</v>
      </c>
      <c r="AD290" s="35" t="str">
        <f t="shared" si="11"/>
        <v/>
      </c>
    </row>
    <row r="291" spans="29:30" x14ac:dyDescent="0.25">
      <c r="AC291" s="33">
        <f t="shared" si="10"/>
        <v>289</v>
      </c>
      <c r="AD291" s="35" t="str">
        <f t="shared" si="11"/>
        <v/>
      </c>
    </row>
    <row r="292" spans="29:30" x14ac:dyDescent="0.25">
      <c r="AC292" s="33">
        <f t="shared" si="10"/>
        <v>290</v>
      </c>
      <c r="AD292" s="35" t="str">
        <f t="shared" si="11"/>
        <v/>
      </c>
    </row>
    <row r="293" spans="29:30" x14ac:dyDescent="0.25">
      <c r="AC293" s="33">
        <f t="shared" si="10"/>
        <v>291</v>
      </c>
      <c r="AD293" s="35" t="str">
        <f t="shared" si="11"/>
        <v/>
      </c>
    </row>
    <row r="294" spans="29:30" x14ac:dyDescent="0.25">
      <c r="AC294" s="33">
        <f t="shared" si="10"/>
        <v>292</v>
      </c>
      <c r="AD294" s="35" t="str">
        <f t="shared" si="11"/>
        <v/>
      </c>
    </row>
    <row r="295" spans="29:30" x14ac:dyDescent="0.25">
      <c r="AC295" s="33">
        <f t="shared" si="10"/>
        <v>293</v>
      </c>
      <c r="AD295" s="35" t="str">
        <f t="shared" si="11"/>
        <v/>
      </c>
    </row>
    <row r="296" spans="29:30" x14ac:dyDescent="0.25">
      <c r="AC296" s="33">
        <f t="shared" si="10"/>
        <v>294</v>
      </c>
      <c r="AD296" s="35" t="str">
        <f t="shared" si="11"/>
        <v/>
      </c>
    </row>
    <row r="297" spans="29:30" x14ac:dyDescent="0.25">
      <c r="AC297" s="33">
        <f t="shared" si="10"/>
        <v>295</v>
      </c>
      <c r="AD297" s="35" t="str">
        <f t="shared" si="11"/>
        <v/>
      </c>
    </row>
    <row r="298" spans="29:30" x14ac:dyDescent="0.25">
      <c r="AC298" s="33">
        <f t="shared" si="10"/>
        <v>296</v>
      </c>
      <c r="AD298" s="35" t="str">
        <f t="shared" si="11"/>
        <v/>
      </c>
    </row>
    <row r="299" spans="29:30" x14ac:dyDescent="0.25">
      <c r="AC299" s="33">
        <f t="shared" si="10"/>
        <v>297</v>
      </c>
      <c r="AD299" s="35" t="str">
        <f t="shared" si="11"/>
        <v/>
      </c>
    </row>
    <row r="300" spans="29:30" x14ac:dyDescent="0.25">
      <c r="AC300" s="33">
        <f t="shared" si="10"/>
        <v>298</v>
      </c>
      <c r="AD300" s="35" t="str">
        <f t="shared" si="11"/>
        <v/>
      </c>
    </row>
    <row r="301" spans="29:30" x14ac:dyDescent="0.25">
      <c r="AC301" s="33">
        <f t="shared" si="10"/>
        <v>299</v>
      </c>
      <c r="AD301" s="35" t="str">
        <f t="shared" si="11"/>
        <v/>
      </c>
    </row>
    <row r="302" spans="29:30" x14ac:dyDescent="0.25">
      <c r="AC302" s="33">
        <f t="shared" si="10"/>
        <v>300</v>
      </c>
      <c r="AD302" s="35" t="str">
        <f t="shared" si="11"/>
        <v/>
      </c>
    </row>
    <row r="303" spans="29:30" x14ac:dyDescent="0.25">
      <c r="AC303" s="33">
        <f t="shared" si="10"/>
        <v>301</v>
      </c>
      <c r="AD303" s="35" t="str">
        <f t="shared" si="11"/>
        <v/>
      </c>
    </row>
    <row r="304" spans="29:30" x14ac:dyDescent="0.25">
      <c r="AC304" s="33">
        <f t="shared" si="10"/>
        <v>302</v>
      </c>
      <c r="AD304" s="35" t="str">
        <f t="shared" si="11"/>
        <v/>
      </c>
    </row>
    <row r="305" spans="29:30" x14ac:dyDescent="0.25">
      <c r="AC305" s="33">
        <f t="shared" si="10"/>
        <v>303</v>
      </c>
      <c r="AD305" s="35" t="str">
        <f t="shared" si="11"/>
        <v/>
      </c>
    </row>
    <row r="306" spans="29:30" x14ac:dyDescent="0.25">
      <c r="AC306" s="33">
        <f t="shared" si="10"/>
        <v>304</v>
      </c>
      <c r="AD306" s="35" t="str">
        <f t="shared" si="11"/>
        <v/>
      </c>
    </row>
    <row r="307" spans="29:30" x14ac:dyDescent="0.25">
      <c r="AC307" s="33">
        <f t="shared" si="10"/>
        <v>305</v>
      </c>
      <c r="AD307" s="35" t="str">
        <f t="shared" si="11"/>
        <v/>
      </c>
    </row>
    <row r="308" spans="29:30" x14ac:dyDescent="0.25">
      <c r="AC308" s="33">
        <f t="shared" si="10"/>
        <v>306</v>
      </c>
      <c r="AD308" s="35" t="str">
        <f t="shared" si="11"/>
        <v/>
      </c>
    </row>
    <row r="309" spans="29:30" x14ac:dyDescent="0.25">
      <c r="AC309" s="33">
        <f t="shared" si="10"/>
        <v>307</v>
      </c>
      <c r="AD309" s="35" t="str">
        <f t="shared" si="11"/>
        <v/>
      </c>
    </row>
    <row r="310" spans="29:30" x14ac:dyDescent="0.25">
      <c r="AC310" s="33">
        <f t="shared" si="10"/>
        <v>308</v>
      </c>
      <c r="AD310" s="35" t="str">
        <f t="shared" si="11"/>
        <v/>
      </c>
    </row>
    <row r="311" spans="29:30" x14ac:dyDescent="0.25">
      <c r="AC311" s="33">
        <f t="shared" si="10"/>
        <v>309</v>
      </c>
      <c r="AD311" s="35" t="str">
        <f t="shared" si="11"/>
        <v/>
      </c>
    </row>
    <row r="312" spans="29:30" x14ac:dyDescent="0.25">
      <c r="AC312" s="33">
        <f t="shared" si="10"/>
        <v>310</v>
      </c>
      <c r="AD312" s="35" t="str">
        <f t="shared" si="11"/>
        <v/>
      </c>
    </row>
    <row r="313" spans="29:30" x14ac:dyDescent="0.25">
      <c r="AC313" s="33">
        <f t="shared" si="10"/>
        <v>311</v>
      </c>
      <c r="AD313" s="35" t="str">
        <f t="shared" si="11"/>
        <v/>
      </c>
    </row>
    <row r="314" spans="29:30" x14ac:dyDescent="0.25">
      <c r="AC314" s="33">
        <f t="shared" si="10"/>
        <v>312</v>
      </c>
      <c r="AD314" s="35" t="str">
        <f t="shared" si="11"/>
        <v/>
      </c>
    </row>
    <row r="315" spans="29:30" x14ac:dyDescent="0.25">
      <c r="AC315" s="33">
        <f t="shared" ref="AC315:AC378" si="12">AC314+1</f>
        <v>313</v>
      </c>
      <c r="AD315" s="35" t="str">
        <f t="shared" si="11"/>
        <v/>
      </c>
    </row>
    <row r="316" spans="29:30" x14ac:dyDescent="0.25">
      <c r="AC316" s="33">
        <f t="shared" si="12"/>
        <v>314</v>
      </c>
      <c r="AD316" s="35" t="str">
        <f t="shared" si="11"/>
        <v/>
      </c>
    </row>
    <row r="317" spans="29:30" x14ac:dyDescent="0.25">
      <c r="AC317" s="33">
        <f t="shared" si="12"/>
        <v>315</v>
      </c>
      <c r="AD317" s="35" t="str">
        <f t="shared" si="11"/>
        <v/>
      </c>
    </row>
    <row r="318" spans="29:30" x14ac:dyDescent="0.25">
      <c r="AC318" s="33">
        <f t="shared" si="12"/>
        <v>316</v>
      </c>
      <c r="AD318" s="35" t="str">
        <f t="shared" si="11"/>
        <v/>
      </c>
    </row>
    <row r="319" spans="29:30" x14ac:dyDescent="0.25">
      <c r="AC319" s="33">
        <f t="shared" si="12"/>
        <v>317</v>
      </c>
      <c r="AD319" s="35" t="str">
        <f t="shared" si="11"/>
        <v/>
      </c>
    </row>
    <row r="320" spans="29:30" x14ac:dyDescent="0.25">
      <c r="AC320" s="33">
        <f t="shared" si="12"/>
        <v>318</v>
      </c>
      <c r="AD320" s="35" t="str">
        <f t="shared" si="11"/>
        <v/>
      </c>
    </row>
    <row r="321" spans="29:30" x14ac:dyDescent="0.25">
      <c r="AC321" s="33">
        <f t="shared" si="12"/>
        <v>319</v>
      </c>
      <c r="AD321" s="35" t="str">
        <f t="shared" si="11"/>
        <v/>
      </c>
    </row>
    <row r="322" spans="29:30" x14ac:dyDescent="0.25">
      <c r="AC322" s="33">
        <f t="shared" si="12"/>
        <v>320</v>
      </c>
      <c r="AD322" s="35" t="str">
        <f t="shared" si="11"/>
        <v/>
      </c>
    </row>
    <row r="323" spans="29:30" x14ac:dyDescent="0.25">
      <c r="AC323" s="33">
        <f t="shared" si="12"/>
        <v>321</v>
      </c>
      <c r="AD323" s="35" t="str">
        <f t="shared" si="11"/>
        <v/>
      </c>
    </row>
    <row r="324" spans="29:30" x14ac:dyDescent="0.25">
      <c r="AC324" s="33">
        <f t="shared" si="12"/>
        <v>322</v>
      </c>
      <c r="AD324" s="35" t="str">
        <f t="shared" si="11"/>
        <v/>
      </c>
    </row>
    <row r="325" spans="29:30" x14ac:dyDescent="0.25">
      <c r="AC325" s="33">
        <f t="shared" si="12"/>
        <v>323</v>
      </c>
      <c r="AD325" s="35" t="str">
        <f t="shared" si="11"/>
        <v/>
      </c>
    </row>
    <row r="326" spans="29:30" x14ac:dyDescent="0.25">
      <c r="AC326" s="33">
        <f t="shared" si="12"/>
        <v>324</v>
      </c>
      <c r="AD326" s="35" t="str">
        <f t="shared" si="11"/>
        <v/>
      </c>
    </row>
    <row r="327" spans="29:30" x14ac:dyDescent="0.25">
      <c r="AC327" s="33">
        <f t="shared" si="12"/>
        <v>325</v>
      </c>
      <c r="AD327" s="35" t="str">
        <f t="shared" si="11"/>
        <v/>
      </c>
    </row>
    <row r="328" spans="29:30" x14ac:dyDescent="0.25">
      <c r="AC328" s="33">
        <f t="shared" si="12"/>
        <v>326</v>
      </c>
      <c r="AD328" s="35" t="str">
        <f t="shared" ref="AD328:AD391" si="13">IF(AD327&gt;AD$2,"",EOMONTH(AD327,1))</f>
        <v/>
      </c>
    </row>
    <row r="329" spans="29:30" x14ac:dyDescent="0.25">
      <c r="AC329" s="33">
        <f t="shared" si="12"/>
        <v>327</v>
      </c>
      <c r="AD329" s="35" t="str">
        <f t="shared" si="13"/>
        <v/>
      </c>
    </row>
    <row r="330" spans="29:30" x14ac:dyDescent="0.25">
      <c r="AC330" s="33">
        <f t="shared" si="12"/>
        <v>328</v>
      </c>
      <c r="AD330" s="35" t="str">
        <f t="shared" si="13"/>
        <v/>
      </c>
    </row>
    <row r="331" spans="29:30" x14ac:dyDescent="0.25">
      <c r="AC331" s="33">
        <f t="shared" si="12"/>
        <v>329</v>
      </c>
      <c r="AD331" s="35" t="str">
        <f t="shared" si="13"/>
        <v/>
      </c>
    </row>
    <row r="332" spans="29:30" x14ac:dyDescent="0.25">
      <c r="AC332" s="33">
        <f t="shared" si="12"/>
        <v>330</v>
      </c>
      <c r="AD332" s="35" t="str">
        <f t="shared" si="13"/>
        <v/>
      </c>
    </row>
    <row r="333" spans="29:30" x14ac:dyDescent="0.25">
      <c r="AC333" s="33">
        <f t="shared" si="12"/>
        <v>331</v>
      </c>
      <c r="AD333" s="35" t="str">
        <f t="shared" si="13"/>
        <v/>
      </c>
    </row>
    <row r="334" spans="29:30" x14ac:dyDescent="0.25">
      <c r="AC334" s="33">
        <f t="shared" si="12"/>
        <v>332</v>
      </c>
      <c r="AD334" s="35" t="str">
        <f t="shared" si="13"/>
        <v/>
      </c>
    </row>
    <row r="335" spans="29:30" x14ac:dyDescent="0.25">
      <c r="AC335" s="33">
        <f t="shared" si="12"/>
        <v>333</v>
      </c>
      <c r="AD335" s="35" t="str">
        <f t="shared" si="13"/>
        <v/>
      </c>
    </row>
    <row r="336" spans="29:30" x14ac:dyDescent="0.25">
      <c r="AC336" s="33">
        <f t="shared" si="12"/>
        <v>334</v>
      </c>
      <c r="AD336" s="35" t="str">
        <f t="shared" si="13"/>
        <v/>
      </c>
    </row>
    <row r="337" spans="29:30" x14ac:dyDescent="0.25">
      <c r="AC337" s="33">
        <f t="shared" si="12"/>
        <v>335</v>
      </c>
      <c r="AD337" s="35" t="str">
        <f t="shared" si="13"/>
        <v/>
      </c>
    </row>
    <row r="338" spans="29:30" x14ac:dyDescent="0.25">
      <c r="AC338" s="33">
        <f t="shared" si="12"/>
        <v>336</v>
      </c>
      <c r="AD338" s="35" t="str">
        <f t="shared" si="13"/>
        <v/>
      </c>
    </row>
    <row r="339" spans="29:30" x14ac:dyDescent="0.25">
      <c r="AC339" s="33">
        <f t="shared" si="12"/>
        <v>337</v>
      </c>
      <c r="AD339" s="35" t="str">
        <f t="shared" si="13"/>
        <v/>
      </c>
    </row>
    <row r="340" spans="29:30" x14ac:dyDescent="0.25">
      <c r="AC340" s="33">
        <f t="shared" si="12"/>
        <v>338</v>
      </c>
      <c r="AD340" s="35" t="str">
        <f t="shared" si="13"/>
        <v/>
      </c>
    </row>
    <row r="341" spans="29:30" x14ac:dyDescent="0.25">
      <c r="AC341" s="33">
        <f t="shared" si="12"/>
        <v>339</v>
      </c>
      <c r="AD341" s="35" t="str">
        <f t="shared" si="13"/>
        <v/>
      </c>
    </row>
    <row r="342" spans="29:30" x14ac:dyDescent="0.25">
      <c r="AC342" s="33">
        <f t="shared" si="12"/>
        <v>340</v>
      </c>
      <c r="AD342" s="35" t="str">
        <f t="shared" si="13"/>
        <v/>
      </c>
    </row>
    <row r="343" spans="29:30" x14ac:dyDescent="0.25">
      <c r="AC343" s="33">
        <f t="shared" si="12"/>
        <v>341</v>
      </c>
      <c r="AD343" s="35" t="str">
        <f t="shared" si="13"/>
        <v/>
      </c>
    </row>
    <row r="344" spans="29:30" x14ac:dyDescent="0.25">
      <c r="AC344" s="33">
        <f t="shared" si="12"/>
        <v>342</v>
      </c>
      <c r="AD344" s="35" t="str">
        <f t="shared" si="13"/>
        <v/>
      </c>
    </row>
    <row r="345" spans="29:30" x14ac:dyDescent="0.25">
      <c r="AC345" s="33">
        <f t="shared" si="12"/>
        <v>343</v>
      </c>
      <c r="AD345" s="35" t="str">
        <f t="shared" si="13"/>
        <v/>
      </c>
    </row>
    <row r="346" spans="29:30" x14ac:dyDescent="0.25">
      <c r="AC346" s="33">
        <f t="shared" si="12"/>
        <v>344</v>
      </c>
      <c r="AD346" s="35" t="str">
        <f t="shared" si="13"/>
        <v/>
      </c>
    </row>
    <row r="347" spans="29:30" x14ac:dyDescent="0.25">
      <c r="AC347" s="33">
        <f t="shared" si="12"/>
        <v>345</v>
      </c>
      <c r="AD347" s="35" t="str">
        <f t="shared" si="13"/>
        <v/>
      </c>
    </row>
    <row r="348" spans="29:30" x14ac:dyDescent="0.25">
      <c r="AC348" s="33">
        <f t="shared" si="12"/>
        <v>346</v>
      </c>
      <c r="AD348" s="35" t="str">
        <f t="shared" si="13"/>
        <v/>
      </c>
    </row>
    <row r="349" spans="29:30" x14ac:dyDescent="0.25">
      <c r="AC349" s="33">
        <f t="shared" si="12"/>
        <v>347</v>
      </c>
      <c r="AD349" s="35" t="str">
        <f t="shared" si="13"/>
        <v/>
      </c>
    </row>
    <row r="350" spans="29:30" x14ac:dyDescent="0.25">
      <c r="AC350" s="33">
        <f t="shared" si="12"/>
        <v>348</v>
      </c>
      <c r="AD350" s="35" t="str">
        <f t="shared" si="13"/>
        <v/>
      </c>
    </row>
    <row r="351" spans="29:30" x14ac:dyDescent="0.25">
      <c r="AC351" s="33">
        <f t="shared" si="12"/>
        <v>349</v>
      </c>
      <c r="AD351" s="35" t="str">
        <f t="shared" si="13"/>
        <v/>
      </c>
    </row>
    <row r="352" spans="29:30" x14ac:dyDescent="0.25">
      <c r="AC352" s="33">
        <f t="shared" si="12"/>
        <v>350</v>
      </c>
      <c r="AD352" s="35" t="str">
        <f t="shared" si="13"/>
        <v/>
      </c>
    </row>
    <row r="353" spans="29:30" x14ac:dyDescent="0.25">
      <c r="AC353" s="33">
        <f t="shared" si="12"/>
        <v>351</v>
      </c>
      <c r="AD353" s="35" t="str">
        <f t="shared" si="13"/>
        <v/>
      </c>
    </row>
    <row r="354" spans="29:30" x14ac:dyDescent="0.25">
      <c r="AC354" s="33">
        <f t="shared" si="12"/>
        <v>352</v>
      </c>
      <c r="AD354" s="35" t="str">
        <f t="shared" si="13"/>
        <v/>
      </c>
    </row>
    <row r="355" spans="29:30" x14ac:dyDescent="0.25">
      <c r="AC355" s="33">
        <f t="shared" si="12"/>
        <v>353</v>
      </c>
      <c r="AD355" s="35" t="str">
        <f t="shared" si="13"/>
        <v/>
      </c>
    </row>
    <row r="356" spans="29:30" x14ac:dyDescent="0.25">
      <c r="AC356" s="33">
        <f t="shared" si="12"/>
        <v>354</v>
      </c>
      <c r="AD356" s="35" t="str">
        <f t="shared" si="13"/>
        <v/>
      </c>
    </row>
    <row r="357" spans="29:30" x14ac:dyDescent="0.25">
      <c r="AC357" s="33">
        <f t="shared" si="12"/>
        <v>355</v>
      </c>
      <c r="AD357" s="35" t="str">
        <f t="shared" si="13"/>
        <v/>
      </c>
    </row>
    <row r="358" spans="29:30" x14ac:dyDescent="0.25">
      <c r="AC358" s="33">
        <f t="shared" si="12"/>
        <v>356</v>
      </c>
      <c r="AD358" s="35" t="str">
        <f t="shared" si="13"/>
        <v/>
      </c>
    </row>
    <row r="359" spans="29:30" x14ac:dyDescent="0.25">
      <c r="AC359" s="33">
        <f t="shared" si="12"/>
        <v>357</v>
      </c>
      <c r="AD359" s="35" t="str">
        <f t="shared" si="13"/>
        <v/>
      </c>
    </row>
    <row r="360" spans="29:30" x14ac:dyDescent="0.25">
      <c r="AC360" s="33">
        <f t="shared" si="12"/>
        <v>358</v>
      </c>
      <c r="AD360" s="35" t="str">
        <f t="shared" si="13"/>
        <v/>
      </c>
    </row>
    <row r="361" spans="29:30" x14ac:dyDescent="0.25">
      <c r="AC361" s="33">
        <f t="shared" si="12"/>
        <v>359</v>
      </c>
      <c r="AD361" s="35" t="str">
        <f t="shared" si="13"/>
        <v/>
      </c>
    </row>
    <row r="362" spans="29:30" x14ac:dyDescent="0.25">
      <c r="AC362" s="33">
        <f t="shared" si="12"/>
        <v>360</v>
      </c>
      <c r="AD362" s="35" t="str">
        <f t="shared" si="13"/>
        <v/>
      </c>
    </row>
    <row r="363" spans="29:30" x14ac:dyDescent="0.25">
      <c r="AC363" s="33">
        <f t="shared" si="12"/>
        <v>361</v>
      </c>
      <c r="AD363" s="35" t="str">
        <f t="shared" si="13"/>
        <v/>
      </c>
    </row>
    <row r="364" spans="29:30" x14ac:dyDescent="0.25">
      <c r="AC364" s="33">
        <f t="shared" si="12"/>
        <v>362</v>
      </c>
      <c r="AD364" s="35" t="str">
        <f t="shared" si="13"/>
        <v/>
      </c>
    </row>
    <row r="365" spans="29:30" x14ac:dyDescent="0.25">
      <c r="AC365" s="33">
        <f t="shared" si="12"/>
        <v>363</v>
      </c>
      <c r="AD365" s="35" t="str">
        <f t="shared" si="13"/>
        <v/>
      </c>
    </row>
    <row r="366" spans="29:30" x14ac:dyDescent="0.25">
      <c r="AC366" s="33">
        <f t="shared" si="12"/>
        <v>364</v>
      </c>
      <c r="AD366" s="35" t="str">
        <f t="shared" si="13"/>
        <v/>
      </c>
    </row>
    <row r="367" spans="29:30" x14ac:dyDescent="0.25">
      <c r="AC367" s="33">
        <f t="shared" si="12"/>
        <v>365</v>
      </c>
      <c r="AD367" s="35" t="str">
        <f t="shared" si="13"/>
        <v/>
      </c>
    </row>
    <row r="368" spans="29:30" x14ac:dyDescent="0.25">
      <c r="AC368" s="33">
        <f t="shared" si="12"/>
        <v>366</v>
      </c>
      <c r="AD368" s="35" t="str">
        <f t="shared" si="13"/>
        <v/>
      </c>
    </row>
    <row r="369" spans="29:30" x14ac:dyDescent="0.25">
      <c r="AC369" s="33">
        <f t="shared" si="12"/>
        <v>367</v>
      </c>
      <c r="AD369" s="35" t="str">
        <f t="shared" si="13"/>
        <v/>
      </c>
    </row>
    <row r="370" spans="29:30" x14ac:dyDescent="0.25">
      <c r="AC370" s="33">
        <f t="shared" si="12"/>
        <v>368</v>
      </c>
      <c r="AD370" s="35" t="str">
        <f t="shared" si="13"/>
        <v/>
      </c>
    </row>
    <row r="371" spans="29:30" x14ac:dyDescent="0.25">
      <c r="AC371" s="33">
        <f t="shared" si="12"/>
        <v>369</v>
      </c>
      <c r="AD371" s="35" t="str">
        <f t="shared" si="13"/>
        <v/>
      </c>
    </row>
    <row r="372" spans="29:30" x14ac:dyDescent="0.25">
      <c r="AC372" s="33">
        <f t="shared" si="12"/>
        <v>370</v>
      </c>
      <c r="AD372" s="35" t="str">
        <f t="shared" si="13"/>
        <v/>
      </c>
    </row>
    <row r="373" spans="29:30" x14ac:dyDescent="0.25">
      <c r="AC373" s="33">
        <f t="shared" si="12"/>
        <v>371</v>
      </c>
      <c r="AD373" s="35" t="str">
        <f t="shared" si="13"/>
        <v/>
      </c>
    </row>
    <row r="374" spans="29:30" x14ac:dyDescent="0.25">
      <c r="AC374" s="33">
        <f t="shared" si="12"/>
        <v>372</v>
      </c>
      <c r="AD374" s="35" t="str">
        <f t="shared" si="13"/>
        <v/>
      </c>
    </row>
    <row r="375" spans="29:30" x14ac:dyDescent="0.25">
      <c r="AC375" s="33">
        <f t="shared" si="12"/>
        <v>373</v>
      </c>
      <c r="AD375" s="35" t="str">
        <f t="shared" si="13"/>
        <v/>
      </c>
    </row>
    <row r="376" spans="29:30" x14ac:dyDescent="0.25">
      <c r="AC376" s="33">
        <f t="shared" si="12"/>
        <v>374</v>
      </c>
      <c r="AD376" s="35" t="str">
        <f t="shared" si="13"/>
        <v/>
      </c>
    </row>
    <row r="377" spans="29:30" x14ac:dyDescent="0.25">
      <c r="AC377" s="33">
        <f t="shared" si="12"/>
        <v>375</v>
      </c>
      <c r="AD377" s="35" t="str">
        <f t="shared" si="13"/>
        <v/>
      </c>
    </row>
    <row r="378" spans="29:30" x14ac:dyDescent="0.25">
      <c r="AC378" s="33">
        <f t="shared" si="12"/>
        <v>376</v>
      </c>
      <c r="AD378" s="35" t="str">
        <f t="shared" si="13"/>
        <v/>
      </c>
    </row>
    <row r="379" spans="29:30" x14ac:dyDescent="0.25">
      <c r="AC379" s="33">
        <f t="shared" ref="AC379:AC442" si="14">AC378+1</f>
        <v>377</v>
      </c>
      <c r="AD379" s="35" t="str">
        <f t="shared" si="13"/>
        <v/>
      </c>
    </row>
    <row r="380" spans="29:30" x14ac:dyDescent="0.25">
      <c r="AC380" s="33">
        <f t="shared" si="14"/>
        <v>378</v>
      </c>
      <c r="AD380" s="35" t="str">
        <f t="shared" si="13"/>
        <v/>
      </c>
    </row>
    <row r="381" spans="29:30" x14ac:dyDescent="0.25">
      <c r="AC381" s="33">
        <f t="shared" si="14"/>
        <v>379</v>
      </c>
      <c r="AD381" s="35" t="str">
        <f t="shared" si="13"/>
        <v/>
      </c>
    </row>
    <row r="382" spans="29:30" x14ac:dyDescent="0.25">
      <c r="AC382" s="33">
        <f t="shared" si="14"/>
        <v>380</v>
      </c>
      <c r="AD382" s="35" t="str">
        <f t="shared" si="13"/>
        <v/>
      </c>
    </row>
    <row r="383" spans="29:30" x14ac:dyDescent="0.25">
      <c r="AC383" s="33">
        <f t="shared" si="14"/>
        <v>381</v>
      </c>
      <c r="AD383" s="35" t="str">
        <f t="shared" si="13"/>
        <v/>
      </c>
    </row>
    <row r="384" spans="29:30" x14ac:dyDescent="0.25">
      <c r="AC384" s="33">
        <f t="shared" si="14"/>
        <v>382</v>
      </c>
      <c r="AD384" s="35" t="str">
        <f t="shared" si="13"/>
        <v/>
      </c>
    </row>
    <row r="385" spans="29:30" x14ac:dyDescent="0.25">
      <c r="AC385" s="33">
        <f t="shared" si="14"/>
        <v>383</v>
      </c>
      <c r="AD385" s="35" t="str">
        <f t="shared" si="13"/>
        <v/>
      </c>
    </row>
    <row r="386" spans="29:30" x14ac:dyDescent="0.25">
      <c r="AC386" s="33">
        <f t="shared" si="14"/>
        <v>384</v>
      </c>
      <c r="AD386" s="35" t="str">
        <f t="shared" si="13"/>
        <v/>
      </c>
    </row>
    <row r="387" spans="29:30" x14ac:dyDescent="0.25">
      <c r="AC387" s="33">
        <f t="shared" si="14"/>
        <v>385</v>
      </c>
      <c r="AD387" s="35" t="str">
        <f t="shared" si="13"/>
        <v/>
      </c>
    </row>
    <row r="388" spans="29:30" x14ac:dyDescent="0.25">
      <c r="AC388" s="33">
        <f t="shared" si="14"/>
        <v>386</v>
      </c>
      <c r="AD388" s="35" t="str">
        <f t="shared" si="13"/>
        <v/>
      </c>
    </row>
    <row r="389" spans="29:30" x14ac:dyDescent="0.25">
      <c r="AC389" s="33">
        <f t="shared" si="14"/>
        <v>387</v>
      </c>
      <c r="AD389" s="35" t="str">
        <f t="shared" si="13"/>
        <v/>
      </c>
    </row>
    <row r="390" spans="29:30" x14ac:dyDescent="0.25">
      <c r="AC390" s="33">
        <f t="shared" si="14"/>
        <v>388</v>
      </c>
      <c r="AD390" s="35" t="str">
        <f t="shared" si="13"/>
        <v/>
      </c>
    </row>
    <row r="391" spans="29:30" x14ac:dyDescent="0.25">
      <c r="AC391" s="33">
        <f t="shared" si="14"/>
        <v>389</v>
      </c>
      <c r="AD391" s="35" t="str">
        <f t="shared" si="13"/>
        <v/>
      </c>
    </row>
    <row r="392" spans="29:30" x14ac:dyDescent="0.25">
      <c r="AC392" s="33">
        <f t="shared" si="14"/>
        <v>390</v>
      </c>
      <c r="AD392" s="35" t="str">
        <f t="shared" ref="AD392:AD455" si="15">IF(AD391&gt;AD$2,"",EOMONTH(AD391,1))</f>
        <v/>
      </c>
    </row>
    <row r="393" spans="29:30" x14ac:dyDescent="0.25">
      <c r="AC393" s="33">
        <f t="shared" si="14"/>
        <v>391</v>
      </c>
      <c r="AD393" s="35" t="str">
        <f t="shared" si="15"/>
        <v/>
      </c>
    </row>
    <row r="394" spans="29:30" x14ac:dyDescent="0.25">
      <c r="AC394" s="33">
        <f t="shared" si="14"/>
        <v>392</v>
      </c>
      <c r="AD394" s="35" t="str">
        <f t="shared" si="15"/>
        <v/>
      </c>
    </row>
    <row r="395" spans="29:30" x14ac:dyDescent="0.25">
      <c r="AC395" s="33">
        <f t="shared" si="14"/>
        <v>393</v>
      </c>
      <c r="AD395" s="35" t="str">
        <f t="shared" si="15"/>
        <v/>
      </c>
    </row>
    <row r="396" spans="29:30" x14ac:dyDescent="0.25">
      <c r="AC396" s="33">
        <f t="shared" si="14"/>
        <v>394</v>
      </c>
      <c r="AD396" s="35" t="str">
        <f t="shared" si="15"/>
        <v/>
      </c>
    </row>
    <row r="397" spans="29:30" x14ac:dyDescent="0.25">
      <c r="AC397" s="33">
        <f t="shared" si="14"/>
        <v>395</v>
      </c>
      <c r="AD397" s="35" t="str">
        <f t="shared" si="15"/>
        <v/>
      </c>
    </row>
    <row r="398" spans="29:30" x14ac:dyDescent="0.25">
      <c r="AC398" s="33">
        <f t="shared" si="14"/>
        <v>396</v>
      </c>
      <c r="AD398" s="35" t="str">
        <f t="shared" si="15"/>
        <v/>
      </c>
    </row>
    <row r="399" spans="29:30" x14ac:dyDescent="0.25">
      <c r="AC399" s="33">
        <f t="shared" si="14"/>
        <v>397</v>
      </c>
      <c r="AD399" s="35" t="str">
        <f t="shared" si="15"/>
        <v/>
      </c>
    </row>
    <row r="400" spans="29:30" x14ac:dyDescent="0.25">
      <c r="AC400" s="33">
        <f t="shared" si="14"/>
        <v>398</v>
      </c>
      <c r="AD400" s="35" t="str">
        <f t="shared" si="15"/>
        <v/>
      </c>
    </row>
    <row r="401" spans="29:30" x14ac:dyDescent="0.25">
      <c r="AC401" s="33">
        <f t="shared" si="14"/>
        <v>399</v>
      </c>
      <c r="AD401" s="35" t="str">
        <f t="shared" si="15"/>
        <v/>
      </c>
    </row>
    <row r="402" spans="29:30" x14ac:dyDescent="0.25">
      <c r="AC402" s="33">
        <f t="shared" si="14"/>
        <v>400</v>
      </c>
      <c r="AD402" s="35" t="str">
        <f t="shared" si="15"/>
        <v/>
      </c>
    </row>
    <row r="403" spans="29:30" x14ac:dyDescent="0.25">
      <c r="AC403" s="33">
        <f t="shared" si="14"/>
        <v>401</v>
      </c>
      <c r="AD403" s="35" t="str">
        <f t="shared" si="15"/>
        <v/>
      </c>
    </row>
    <row r="404" spans="29:30" x14ac:dyDescent="0.25">
      <c r="AC404" s="33">
        <f t="shared" si="14"/>
        <v>402</v>
      </c>
      <c r="AD404" s="35" t="str">
        <f t="shared" si="15"/>
        <v/>
      </c>
    </row>
    <row r="405" spans="29:30" x14ac:dyDescent="0.25">
      <c r="AC405" s="33">
        <f t="shared" si="14"/>
        <v>403</v>
      </c>
      <c r="AD405" s="35" t="str">
        <f t="shared" si="15"/>
        <v/>
      </c>
    </row>
    <row r="406" spans="29:30" x14ac:dyDescent="0.25">
      <c r="AC406" s="33">
        <f t="shared" si="14"/>
        <v>404</v>
      </c>
      <c r="AD406" s="35" t="str">
        <f t="shared" si="15"/>
        <v/>
      </c>
    </row>
    <row r="407" spans="29:30" x14ac:dyDescent="0.25">
      <c r="AC407" s="33">
        <f t="shared" si="14"/>
        <v>405</v>
      </c>
      <c r="AD407" s="35" t="str">
        <f t="shared" si="15"/>
        <v/>
      </c>
    </row>
    <row r="408" spans="29:30" x14ac:dyDescent="0.25">
      <c r="AC408" s="33">
        <f t="shared" si="14"/>
        <v>406</v>
      </c>
      <c r="AD408" s="35" t="str">
        <f t="shared" si="15"/>
        <v/>
      </c>
    </row>
    <row r="409" spans="29:30" x14ac:dyDescent="0.25">
      <c r="AC409" s="33">
        <f t="shared" si="14"/>
        <v>407</v>
      </c>
      <c r="AD409" s="35" t="str">
        <f t="shared" si="15"/>
        <v/>
      </c>
    </row>
    <row r="410" spans="29:30" x14ac:dyDescent="0.25">
      <c r="AC410" s="33">
        <f t="shared" si="14"/>
        <v>408</v>
      </c>
      <c r="AD410" s="35" t="str">
        <f t="shared" si="15"/>
        <v/>
      </c>
    </row>
    <row r="411" spans="29:30" x14ac:dyDescent="0.25">
      <c r="AC411" s="33">
        <f t="shared" si="14"/>
        <v>409</v>
      </c>
      <c r="AD411" s="35" t="str">
        <f t="shared" si="15"/>
        <v/>
      </c>
    </row>
    <row r="412" spans="29:30" x14ac:dyDescent="0.25">
      <c r="AC412" s="33">
        <f t="shared" si="14"/>
        <v>410</v>
      </c>
      <c r="AD412" s="35" t="str">
        <f t="shared" si="15"/>
        <v/>
      </c>
    </row>
    <row r="413" spans="29:30" x14ac:dyDescent="0.25">
      <c r="AC413" s="33">
        <f t="shared" si="14"/>
        <v>411</v>
      </c>
      <c r="AD413" s="35" t="str">
        <f t="shared" si="15"/>
        <v/>
      </c>
    </row>
    <row r="414" spans="29:30" x14ac:dyDescent="0.25">
      <c r="AC414" s="33">
        <f t="shared" si="14"/>
        <v>412</v>
      </c>
      <c r="AD414" s="35" t="str">
        <f t="shared" si="15"/>
        <v/>
      </c>
    </row>
    <row r="415" spans="29:30" x14ac:dyDescent="0.25">
      <c r="AC415" s="33">
        <f t="shared" si="14"/>
        <v>413</v>
      </c>
      <c r="AD415" s="35" t="str">
        <f t="shared" si="15"/>
        <v/>
      </c>
    </row>
    <row r="416" spans="29:30" x14ac:dyDescent="0.25">
      <c r="AC416" s="33">
        <f t="shared" si="14"/>
        <v>414</v>
      </c>
      <c r="AD416" s="35" t="str">
        <f t="shared" si="15"/>
        <v/>
      </c>
    </row>
    <row r="417" spans="29:30" x14ac:dyDescent="0.25">
      <c r="AC417" s="33">
        <f t="shared" si="14"/>
        <v>415</v>
      </c>
      <c r="AD417" s="35" t="str">
        <f t="shared" si="15"/>
        <v/>
      </c>
    </row>
    <row r="418" spans="29:30" x14ac:dyDescent="0.25">
      <c r="AC418" s="33">
        <f t="shared" si="14"/>
        <v>416</v>
      </c>
      <c r="AD418" s="35" t="str">
        <f t="shared" si="15"/>
        <v/>
      </c>
    </row>
    <row r="419" spans="29:30" x14ac:dyDescent="0.25">
      <c r="AC419" s="33">
        <f t="shared" si="14"/>
        <v>417</v>
      </c>
      <c r="AD419" s="35" t="str">
        <f t="shared" si="15"/>
        <v/>
      </c>
    </row>
    <row r="420" spans="29:30" x14ac:dyDescent="0.25">
      <c r="AC420" s="33">
        <f t="shared" si="14"/>
        <v>418</v>
      </c>
      <c r="AD420" s="35" t="str">
        <f t="shared" si="15"/>
        <v/>
      </c>
    </row>
    <row r="421" spans="29:30" x14ac:dyDescent="0.25">
      <c r="AC421" s="33">
        <f t="shared" si="14"/>
        <v>419</v>
      </c>
      <c r="AD421" s="35" t="str">
        <f t="shared" si="15"/>
        <v/>
      </c>
    </row>
    <row r="422" spans="29:30" x14ac:dyDescent="0.25">
      <c r="AC422" s="33">
        <f t="shared" si="14"/>
        <v>420</v>
      </c>
      <c r="AD422" s="35" t="str">
        <f t="shared" si="15"/>
        <v/>
      </c>
    </row>
    <row r="423" spans="29:30" x14ac:dyDescent="0.25">
      <c r="AC423" s="33">
        <f t="shared" si="14"/>
        <v>421</v>
      </c>
      <c r="AD423" s="35" t="str">
        <f t="shared" si="15"/>
        <v/>
      </c>
    </row>
    <row r="424" spans="29:30" x14ac:dyDescent="0.25">
      <c r="AC424" s="33">
        <f t="shared" si="14"/>
        <v>422</v>
      </c>
      <c r="AD424" s="35" t="str">
        <f t="shared" si="15"/>
        <v/>
      </c>
    </row>
    <row r="425" spans="29:30" x14ac:dyDescent="0.25">
      <c r="AC425" s="33">
        <f t="shared" si="14"/>
        <v>423</v>
      </c>
      <c r="AD425" s="35" t="str">
        <f t="shared" si="15"/>
        <v/>
      </c>
    </row>
    <row r="426" spans="29:30" x14ac:dyDescent="0.25">
      <c r="AC426" s="33">
        <f t="shared" si="14"/>
        <v>424</v>
      </c>
      <c r="AD426" s="35" t="str">
        <f t="shared" si="15"/>
        <v/>
      </c>
    </row>
    <row r="427" spans="29:30" x14ac:dyDescent="0.25">
      <c r="AC427" s="33">
        <f t="shared" si="14"/>
        <v>425</v>
      </c>
      <c r="AD427" s="35" t="str">
        <f t="shared" si="15"/>
        <v/>
      </c>
    </row>
    <row r="428" spans="29:30" x14ac:dyDescent="0.25">
      <c r="AC428" s="33">
        <f t="shared" si="14"/>
        <v>426</v>
      </c>
      <c r="AD428" s="35" t="str">
        <f t="shared" si="15"/>
        <v/>
      </c>
    </row>
    <row r="429" spans="29:30" x14ac:dyDescent="0.25">
      <c r="AC429" s="33">
        <f t="shared" si="14"/>
        <v>427</v>
      </c>
      <c r="AD429" s="35" t="str">
        <f t="shared" si="15"/>
        <v/>
      </c>
    </row>
    <row r="430" spans="29:30" x14ac:dyDescent="0.25">
      <c r="AC430" s="33">
        <f t="shared" si="14"/>
        <v>428</v>
      </c>
      <c r="AD430" s="35" t="str">
        <f t="shared" si="15"/>
        <v/>
      </c>
    </row>
    <row r="431" spans="29:30" x14ac:dyDescent="0.25">
      <c r="AC431" s="33">
        <f t="shared" si="14"/>
        <v>429</v>
      </c>
      <c r="AD431" s="35" t="str">
        <f t="shared" si="15"/>
        <v/>
      </c>
    </row>
    <row r="432" spans="29:30" x14ac:dyDescent="0.25">
      <c r="AC432" s="33">
        <f t="shared" si="14"/>
        <v>430</v>
      </c>
      <c r="AD432" s="35" t="str">
        <f t="shared" si="15"/>
        <v/>
      </c>
    </row>
    <row r="433" spans="29:30" x14ac:dyDescent="0.25">
      <c r="AC433" s="33">
        <f t="shared" si="14"/>
        <v>431</v>
      </c>
      <c r="AD433" s="35" t="str">
        <f t="shared" si="15"/>
        <v/>
      </c>
    </row>
    <row r="434" spans="29:30" x14ac:dyDescent="0.25">
      <c r="AC434" s="33">
        <f t="shared" si="14"/>
        <v>432</v>
      </c>
      <c r="AD434" s="35" t="str">
        <f t="shared" si="15"/>
        <v/>
      </c>
    </row>
    <row r="435" spans="29:30" x14ac:dyDescent="0.25">
      <c r="AC435" s="33">
        <f t="shared" si="14"/>
        <v>433</v>
      </c>
      <c r="AD435" s="35" t="str">
        <f t="shared" si="15"/>
        <v/>
      </c>
    </row>
    <row r="436" spans="29:30" x14ac:dyDescent="0.25">
      <c r="AC436" s="33">
        <f t="shared" si="14"/>
        <v>434</v>
      </c>
      <c r="AD436" s="35" t="str">
        <f t="shared" si="15"/>
        <v/>
      </c>
    </row>
    <row r="437" spans="29:30" x14ac:dyDescent="0.25">
      <c r="AC437" s="33">
        <f t="shared" si="14"/>
        <v>435</v>
      </c>
      <c r="AD437" s="35" t="str">
        <f t="shared" si="15"/>
        <v/>
      </c>
    </row>
    <row r="438" spans="29:30" x14ac:dyDescent="0.25">
      <c r="AC438" s="33">
        <f t="shared" si="14"/>
        <v>436</v>
      </c>
      <c r="AD438" s="35" t="str">
        <f t="shared" si="15"/>
        <v/>
      </c>
    </row>
    <row r="439" spans="29:30" x14ac:dyDescent="0.25">
      <c r="AC439" s="33">
        <f t="shared" si="14"/>
        <v>437</v>
      </c>
      <c r="AD439" s="35" t="str">
        <f t="shared" si="15"/>
        <v/>
      </c>
    </row>
    <row r="440" spans="29:30" x14ac:dyDescent="0.25">
      <c r="AC440" s="33">
        <f t="shared" si="14"/>
        <v>438</v>
      </c>
      <c r="AD440" s="35" t="str">
        <f t="shared" si="15"/>
        <v/>
      </c>
    </row>
    <row r="441" spans="29:30" x14ac:dyDescent="0.25">
      <c r="AC441" s="33">
        <f t="shared" si="14"/>
        <v>439</v>
      </c>
      <c r="AD441" s="35" t="str">
        <f t="shared" si="15"/>
        <v/>
      </c>
    </row>
    <row r="442" spans="29:30" x14ac:dyDescent="0.25">
      <c r="AC442" s="33">
        <f t="shared" si="14"/>
        <v>440</v>
      </c>
      <c r="AD442" s="35" t="str">
        <f t="shared" si="15"/>
        <v/>
      </c>
    </row>
    <row r="443" spans="29:30" x14ac:dyDescent="0.25">
      <c r="AC443" s="33">
        <f t="shared" ref="AC443:AC506" si="16">AC442+1</f>
        <v>441</v>
      </c>
      <c r="AD443" s="35" t="str">
        <f t="shared" si="15"/>
        <v/>
      </c>
    </row>
    <row r="444" spans="29:30" x14ac:dyDescent="0.25">
      <c r="AC444" s="33">
        <f t="shared" si="16"/>
        <v>442</v>
      </c>
      <c r="AD444" s="35" t="str">
        <f t="shared" si="15"/>
        <v/>
      </c>
    </row>
    <row r="445" spans="29:30" x14ac:dyDescent="0.25">
      <c r="AC445" s="33">
        <f t="shared" si="16"/>
        <v>443</v>
      </c>
      <c r="AD445" s="35" t="str">
        <f t="shared" si="15"/>
        <v/>
      </c>
    </row>
    <row r="446" spans="29:30" x14ac:dyDescent="0.25">
      <c r="AC446" s="33">
        <f t="shared" si="16"/>
        <v>444</v>
      </c>
      <c r="AD446" s="35" t="str">
        <f t="shared" si="15"/>
        <v/>
      </c>
    </row>
    <row r="447" spans="29:30" x14ac:dyDescent="0.25">
      <c r="AC447" s="33">
        <f t="shared" si="16"/>
        <v>445</v>
      </c>
      <c r="AD447" s="35" t="str">
        <f t="shared" si="15"/>
        <v/>
      </c>
    </row>
    <row r="448" spans="29:30" x14ac:dyDescent="0.25">
      <c r="AC448" s="33">
        <f t="shared" si="16"/>
        <v>446</v>
      </c>
      <c r="AD448" s="35" t="str">
        <f t="shared" si="15"/>
        <v/>
      </c>
    </row>
    <row r="449" spans="29:30" x14ac:dyDescent="0.25">
      <c r="AC449" s="33">
        <f t="shared" si="16"/>
        <v>447</v>
      </c>
      <c r="AD449" s="35" t="str">
        <f t="shared" si="15"/>
        <v/>
      </c>
    </row>
    <row r="450" spans="29:30" x14ac:dyDescent="0.25">
      <c r="AC450" s="33">
        <f t="shared" si="16"/>
        <v>448</v>
      </c>
      <c r="AD450" s="35" t="str">
        <f t="shared" si="15"/>
        <v/>
      </c>
    </row>
    <row r="451" spans="29:30" x14ac:dyDescent="0.25">
      <c r="AC451" s="33">
        <f t="shared" si="16"/>
        <v>449</v>
      </c>
      <c r="AD451" s="35" t="str">
        <f t="shared" si="15"/>
        <v/>
      </c>
    </row>
    <row r="452" spans="29:30" x14ac:dyDescent="0.25">
      <c r="AC452" s="33">
        <f t="shared" si="16"/>
        <v>450</v>
      </c>
      <c r="AD452" s="35" t="str">
        <f t="shared" si="15"/>
        <v/>
      </c>
    </row>
    <row r="453" spans="29:30" x14ac:dyDescent="0.25">
      <c r="AC453" s="33">
        <f t="shared" si="16"/>
        <v>451</v>
      </c>
      <c r="AD453" s="35" t="str">
        <f t="shared" si="15"/>
        <v/>
      </c>
    </row>
    <row r="454" spans="29:30" x14ac:dyDescent="0.25">
      <c r="AC454" s="33">
        <f t="shared" si="16"/>
        <v>452</v>
      </c>
      <c r="AD454" s="35" t="str">
        <f t="shared" si="15"/>
        <v/>
      </c>
    </row>
    <row r="455" spans="29:30" x14ac:dyDescent="0.25">
      <c r="AC455" s="33">
        <f t="shared" si="16"/>
        <v>453</v>
      </c>
      <c r="AD455" s="35" t="str">
        <f t="shared" si="15"/>
        <v/>
      </c>
    </row>
    <row r="456" spans="29:30" x14ac:dyDescent="0.25">
      <c r="AC456" s="33">
        <f t="shared" si="16"/>
        <v>454</v>
      </c>
      <c r="AD456" s="35" t="str">
        <f t="shared" ref="AD456:AD519" si="17">IF(AD455&gt;AD$2,"",EOMONTH(AD455,1))</f>
        <v/>
      </c>
    </row>
    <row r="457" spans="29:30" x14ac:dyDescent="0.25">
      <c r="AC457" s="33">
        <f t="shared" si="16"/>
        <v>455</v>
      </c>
      <c r="AD457" s="35" t="str">
        <f t="shared" si="17"/>
        <v/>
      </c>
    </row>
    <row r="458" spans="29:30" x14ac:dyDescent="0.25">
      <c r="AC458" s="33">
        <f t="shared" si="16"/>
        <v>456</v>
      </c>
      <c r="AD458" s="35" t="str">
        <f t="shared" si="17"/>
        <v/>
      </c>
    </row>
    <row r="459" spans="29:30" x14ac:dyDescent="0.25">
      <c r="AC459" s="33">
        <f t="shared" si="16"/>
        <v>457</v>
      </c>
      <c r="AD459" s="35" t="str">
        <f t="shared" si="17"/>
        <v/>
      </c>
    </row>
    <row r="460" spans="29:30" x14ac:dyDescent="0.25">
      <c r="AC460" s="33">
        <f t="shared" si="16"/>
        <v>458</v>
      </c>
      <c r="AD460" s="35" t="str">
        <f t="shared" si="17"/>
        <v/>
      </c>
    </row>
    <row r="461" spans="29:30" x14ac:dyDescent="0.25">
      <c r="AC461" s="33">
        <f t="shared" si="16"/>
        <v>459</v>
      </c>
      <c r="AD461" s="35" t="str">
        <f t="shared" si="17"/>
        <v/>
      </c>
    </row>
    <row r="462" spans="29:30" x14ac:dyDescent="0.25">
      <c r="AC462" s="33">
        <f t="shared" si="16"/>
        <v>460</v>
      </c>
      <c r="AD462" s="35" t="str">
        <f t="shared" si="17"/>
        <v/>
      </c>
    </row>
    <row r="463" spans="29:30" x14ac:dyDescent="0.25">
      <c r="AC463" s="33">
        <f t="shared" si="16"/>
        <v>461</v>
      </c>
      <c r="AD463" s="35" t="str">
        <f t="shared" si="17"/>
        <v/>
      </c>
    </row>
    <row r="464" spans="29:30" x14ac:dyDescent="0.25">
      <c r="AC464" s="33">
        <f t="shared" si="16"/>
        <v>462</v>
      </c>
      <c r="AD464" s="35" t="str">
        <f t="shared" si="17"/>
        <v/>
      </c>
    </row>
    <row r="465" spans="29:30" x14ac:dyDescent="0.25">
      <c r="AC465" s="33">
        <f t="shared" si="16"/>
        <v>463</v>
      </c>
      <c r="AD465" s="35" t="str">
        <f t="shared" si="17"/>
        <v/>
      </c>
    </row>
    <row r="466" spans="29:30" x14ac:dyDescent="0.25">
      <c r="AC466" s="33">
        <f t="shared" si="16"/>
        <v>464</v>
      </c>
      <c r="AD466" s="35" t="str">
        <f t="shared" si="17"/>
        <v/>
      </c>
    </row>
    <row r="467" spans="29:30" x14ac:dyDescent="0.25">
      <c r="AC467" s="33">
        <f t="shared" si="16"/>
        <v>465</v>
      </c>
      <c r="AD467" s="35" t="str">
        <f t="shared" si="17"/>
        <v/>
      </c>
    </row>
    <row r="468" spans="29:30" x14ac:dyDescent="0.25">
      <c r="AC468" s="33">
        <f t="shared" si="16"/>
        <v>466</v>
      </c>
      <c r="AD468" s="35" t="str">
        <f t="shared" si="17"/>
        <v/>
      </c>
    </row>
    <row r="469" spans="29:30" x14ac:dyDescent="0.25">
      <c r="AC469" s="33">
        <f t="shared" si="16"/>
        <v>467</v>
      </c>
      <c r="AD469" s="35" t="str">
        <f t="shared" si="17"/>
        <v/>
      </c>
    </row>
    <row r="470" spans="29:30" x14ac:dyDescent="0.25">
      <c r="AC470" s="33">
        <f t="shared" si="16"/>
        <v>468</v>
      </c>
      <c r="AD470" s="35" t="str">
        <f t="shared" si="17"/>
        <v/>
      </c>
    </row>
    <row r="471" spans="29:30" x14ac:dyDescent="0.25">
      <c r="AC471" s="33">
        <f t="shared" si="16"/>
        <v>469</v>
      </c>
      <c r="AD471" s="35" t="str">
        <f t="shared" si="17"/>
        <v/>
      </c>
    </row>
    <row r="472" spans="29:30" x14ac:dyDescent="0.25">
      <c r="AC472" s="33">
        <f t="shared" si="16"/>
        <v>470</v>
      </c>
      <c r="AD472" s="35" t="str">
        <f t="shared" si="17"/>
        <v/>
      </c>
    </row>
    <row r="473" spans="29:30" x14ac:dyDescent="0.25">
      <c r="AC473" s="33">
        <f t="shared" si="16"/>
        <v>471</v>
      </c>
      <c r="AD473" s="35" t="str">
        <f t="shared" si="17"/>
        <v/>
      </c>
    </row>
    <row r="474" spans="29:30" x14ac:dyDescent="0.25">
      <c r="AC474" s="33">
        <f t="shared" si="16"/>
        <v>472</v>
      </c>
      <c r="AD474" s="35" t="str">
        <f t="shared" si="17"/>
        <v/>
      </c>
    </row>
    <row r="475" spans="29:30" x14ac:dyDescent="0.25">
      <c r="AC475" s="33">
        <f t="shared" si="16"/>
        <v>473</v>
      </c>
      <c r="AD475" s="35" t="str">
        <f t="shared" si="17"/>
        <v/>
      </c>
    </row>
    <row r="476" spans="29:30" x14ac:dyDescent="0.25">
      <c r="AC476" s="33">
        <f t="shared" si="16"/>
        <v>474</v>
      </c>
      <c r="AD476" s="35" t="str">
        <f t="shared" si="17"/>
        <v/>
      </c>
    </row>
    <row r="477" spans="29:30" x14ac:dyDescent="0.25">
      <c r="AC477" s="33">
        <f t="shared" si="16"/>
        <v>475</v>
      </c>
      <c r="AD477" s="35" t="str">
        <f t="shared" si="17"/>
        <v/>
      </c>
    </row>
    <row r="478" spans="29:30" x14ac:dyDescent="0.25">
      <c r="AC478" s="33">
        <f t="shared" si="16"/>
        <v>476</v>
      </c>
      <c r="AD478" s="35" t="str">
        <f t="shared" si="17"/>
        <v/>
      </c>
    </row>
    <row r="479" spans="29:30" x14ac:dyDescent="0.25">
      <c r="AC479" s="33">
        <f t="shared" si="16"/>
        <v>477</v>
      </c>
      <c r="AD479" s="35" t="str">
        <f t="shared" si="17"/>
        <v/>
      </c>
    </row>
    <row r="480" spans="29:30" x14ac:dyDescent="0.25">
      <c r="AC480" s="33">
        <f t="shared" si="16"/>
        <v>478</v>
      </c>
      <c r="AD480" s="35" t="str">
        <f t="shared" si="17"/>
        <v/>
      </c>
    </row>
    <row r="481" spans="29:30" x14ac:dyDescent="0.25">
      <c r="AC481" s="33">
        <f t="shared" si="16"/>
        <v>479</v>
      </c>
      <c r="AD481" s="35" t="str">
        <f t="shared" si="17"/>
        <v/>
      </c>
    </row>
    <row r="482" spans="29:30" x14ac:dyDescent="0.25">
      <c r="AC482" s="33">
        <f t="shared" si="16"/>
        <v>480</v>
      </c>
      <c r="AD482" s="35" t="str">
        <f t="shared" si="17"/>
        <v/>
      </c>
    </row>
    <row r="483" spans="29:30" x14ac:dyDescent="0.25">
      <c r="AC483" s="33">
        <f t="shared" si="16"/>
        <v>481</v>
      </c>
      <c r="AD483" s="35" t="str">
        <f t="shared" si="17"/>
        <v/>
      </c>
    </row>
    <row r="484" spans="29:30" x14ac:dyDescent="0.25">
      <c r="AC484" s="33">
        <f t="shared" si="16"/>
        <v>482</v>
      </c>
      <c r="AD484" s="35" t="str">
        <f t="shared" si="17"/>
        <v/>
      </c>
    </row>
    <row r="485" spans="29:30" x14ac:dyDescent="0.25">
      <c r="AC485" s="33">
        <f t="shared" si="16"/>
        <v>483</v>
      </c>
      <c r="AD485" s="35" t="str">
        <f t="shared" si="17"/>
        <v/>
      </c>
    </row>
    <row r="486" spans="29:30" x14ac:dyDescent="0.25">
      <c r="AC486" s="33">
        <f t="shared" si="16"/>
        <v>484</v>
      </c>
      <c r="AD486" s="35" t="str">
        <f t="shared" si="17"/>
        <v/>
      </c>
    </row>
    <row r="487" spans="29:30" x14ac:dyDescent="0.25">
      <c r="AC487" s="33">
        <f t="shared" si="16"/>
        <v>485</v>
      </c>
      <c r="AD487" s="35" t="str">
        <f t="shared" si="17"/>
        <v/>
      </c>
    </row>
    <row r="488" spans="29:30" x14ac:dyDescent="0.25">
      <c r="AC488" s="33">
        <f t="shared" si="16"/>
        <v>486</v>
      </c>
      <c r="AD488" s="35" t="str">
        <f t="shared" si="17"/>
        <v/>
      </c>
    </row>
    <row r="489" spans="29:30" x14ac:dyDescent="0.25">
      <c r="AC489" s="33">
        <f t="shared" si="16"/>
        <v>487</v>
      </c>
      <c r="AD489" s="35" t="str">
        <f t="shared" si="17"/>
        <v/>
      </c>
    </row>
    <row r="490" spans="29:30" x14ac:dyDescent="0.25">
      <c r="AC490" s="33">
        <f t="shared" si="16"/>
        <v>488</v>
      </c>
      <c r="AD490" s="35" t="str">
        <f t="shared" si="17"/>
        <v/>
      </c>
    </row>
    <row r="491" spans="29:30" x14ac:dyDescent="0.25">
      <c r="AC491" s="33">
        <f t="shared" si="16"/>
        <v>489</v>
      </c>
      <c r="AD491" s="35" t="str">
        <f t="shared" si="17"/>
        <v/>
      </c>
    </row>
    <row r="492" spans="29:30" x14ac:dyDescent="0.25">
      <c r="AC492" s="33">
        <f t="shared" si="16"/>
        <v>490</v>
      </c>
      <c r="AD492" s="35" t="str">
        <f t="shared" si="17"/>
        <v/>
      </c>
    </row>
    <row r="493" spans="29:30" x14ac:dyDescent="0.25">
      <c r="AC493" s="33">
        <f t="shared" si="16"/>
        <v>491</v>
      </c>
      <c r="AD493" s="35" t="str">
        <f t="shared" si="17"/>
        <v/>
      </c>
    </row>
    <row r="494" spans="29:30" x14ac:dyDescent="0.25">
      <c r="AC494" s="33">
        <f t="shared" si="16"/>
        <v>492</v>
      </c>
      <c r="AD494" s="35" t="str">
        <f t="shared" si="17"/>
        <v/>
      </c>
    </row>
    <row r="495" spans="29:30" x14ac:dyDescent="0.25">
      <c r="AC495" s="33">
        <f t="shared" si="16"/>
        <v>493</v>
      </c>
      <c r="AD495" s="35" t="str">
        <f t="shared" si="17"/>
        <v/>
      </c>
    </row>
    <row r="496" spans="29:30" x14ac:dyDescent="0.25">
      <c r="AC496" s="33">
        <f t="shared" si="16"/>
        <v>494</v>
      </c>
      <c r="AD496" s="35" t="str">
        <f t="shared" si="17"/>
        <v/>
      </c>
    </row>
    <row r="497" spans="29:30" x14ac:dyDescent="0.25">
      <c r="AC497" s="33">
        <f t="shared" si="16"/>
        <v>495</v>
      </c>
      <c r="AD497" s="35" t="str">
        <f t="shared" si="17"/>
        <v/>
      </c>
    </row>
    <row r="498" spans="29:30" x14ac:dyDescent="0.25">
      <c r="AC498" s="33">
        <f t="shared" si="16"/>
        <v>496</v>
      </c>
      <c r="AD498" s="35" t="str">
        <f t="shared" si="17"/>
        <v/>
      </c>
    </row>
    <row r="499" spans="29:30" x14ac:dyDescent="0.25">
      <c r="AC499" s="33">
        <f t="shared" si="16"/>
        <v>497</v>
      </c>
      <c r="AD499" s="35" t="str">
        <f t="shared" si="17"/>
        <v/>
      </c>
    </row>
    <row r="500" spans="29:30" x14ac:dyDescent="0.25">
      <c r="AC500" s="33">
        <f t="shared" si="16"/>
        <v>498</v>
      </c>
      <c r="AD500" s="35" t="str">
        <f t="shared" si="17"/>
        <v/>
      </c>
    </row>
    <row r="501" spans="29:30" x14ac:dyDescent="0.25">
      <c r="AC501" s="33">
        <f t="shared" si="16"/>
        <v>499</v>
      </c>
      <c r="AD501" s="35" t="str">
        <f t="shared" si="17"/>
        <v/>
      </c>
    </row>
    <row r="502" spans="29:30" x14ac:dyDescent="0.25">
      <c r="AC502" s="33">
        <f t="shared" si="16"/>
        <v>500</v>
      </c>
      <c r="AD502" s="35" t="str">
        <f t="shared" si="17"/>
        <v/>
      </c>
    </row>
    <row r="503" spans="29:30" x14ac:dyDescent="0.25">
      <c r="AC503" s="33">
        <f t="shared" si="16"/>
        <v>501</v>
      </c>
      <c r="AD503" s="35" t="str">
        <f t="shared" si="17"/>
        <v/>
      </c>
    </row>
    <row r="504" spans="29:30" x14ac:dyDescent="0.25">
      <c r="AC504" s="33">
        <f t="shared" si="16"/>
        <v>502</v>
      </c>
      <c r="AD504" s="35" t="str">
        <f t="shared" si="17"/>
        <v/>
      </c>
    </row>
    <row r="505" spans="29:30" x14ac:dyDescent="0.25">
      <c r="AC505" s="33">
        <f t="shared" si="16"/>
        <v>503</v>
      </c>
      <c r="AD505" s="35" t="str">
        <f t="shared" si="17"/>
        <v/>
      </c>
    </row>
    <row r="506" spans="29:30" x14ac:dyDescent="0.25">
      <c r="AC506" s="33">
        <f t="shared" si="16"/>
        <v>504</v>
      </c>
      <c r="AD506" s="35" t="str">
        <f t="shared" si="17"/>
        <v/>
      </c>
    </row>
    <row r="507" spans="29:30" x14ac:dyDescent="0.25">
      <c r="AC507" s="33">
        <f t="shared" ref="AC507:AC570" si="18">AC506+1</f>
        <v>505</v>
      </c>
      <c r="AD507" s="35" t="str">
        <f t="shared" si="17"/>
        <v/>
      </c>
    </row>
    <row r="508" spans="29:30" x14ac:dyDescent="0.25">
      <c r="AC508" s="33">
        <f t="shared" si="18"/>
        <v>506</v>
      </c>
      <c r="AD508" s="35" t="str">
        <f t="shared" si="17"/>
        <v/>
      </c>
    </row>
    <row r="509" spans="29:30" x14ac:dyDescent="0.25">
      <c r="AC509" s="33">
        <f t="shared" si="18"/>
        <v>507</v>
      </c>
      <c r="AD509" s="35" t="str">
        <f t="shared" si="17"/>
        <v/>
      </c>
    </row>
    <row r="510" spans="29:30" x14ac:dyDescent="0.25">
      <c r="AC510" s="33">
        <f t="shared" si="18"/>
        <v>508</v>
      </c>
      <c r="AD510" s="35" t="str">
        <f t="shared" si="17"/>
        <v/>
      </c>
    </row>
    <row r="511" spans="29:30" x14ac:dyDescent="0.25">
      <c r="AC511" s="33">
        <f t="shared" si="18"/>
        <v>509</v>
      </c>
      <c r="AD511" s="35" t="str">
        <f t="shared" si="17"/>
        <v/>
      </c>
    </row>
    <row r="512" spans="29:30" x14ac:dyDescent="0.25">
      <c r="AC512" s="33">
        <f t="shared" si="18"/>
        <v>510</v>
      </c>
      <c r="AD512" s="35" t="str">
        <f t="shared" si="17"/>
        <v/>
      </c>
    </row>
    <row r="513" spans="29:30" x14ac:dyDescent="0.25">
      <c r="AC513" s="33">
        <f t="shared" si="18"/>
        <v>511</v>
      </c>
      <c r="AD513" s="35" t="str">
        <f t="shared" si="17"/>
        <v/>
      </c>
    </row>
    <row r="514" spans="29:30" x14ac:dyDescent="0.25">
      <c r="AC514" s="33">
        <f t="shared" si="18"/>
        <v>512</v>
      </c>
      <c r="AD514" s="35" t="str">
        <f t="shared" si="17"/>
        <v/>
      </c>
    </row>
    <row r="515" spans="29:30" x14ac:dyDescent="0.25">
      <c r="AC515" s="33">
        <f t="shared" si="18"/>
        <v>513</v>
      </c>
      <c r="AD515" s="35" t="str">
        <f t="shared" si="17"/>
        <v/>
      </c>
    </row>
    <row r="516" spans="29:30" x14ac:dyDescent="0.25">
      <c r="AC516" s="33">
        <f t="shared" si="18"/>
        <v>514</v>
      </c>
      <c r="AD516" s="35" t="str">
        <f t="shared" si="17"/>
        <v/>
      </c>
    </row>
    <row r="517" spans="29:30" x14ac:dyDescent="0.25">
      <c r="AC517" s="33">
        <f t="shared" si="18"/>
        <v>515</v>
      </c>
      <c r="AD517" s="35" t="str">
        <f t="shared" si="17"/>
        <v/>
      </c>
    </row>
    <row r="518" spans="29:30" x14ac:dyDescent="0.25">
      <c r="AC518" s="33">
        <f t="shared" si="18"/>
        <v>516</v>
      </c>
      <c r="AD518" s="35" t="str">
        <f t="shared" si="17"/>
        <v/>
      </c>
    </row>
    <row r="519" spans="29:30" x14ac:dyDescent="0.25">
      <c r="AC519" s="33">
        <f t="shared" si="18"/>
        <v>517</v>
      </c>
      <c r="AD519" s="35" t="str">
        <f t="shared" si="17"/>
        <v/>
      </c>
    </row>
    <row r="520" spans="29:30" x14ac:dyDescent="0.25">
      <c r="AC520" s="33">
        <f t="shared" si="18"/>
        <v>518</v>
      </c>
      <c r="AD520" s="35" t="str">
        <f t="shared" ref="AD520:AD583" si="19">IF(AD519&gt;AD$2,"",EOMONTH(AD519,1))</f>
        <v/>
      </c>
    </row>
    <row r="521" spans="29:30" x14ac:dyDescent="0.25">
      <c r="AC521" s="33">
        <f t="shared" si="18"/>
        <v>519</v>
      </c>
      <c r="AD521" s="35" t="str">
        <f t="shared" si="19"/>
        <v/>
      </c>
    </row>
    <row r="522" spans="29:30" x14ac:dyDescent="0.25">
      <c r="AC522" s="33">
        <f t="shared" si="18"/>
        <v>520</v>
      </c>
      <c r="AD522" s="35" t="str">
        <f t="shared" si="19"/>
        <v/>
      </c>
    </row>
    <row r="523" spans="29:30" x14ac:dyDescent="0.25">
      <c r="AC523" s="33">
        <f t="shared" si="18"/>
        <v>521</v>
      </c>
      <c r="AD523" s="35" t="str">
        <f t="shared" si="19"/>
        <v/>
      </c>
    </row>
    <row r="524" spans="29:30" x14ac:dyDescent="0.25">
      <c r="AC524" s="33">
        <f t="shared" si="18"/>
        <v>522</v>
      </c>
      <c r="AD524" s="35" t="str">
        <f t="shared" si="19"/>
        <v/>
      </c>
    </row>
    <row r="525" spans="29:30" x14ac:dyDescent="0.25">
      <c r="AC525" s="33">
        <f t="shared" si="18"/>
        <v>523</v>
      </c>
      <c r="AD525" s="35" t="str">
        <f t="shared" si="19"/>
        <v/>
      </c>
    </row>
    <row r="526" spans="29:30" x14ac:dyDescent="0.25">
      <c r="AC526" s="33">
        <f t="shared" si="18"/>
        <v>524</v>
      </c>
      <c r="AD526" s="35" t="str">
        <f t="shared" si="19"/>
        <v/>
      </c>
    </row>
    <row r="527" spans="29:30" x14ac:dyDescent="0.25">
      <c r="AC527" s="33">
        <f t="shared" si="18"/>
        <v>525</v>
      </c>
      <c r="AD527" s="35" t="str">
        <f t="shared" si="19"/>
        <v/>
      </c>
    </row>
    <row r="528" spans="29:30" x14ac:dyDescent="0.25">
      <c r="AC528" s="33">
        <f t="shared" si="18"/>
        <v>526</v>
      </c>
      <c r="AD528" s="35" t="str">
        <f t="shared" si="19"/>
        <v/>
      </c>
    </row>
    <row r="529" spans="29:30" x14ac:dyDescent="0.25">
      <c r="AC529" s="33">
        <f t="shared" si="18"/>
        <v>527</v>
      </c>
      <c r="AD529" s="35" t="str">
        <f t="shared" si="19"/>
        <v/>
      </c>
    </row>
    <row r="530" spans="29:30" x14ac:dyDescent="0.25">
      <c r="AC530" s="33">
        <f t="shared" si="18"/>
        <v>528</v>
      </c>
      <c r="AD530" s="35" t="str">
        <f t="shared" si="19"/>
        <v/>
      </c>
    </row>
    <row r="531" spans="29:30" x14ac:dyDescent="0.25">
      <c r="AC531" s="33">
        <f t="shared" si="18"/>
        <v>529</v>
      </c>
      <c r="AD531" s="35" t="str">
        <f t="shared" si="19"/>
        <v/>
      </c>
    </row>
    <row r="532" spans="29:30" x14ac:dyDescent="0.25">
      <c r="AC532" s="33">
        <f t="shared" si="18"/>
        <v>530</v>
      </c>
      <c r="AD532" s="35" t="str">
        <f t="shared" si="19"/>
        <v/>
      </c>
    </row>
    <row r="533" spans="29:30" x14ac:dyDescent="0.25">
      <c r="AC533" s="33">
        <f t="shared" si="18"/>
        <v>531</v>
      </c>
      <c r="AD533" s="35" t="str">
        <f t="shared" si="19"/>
        <v/>
      </c>
    </row>
    <row r="534" spans="29:30" x14ac:dyDescent="0.25">
      <c r="AC534" s="33">
        <f t="shared" si="18"/>
        <v>532</v>
      </c>
      <c r="AD534" s="35" t="str">
        <f t="shared" si="19"/>
        <v/>
      </c>
    </row>
    <row r="535" spans="29:30" x14ac:dyDescent="0.25">
      <c r="AC535" s="33">
        <f t="shared" si="18"/>
        <v>533</v>
      </c>
      <c r="AD535" s="35" t="str">
        <f t="shared" si="19"/>
        <v/>
      </c>
    </row>
    <row r="536" spans="29:30" x14ac:dyDescent="0.25">
      <c r="AC536" s="33">
        <f t="shared" si="18"/>
        <v>534</v>
      </c>
      <c r="AD536" s="35" t="str">
        <f t="shared" si="19"/>
        <v/>
      </c>
    </row>
    <row r="537" spans="29:30" x14ac:dyDescent="0.25">
      <c r="AC537" s="33">
        <f t="shared" si="18"/>
        <v>535</v>
      </c>
      <c r="AD537" s="35" t="str">
        <f t="shared" si="19"/>
        <v/>
      </c>
    </row>
    <row r="538" spans="29:30" x14ac:dyDescent="0.25">
      <c r="AC538" s="33">
        <f t="shared" si="18"/>
        <v>536</v>
      </c>
      <c r="AD538" s="35" t="str">
        <f t="shared" si="19"/>
        <v/>
      </c>
    </row>
    <row r="539" spans="29:30" x14ac:dyDescent="0.25">
      <c r="AC539" s="33">
        <f t="shared" si="18"/>
        <v>537</v>
      </c>
      <c r="AD539" s="35" t="str">
        <f t="shared" si="19"/>
        <v/>
      </c>
    </row>
    <row r="540" spans="29:30" x14ac:dyDescent="0.25">
      <c r="AC540" s="33">
        <f t="shared" si="18"/>
        <v>538</v>
      </c>
      <c r="AD540" s="35" t="str">
        <f t="shared" si="19"/>
        <v/>
      </c>
    </row>
    <row r="541" spans="29:30" x14ac:dyDescent="0.25">
      <c r="AC541" s="33">
        <f t="shared" si="18"/>
        <v>539</v>
      </c>
      <c r="AD541" s="35" t="str">
        <f t="shared" si="19"/>
        <v/>
      </c>
    </row>
    <row r="542" spans="29:30" x14ac:dyDescent="0.25">
      <c r="AC542" s="33">
        <f t="shared" si="18"/>
        <v>540</v>
      </c>
      <c r="AD542" s="35" t="str">
        <f t="shared" si="19"/>
        <v/>
      </c>
    </row>
    <row r="543" spans="29:30" x14ac:dyDescent="0.25">
      <c r="AC543" s="33">
        <f t="shared" si="18"/>
        <v>541</v>
      </c>
      <c r="AD543" s="35" t="str">
        <f t="shared" si="19"/>
        <v/>
      </c>
    </row>
    <row r="544" spans="29:30" x14ac:dyDescent="0.25">
      <c r="AC544" s="33">
        <f t="shared" si="18"/>
        <v>542</v>
      </c>
      <c r="AD544" s="35" t="str">
        <f t="shared" si="19"/>
        <v/>
      </c>
    </row>
    <row r="545" spans="29:30" x14ac:dyDescent="0.25">
      <c r="AC545" s="33">
        <f t="shared" si="18"/>
        <v>543</v>
      </c>
      <c r="AD545" s="35" t="str">
        <f t="shared" si="19"/>
        <v/>
      </c>
    </row>
    <row r="546" spans="29:30" x14ac:dyDescent="0.25">
      <c r="AC546" s="33">
        <f t="shared" si="18"/>
        <v>544</v>
      </c>
      <c r="AD546" s="35" t="str">
        <f t="shared" si="19"/>
        <v/>
      </c>
    </row>
    <row r="547" spans="29:30" x14ac:dyDescent="0.25">
      <c r="AC547" s="33">
        <f t="shared" si="18"/>
        <v>545</v>
      </c>
      <c r="AD547" s="35" t="str">
        <f t="shared" si="19"/>
        <v/>
      </c>
    </row>
    <row r="548" spans="29:30" x14ac:dyDescent="0.25">
      <c r="AC548" s="33">
        <f t="shared" si="18"/>
        <v>546</v>
      </c>
      <c r="AD548" s="35" t="str">
        <f t="shared" si="19"/>
        <v/>
      </c>
    </row>
    <row r="549" spans="29:30" x14ac:dyDescent="0.25">
      <c r="AC549" s="33">
        <f t="shared" si="18"/>
        <v>547</v>
      </c>
      <c r="AD549" s="35" t="str">
        <f t="shared" si="19"/>
        <v/>
      </c>
    </row>
    <row r="550" spans="29:30" x14ac:dyDescent="0.25">
      <c r="AC550" s="33">
        <f t="shared" si="18"/>
        <v>548</v>
      </c>
      <c r="AD550" s="35" t="str">
        <f t="shared" si="19"/>
        <v/>
      </c>
    </row>
    <row r="551" spans="29:30" x14ac:dyDescent="0.25">
      <c r="AC551" s="33">
        <f t="shared" si="18"/>
        <v>549</v>
      </c>
      <c r="AD551" s="35" t="str">
        <f t="shared" si="19"/>
        <v/>
      </c>
    </row>
    <row r="552" spans="29:30" x14ac:dyDescent="0.25">
      <c r="AC552" s="33">
        <f t="shared" si="18"/>
        <v>550</v>
      </c>
      <c r="AD552" s="35" t="str">
        <f t="shared" si="19"/>
        <v/>
      </c>
    </row>
    <row r="553" spans="29:30" x14ac:dyDescent="0.25">
      <c r="AC553" s="33">
        <f t="shared" si="18"/>
        <v>551</v>
      </c>
      <c r="AD553" s="35" t="str">
        <f t="shared" si="19"/>
        <v/>
      </c>
    </row>
    <row r="554" spans="29:30" x14ac:dyDescent="0.25">
      <c r="AC554" s="33">
        <f t="shared" si="18"/>
        <v>552</v>
      </c>
      <c r="AD554" s="35" t="str">
        <f t="shared" si="19"/>
        <v/>
      </c>
    </row>
    <row r="555" spans="29:30" x14ac:dyDescent="0.25">
      <c r="AC555" s="33">
        <f t="shared" si="18"/>
        <v>553</v>
      </c>
      <c r="AD555" s="35" t="str">
        <f t="shared" si="19"/>
        <v/>
      </c>
    </row>
    <row r="556" spans="29:30" x14ac:dyDescent="0.25">
      <c r="AC556" s="33">
        <f t="shared" si="18"/>
        <v>554</v>
      </c>
      <c r="AD556" s="35" t="str">
        <f t="shared" si="19"/>
        <v/>
      </c>
    </row>
    <row r="557" spans="29:30" x14ac:dyDescent="0.25">
      <c r="AC557" s="33">
        <f t="shared" si="18"/>
        <v>555</v>
      </c>
      <c r="AD557" s="35" t="str">
        <f t="shared" si="19"/>
        <v/>
      </c>
    </row>
    <row r="558" spans="29:30" x14ac:dyDescent="0.25">
      <c r="AC558" s="33">
        <f t="shared" si="18"/>
        <v>556</v>
      </c>
      <c r="AD558" s="35" t="str">
        <f t="shared" si="19"/>
        <v/>
      </c>
    </row>
    <row r="559" spans="29:30" x14ac:dyDescent="0.25">
      <c r="AC559" s="33">
        <f t="shared" si="18"/>
        <v>557</v>
      </c>
      <c r="AD559" s="35" t="str">
        <f t="shared" si="19"/>
        <v/>
      </c>
    </row>
    <row r="560" spans="29:30" x14ac:dyDescent="0.25">
      <c r="AC560" s="33">
        <f t="shared" si="18"/>
        <v>558</v>
      </c>
      <c r="AD560" s="35" t="str">
        <f t="shared" si="19"/>
        <v/>
      </c>
    </row>
    <row r="561" spans="29:30" x14ac:dyDescent="0.25">
      <c r="AC561" s="33">
        <f t="shared" si="18"/>
        <v>559</v>
      </c>
      <c r="AD561" s="35" t="str">
        <f t="shared" si="19"/>
        <v/>
      </c>
    </row>
    <row r="562" spans="29:30" x14ac:dyDescent="0.25">
      <c r="AC562" s="33">
        <f t="shared" si="18"/>
        <v>560</v>
      </c>
      <c r="AD562" s="35" t="str">
        <f t="shared" si="19"/>
        <v/>
      </c>
    </row>
    <row r="563" spans="29:30" x14ac:dyDescent="0.25">
      <c r="AC563" s="33">
        <f t="shared" si="18"/>
        <v>561</v>
      </c>
      <c r="AD563" s="35" t="str">
        <f t="shared" si="19"/>
        <v/>
      </c>
    </row>
    <row r="564" spans="29:30" x14ac:dyDescent="0.25">
      <c r="AC564" s="33">
        <f t="shared" si="18"/>
        <v>562</v>
      </c>
      <c r="AD564" s="35" t="str">
        <f t="shared" si="19"/>
        <v/>
      </c>
    </row>
    <row r="565" spans="29:30" x14ac:dyDescent="0.25">
      <c r="AC565" s="33">
        <f t="shared" si="18"/>
        <v>563</v>
      </c>
      <c r="AD565" s="35" t="str">
        <f t="shared" si="19"/>
        <v/>
      </c>
    </row>
    <row r="566" spans="29:30" x14ac:dyDescent="0.25">
      <c r="AC566" s="33">
        <f t="shared" si="18"/>
        <v>564</v>
      </c>
      <c r="AD566" s="35" t="str">
        <f t="shared" si="19"/>
        <v/>
      </c>
    </row>
    <row r="567" spans="29:30" x14ac:dyDescent="0.25">
      <c r="AC567" s="33">
        <f t="shared" si="18"/>
        <v>565</v>
      </c>
      <c r="AD567" s="35" t="str">
        <f t="shared" si="19"/>
        <v/>
      </c>
    </row>
    <row r="568" spans="29:30" x14ac:dyDescent="0.25">
      <c r="AC568" s="33">
        <f t="shared" si="18"/>
        <v>566</v>
      </c>
      <c r="AD568" s="35" t="str">
        <f t="shared" si="19"/>
        <v/>
      </c>
    </row>
    <row r="569" spans="29:30" x14ac:dyDescent="0.25">
      <c r="AC569" s="33">
        <f t="shared" si="18"/>
        <v>567</v>
      </c>
      <c r="AD569" s="35" t="str">
        <f t="shared" si="19"/>
        <v/>
      </c>
    </row>
    <row r="570" spans="29:30" x14ac:dyDescent="0.25">
      <c r="AC570" s="33">
        <f t="shared" si="18"/>
        <v>568</v>
      </c>
      <c r="AD570" s="35" t="str">
        <f t="shared" si="19"/>
        <v/>
      </c>
    </row>
    <row r="571" spans="29:30" x14ac:dyDescent="0.25">
      <c r="AC571" s="33">
        <f t="shared" ref="AC571:AC634" si="20">AC570+1</f>
        <v>569</v>
      </c>
      <c r="AD571" s="35" t="str">
        <f t="shared" si="19"/>
        <v/>
      </c>
    </row>
    <row r="572" spans="29:30" x14ac:dyDescent="0.25">
      <c r="AC572" s="33">
        <f t="shared" si="20"/>
        <v>570</v>
      </c>
      <c r="AD572" s="35" t="str">
        <f t="shared" si="19"/>
        <v/>
      </c>
    </row>
    <row r="573" spans="29:30" x14ac:dyDescent="0.25">
      <c r="AC573" s="33">
        <f t="shared" si="20"/>
        <v>571</v>
      </c>
      <c r="AD573" s="35" t="str">
        <f t="shared" si="19"/>
        <v/>
      </c>
    </row>
    <row r="574" spans="29:30" x14ac:dyDescent="0.25">
      <c r="AC574" s="33">
        <f t="shared" si="20"/>
        <v>572</v>
      </c>
      <c r="AD574" s="35" t="str">
        <f t="shared" si="19"/>
        <v/>
      </c>
    </row>
    <row r="575" spans="29:30" x14ac:dyDescent="0.25">
      <c r="AC575" s="33">
        <f t="shared" si="20"/>
        <v>573</v>
      </c>
      <c r="AD575" s="35" t="str">
        <f t="shared" si="19"/>
        <v/>
      </c>
    </row>
    <row r="576" spans="29:30" x14ac:dyDescent="0.25">
      <c r="AC576" s="33">
        <f t="shared" si="20"/>
        <v>574</v>
      </c>
      <c r="AD576" s="35" t="str">
        <f t="shared" si="19"/>
        <v/>
      </c>
    </row>
    <row r="577" spans="29:30" x14ac:dyDescent="0.25">
      <c r="AC577" s="33">
        <f t="shared" si="20"/>
        <v>575</v>
      </c>
      <c r="AD577" s="35" t="str">
        <f t="shared" si="19"/>
        <v/>
      </c>
    </row>
    <row r="578" spans="29:30" x14ac:dyDescent="0.25">
      <c r="AC578" s="33">
        <f t="shared" si="20"/>
        <v>576</v>
      </c>
      <c r="AD578" s="35" t="str">
        <f t="shared" si="19"/>
        <v/>
      </c>
    </row>
    <row r="579" spans="29:30" x14ac:dyDescent="0.25">
      <c r="AC579" s="33">
        <f t="shared" si="20"/>
        <v>577</v>
      </c>
      <c r="AD579" s="35" t="str">
        <f t="shared" si="19"/>
        <v/>
      </c>
    </row>
    <row r="580" spans="29:30" x14ac:dyDescent="0.25">
      <c r="AC580" s="33">
        <f t="shared" si="20"/>
        <v>578</v>
      </c>
      <c r="AD580" s="35" t="str">
        <f t="shared" si="19"/>
        <v/>
      </c>
    </row>
    <row r="581" spans="29:30" x14ac:dyDescent="0.25">
      <c r="AC581" s="33">
        <f t="shared" si="20"/>
        <v>579</v>
      </c>
      <c r="AD581" s="35" t="str">
        <f t="shared" si="19"/>
        <v/>
      </c>
    </row>
    <row r="582" spans="29:30" x14ac:dyDescent="0.25">
      <c r="AC582" s="33">
        <f t="shared" si="20"/>
        <v>580</v>
      </c>
      <c r="AD582" s="35" t="str">
        <f t="shared" si="19"/>
        <v/>
      </c>
    </row>
    <row r="583" spans="29:30" x14ac:dyDescent="0.25">
      <c r="AC583" s="33">
        <f t="shared" si="20"/>
        <v>581</v>
      </c>
      <c r="AD583" s="35" t="str">
        <f t="shared" si="19"/>
        <v/>
      </c>
    </row>
    <row r="584" spans="29:30" x14ac:dyDescent="0.25">
      <c r="AC584" s="33">
        <f t="shared" si="20"/>
        <v>582</v>
      </c>
      <c r="AD584" s="35" t="str">
        <f t="shared" ref="AD584:AD647" si="21">IF(AD583&gt;AD$2,"",EOMONTH(AD583,1))</f>
        <v/>
      </c>
    </row>
    <row r="585" spans="29:30" x14ac:dyDescent="0.25">
      <c r="AC585" s="33">
        <f t="shared" si="20"/>
        <v>583</v>
      </c>
      <c r="AD585" s="35" t="str">
        <f t="shared" si="21"/>
        <v/>
      </c>
    </row>
    <row r="586" spans="29:30" x14ac:dyDescent="0.25">
      <c r="AC586" s="33">
        <f t="shared" si="20"/>
        <v>584</v>
      </c>
      <c r="AD586" s="35" t="str">
        <f t="shared" si="21"/>
        <v/>
      </c>
    </row>
    <row r="587" spans="29:30" x14ac:dyDescent="0.25">
      <c r="AC587" s="33">
        <f t="shared" si="20"/>
        <v>585</v>
      </c>
      <c r="AD587" s="35" t="str">
        <f t="shared" si="21"/>
        <v/>
      </c>
    </row>
    <row r="588" spans="29:30" x14ac:dyDescent="0.25">
      <c r="AC588" s="33">
        <f t="shared" si="20"/>
        <v>586</v>
      </c>
      <c r="AD588" s="35" t="str">
        <f t="shared" si="21"/>
        <v/>
      </c>
    </row>
    <row r="589" spans="29:30" x14ac:dyDescent="0.25">
      <c r="AC589" s="33">
        <f t="shared" si="20"/>
        <v>587</v>
      </c>
      <c r="AD589" s="35" t="str">
        <f t="shared" si="21"/>
        <v/>
      </c>
    </row>
    <row r="590" spans="29:30" x14ac:dyDescent="0.25">
      <c r="AC590" s="33">
        <f t="shared" si="20"/>
        <v>588</v>
      </c>
      <c r="AD590" s="35" t="str">
        <f t="shared" si="21"/>
        <v/>
      </c>
    </row>
    <row r="591" spans="29:30" x14ac:dyDescent="0.25">
      <c r="AC591" s="33">
        <f t="shared" si="20"/>
        <v>589</v>
      </c>
      <c r="AD591" s="35" t="str">
        <f t="shared" si="21"/>
        <v/>
      </c>
    </row>
    <row r="592" spans="29:30" x14ac:dyDescent="0.25">
      <c r="AC592" s="33">
        <f t="shared" si="20"/>
        <v>590</v>
      </c>
      <c r="AD592" s="35" t="str">
        <f t="shared" si="21"/>
        <v/>
      </c>
    </row>
    <row r="593" spans="29:30" x14ac:dyDescent="0.25">
      <c r="AC593" s="33">
        <f t="shared" si="20"/>
        <v>591</v>
      </c>
      <c r="AD593" s="35" t="str">
        <f t="shared" si="21"/>
        <v/>
      </c>
    </row>
    <row r="594" spans="29:30" x14ac:dyDescent="0.25">
      <c r="AC594" s="33">
        <f t="shared" si="20"/>
        <v>592</v>
      </c>
      <c r="AD594" s="35" t="str">
        <f t="shared" si="21"/>
        <v/>
      </c>
    </row>
    <row r="595" spans="29:30" x14ac:dyDescent="0.25">
      <c r="AC595" s="33">
        <f t="shared" si="20"/>
        <v>593</v>
      </c>
      <c r="AD595" s="35" t="str">
        <f t="shared" si="21"/>
        <v/>
      </c>
    </row>
    <row r="596" spans="29:30" x14ac:dyDescent="0.25">
      <c r="AC596" s="33">
        <f t="shared" si="20"/>
        <v>594</v>
      </c>
      <c r="AD596" s="35" t="str">
        <f t="shared" si="21"/>
        <v/>
      </c>
    </row>
    <row r="597" spans="29:30" x14ac:dyDescent="0.25">
      <c r="AC597" s="33">
        <f t="shared" si="20"/>
        <v>595</v>
      </c>
      <c r="AD597" s="35" t="str">
        <f t="shared" si="21"/>
        <v/>
      </c>
    </row>
    <row r="598" spans="29:30" x14ac:dyDescent="0.25">
      <c r="AC598" s="33">
        <f t="shared" si="20"/>
        <v>596</v>
      </c>
      <c r="AD598" s="35" t="str">
        <f t="shared" si="21"/>
        <v/>
      </c>
    </row>
    <row r="599" spans="29:30" x14ac:dyDescent="0.25">
      <c r="AC599" s="33">
        <f t="shared" si="20"/>
        <v>597</v>
      </c>
      <c r="AD599" s="35" t="str">
        <f t="shared" si="21"/>
        <v/>
      </c>
    </row>
    <row r="600" spans="29:30" x14ac:dyDescent="0.25">
      <c r="AC600" s="33">
        <f t="shared" si="20"/>
        <v>598</v>
      </c>
      <c r="AD600" s="35" t="str">
        <f t="shared" si="21"/>
        <v/>
      </c>
    </row>
    <row r="601" spans="29:30" x14ac:dyDescent="0.25">
      <c r="AC601" s="33">
        <f t="shared" si="20"/>
        <v>599</v>
      </c>
      <c r="AD601" s="35" t="str">
        <f t="shared" si="21"/>
        <v/>
      </c>
    </row>
    <row r="602" spans="29:30" x14ac:dyDescent="0.25">
      <c r="AC602" s="33">
        <f t="shared" si="20"/>
        <v>600</v>
      </c>
      <c r="AD602" s="35" t="str">
        <f t="shared" si="21"/>
        <v/>
      </c>
    </row>
    <row r="603" spans="29:30" x14ac:dyDescent="0.25">
      <c r="AC603" s="33">
        <f t="shared" si="20"/>
        <v>601</v>
      </c>
      <c r="AD603" s="35" t="str">
        <f t="shared" si="21"/>
        <v/>
      </c>
    </row>
    <row r="604" spans="29:30" x14ac:dyDescent="0.25">
      <c r="AC604" s="33">
        <f t="shared" si="20"/>
        <v>602</v>
      </c>
      <c r="AD604" s="35" t="str">
        <f t="shared" si="21"/>
        <v/>
      </c>
    </row>
    <row r="605" spans="29:30" x14ac:dyDescent="0.25">
      <c r="AC605" s="33">
        <f t="shared" si="20"/>
        <v>603</v>
      </c>
      <c r="AD605" s="35" t="str">
        <f t="shared" si="21"/>
        <v/>
      </c>
    </row>
    <row r="606" spans="29:30" x14ac:dyDescent="0.25">
      <c r="AC606" s="33">
        <f t="shared" si="20"/>
        <v>604</v>
      </c>
      <c r="AD606" s="35" t="str">
        <f t="shared" si="21"/>
        <v/>
      </c>
    </row>
    <row r="607" spans="29:30" x14ac:dyDescent="0.25">
      <c r="AC607" s="33">
        <f t="shared" si="20"/>
        <v>605</v>
      </c>
      <c r="AD607" s="35" t="str">
        <f t="shared" si="21"/>
        <v/>
      </c>
    </row>
    <row r="608" spans="29:30" x14ac:dyDescent="0.25">
      <c r="AC608" s="33">
        <f t="shared" si="20"/>
        <v>606</v>
      </c>
      <c r="AD608" s="35" t="str">
        <f t="shared" si="21"/>
        <v/>
      </c>
    </row>
    <row r="609" spans="29:30" x14ac:dyDescent="0.25">
      <c r="AC609" s="33">
        <f t="shared" si="20"/>
        <v>607</v>
      </c>
      <c r="AD609" s="35" t="str">
        <f t="shared" si="21"/>
        <v/>
      </c>
    </row>
    <row r="610" spans="29:30" x14ac:dyDescent="0.25">
      <c r="AC610" s="33">
        <f t="shared" si="20"/>
        <v>608</v>
      </c>
      <c r="AD610" s="35" t="str">
        <f t="shared" si="21"/>
        <v/>
      </c>
    </row>
    <row r="611" spans="29:30" x14ac:dyDescent="0.25">
      <c r="AC611" s="33">
        <f t="shared" si="20"/>
        <v>609</v>
      </c>
      <c r="AD611" s="35" t="str">
        <f t="shared" si="21"/>
        <v/>
      </c>
    </row>
    <row r="612" spans="29:30" x14ac:dyDescent="0.25">
      <c r="AC612" s="33">
        <f t="shared" si="20"/>
        <v>610</v>
      </c>
      <c r="AD612" s="35" t="str">
        <f t="shared" si="21"/>
        <v/>
      </c>
    </row>
    <row r="613" spans="29:30" x14ac:dyDescent="0.25">
      <c r="AC613" s="33">
        <f t="shared" si="20"/>
        <v>611</v>
      </c>
      <c r="AD613" s="35" t="str">
        <f t="shared" si="21"/>
        <v/>
      </c>
    </row>
    <row r="614" spans="29:30" x14ac:dyDescent="0.25">
      <c r="AC614" s="33">
        <f t="shared" si="20"/>
        <v>612</v>
      </c>
      <c r="AD614" s="35" t="str">
        <f t="shared" si="21"/>
        <v/>
      </c>
    </row>
    <row r="615" spans="29:30" x14ac:dyDescent="0.25">
      <c r="AC615" s="33">
        <f t="shared" si="20"/>
        <v>613</v>
      </c>
      <c r="AD615" s="35" t="str">
        <f t="shared" si="21"/>
        <v/>
      </c>
    </row>
    <row r="616" spans="29:30" x14ac:dyDescent="0.25">
      <c r="AC616" s="33">
        <f t="shared" si="20"/>
        <v>614</v>
      </c>
      <c r="AD616" s="35" t="str">
        <f t="shared" si="21"/>
        <v/>
      </c>
    </row>
    <row r="617" spans="29:30" x14ac:dyDescent="0.25">
      <c r="AC617" s="33">
        <f t="shared" si="20"/>
        <v>615</v>
      </c>
      <c r="AD617" s="35" t="str">
        <f t="shared" si="21"/>
        <v/>
      </c>
    </row>
    <row r="618" spans="29:30" x14ac:dyDescent="0.25">
      <c r="AC618" s="33">
        <f t="shared" si="20"/>
        <v>616</v>
      </c>
      <c r="AD618" s="35" t="str">
        <f t="shared" si="21"/>
        <v/>
      </c>
    </row>
    <row r="619" spans="29:30" x14ac:dyDescent="0.25">
      <c r="AC619" s="33">
        <f t="shared" si="20"/>
        <v>617</v>
      </c>
      <c r="AD619" s="35" t="str">
        <f t="shared" si="21"/>
        <v/>
      </c>
    </row>
    <row r="620" spans="29:30" x14ac:dyDescent="0.25">
      <c r="AC620" s="33">
        <f t="shared" si="20"/>
        <v>618</v>
      </c>
      <c r="AD620" s="35" t="str">
        <f t="shared" si="21"/>
        <v/>
      </c>
    </row>
    <row r="621" spans="29:30" x14ac:dyDescent="0.25">
      <c r="AC621" s="33">
        <f t="shared" si="20"/>
        <v>619</v>
      </c>
      <c r="AD621" s="35" t="str">
        <f t="shared" si="21"/>
        <v/>
      </c>
    </row>
    <row r="622" spans="29:30" x14ac:dyDescent="0.25">
      <c r="AC622" s="33">
        <f t="shared" si="20"/>
        <v>620</v>
      </c>
      <c r="AD622" s="35" t="str">
        <f t="shared" si="21"/>
        <v/>
      </c>
    </row>
    <row r="623" spans="29:30" x14ac:dyDescent="0.25">
      <c r="AC623" s="33">
        <f t="shared" si="20"/>
        <v>621</v>
      </c>
      <c r="AD623" s="35" t="str">
        <f t="shared" si="21"/>
        <v/>
      </c>
    </row>
    <row r="624" spans="29:30" x14ac:dyDescent="0.25">
      <c r="AC624" s="33">
        <f t="shared" si="20"/>
        <v>622</v>
      </c>
      <c r="AD624" s="35" t="str">
        <f t="shared" si="21"/>
        <v/>
      </c>
    </row>
    <row r="625" spans="29:30" x14ac:dyDescent="0.25">
      <c r="AC625" s="33">
        <f t="shared" si="20"/>
        <v>623</v>
      </c>
      <c r="AD625" s="35" t="str">
        <f t="shared" si="21"/>
        <v/>
      </c>
    </row>
    <row r="626" spans="29:30" x14ac:dyDescent="0.25">
      <c r="AC626" s="33">
        <f t="shared" si="20"/>
        <v>624</v>
      </c>
      <c r="AD626" s="35" t="str">
        <f t="shared" si="21"/>
        <v/>
      </c>
    </row>
    <row r="627" spans="29:30" x14ac:dyDescent="0.25">
      <c r="AC627" s="33">
        <f t="shared" si="20"/>
        <v>625</v>
      </c>
      <c r="AD627" s="35" t="str">
        <f t="shared" si="21"/>
        <v/>
      </c>
    </row>
    <row r="628" spans="29:30" x14ac:dyDescent="0.25">
      <c r="AC628" s="33">
        <f t="shared" si="20"/>
        <v>626</v>
      </c>
      <c r="AD628" s="35" t="str">
        <f t="shared" si="21"/>
        <v/>
      </c>
    </row>
    <row r="629" spans="29:30" x14ac:dyDescent="0.25">
      <c r="AC629" s="33">
        <f t="shared" si="20"/>
        <v>627</v>
      </c>
      <c r="AD629" s="35" t="str">
        <f t="shared" si="21"/>
        <v/>
      </c>
    </row>
    <row r="630" spans="29:30" x14ac:dyDescent="0.25">
      <c r="AC630" s="33">
        <f t="shared" si="20"/>
        <v>628</v>
      </c>
      <c r="AD630" s="35" t="str">
        <f t="shared" si="21"/>
        <v/>
      </c>
    </row>
    <row r="631" spans="29:30" x14ac:dyDescent="0.25">
      <c r="AC631" s="33">
        <f t="shared" si="20"/>
        <v>629</v>
      </c>
      <c r="AD631" s="35" t="str">
        <f t="shared" si="21"/>
        <v/>
      </c>
    </row>
    <row r="632" spans="29:30" x14ac:dyDescent="0.25">
      <c r="AC632" s="33">
        <f t="shared" si="20"/>
        <v>630</v>
      </c>
      <c r="AD632" s="35" t="str">
        <f t="shared" si="21"/>
        <v/>
      </c>
    </row>
    <row r="633" spans="29:30" x14ac:dyDescent="0.25">
      <c r="AC633" s="33">
        <f t="shared" si="20"/>
        <v>631</v>
      </c>
      <c r="AD633" s="35" t="str">
        <f t="shared" si="21"/>
        <v/>
      </c>
    </row>
    <row r="634" spans="29:30" x14ac:dyDescent="0.25">
      <c r="AC634" s="33">
        <f t="shared" si="20"/>
        <v>632</v>
      </c>
      <c r="AD634" s="35" t="str">
        <f t="shared" si="21"/>
        <v/>
      </c>
    </row>
    <row r="635" spans="29:30" x14ac:dyDescent="0.25">
      <c r="AC635" s="33">
        <f t="shared" ref="AC635:AC698" si="22">AC634+1</f>
        <v>633</v>
      </c>
      <c r="AD635" s="35" t="str">
        <f t="shared" si="21"/>
        <v/>
      </c>
    </row>
    <row r="636" spans="29:30" x14ac:dyDescent="0.25">
      <c r="AC636" s="33">
        <f t="shared" si="22"/>
        <v>634</v>
      </c>
      <c r="AD636" s="35" t="str">
        <f t="shared" si="21"/>
        <v/>
      </c>
    </row>
    <row r="637" spans="29:30" x14ac:dyDescent="0.25">
      <c r="AC637" s="33">
        <f t="shared" si="22"/>
        <v>635</v>
      </c>
      <c r="AD637" s="35" t="str">
        <f t="shared" si="21"/>
        <v/>
      </c>
    </row>
    <row r="638" spans="29:30" x14ac:dyDescent="0.25">
      <c r="AC638" s="33">
        <f t="shared" si="22"/>
        <v>636</v>
      </c>
      <c r="AD638" s="35" t="str">
        <f t="shared" si="21"/>
        <v/>
      </c>
    </row>
    <row r="639" spans="29:30" x14ac:dyDescent="0.25">
      <c r="AC639" s="33">
        <f t="shared" si="22"/>
        <v>637</v>
      </c>
      <c r="AD639" s="35" t="str">
        <f t="shared" si="21"/>
        <v/>
      </c>
    </row>
    <row r="640" spans="29:30" x14ac:dyDescent="0.25">
      <c r="AC640" s="33">
        <f t="shared" si="22"/>
        <v>638</v>
      </c>
      <c r="AD640" s="35" t="str">
        <f t="shared" si="21"/>
        <v/>
      </c>
    </row>
    <row r="641" spans="29:30" x14ac:dyDescent="0.25">
      <c r="AC641" s="33">
        <f t="shared" si="22"/>
        <v>639</v>
      </c>
      <c r="AD641" s="35" t="str">
        <f t="shared" si="21"/>
        <v/>
      </c>
    </row>
    <row r="642" spans="29:30" x14ac:dyDescent="0.25">
      <c r="AC642" s="33">
        <f t="shared" si="22"/>
        <v>640</v>
      </c>
      <c r="AD642" s="35" t="str">
        <f t="shared" si="21"/>
        <v/>
      </c>
    </row>
    <row r="643" spans="29:30" x14ac:dyDescent="0.25">
      <c r="AC643" s="33">
        <f t="shared" si="22"/>
        <v>641</v>
      </c>
      <c r="AD643" s="35" t="str">
        <f t="shared" si="21"/>
        <v/>
      </c>
    </row>
    <row r="644" spans="29:30" x14ac:dyDescent="0.25">
      <c r="AC644" s="33">
        <f t="shared" si="22"/>
        <v>642</v>
      </c>
      <c r="AD644" s="35" t="str">
        <f t="shared" si="21"/>
        <v/>
      </c>
    </row>
    <row r="645" spans="29:30" x14ac:dyDescent="0.25">
      <c r="AC645" s="33">
        <f t="shared" si="22"/>
        <v>643</v>
      </c>
      <c r="AD645" s="35" t="str">
        <f t="shared" si="21"/>
        <v/>
      </c>
    </row>
    <row r="646" spans="29:30" x14ac:dyDescent="0.25">
      <c r="AC646" s="33">
        <f t="shared" si="22"/>
        <v>644</v>
      </c>
      <c r="AD646" s="35" t="str">
        <f t="shared" si="21"/>
        <v/>
      </c>
    </row>
    <row r="647" spans="29:30" x14ac:dyDescent="0.25">
      <c r="AC647" s="33">
        <f t="shared" si="22"/>
        <v>645</v>
      </c>
      <c r="AD647" s="35" t="str">
        <f t="shared" si="21"/>
        <v/>
      </c>
    </row>
    <row r="648" spans="29:30" x14ac:dyDescent="0.25">
      <c r="AC648" s="33">
        <f t="shared" si="22"/>
        <v>646</v>
      </c>
      <c r="AD648" s="35" t="str">
        <f t="shared" ref="AD648:AD711" si="23">IF(AD647&gt;AD$2,"",EOMONTH(AD647,1))</f>
        <v/>
      </c>
    </row>
    <row r="649" spans="29:30" x14ac:dyDescent="0.25">
      <c r="AC649" s="33">
        <f t="shared" si="22"/>
        <v>647</v>
      </c>
      <c r="AD649" s="35" t="str">
        <f t="shared" si="23"/>
        <v/>
      </c>
    </row>
    <row r="650" spans="29:30" x14ac:dyDescent="0.25">
      <c r="AC650" s="33">
        <f t="shared" si="22"/>
        <v>648</v>
      </c>
      <c r="AD650" s="35" t="str">
        <f t="shared" si="23"/>
        <v/>
      </c>
    </row>
    <row r="651" spans="29:30" x14ac:dyDescent="0.25">
      <c r="AC651" s="33">
        <f t="shared" si="22"/>
        <v>649</v>
      </c>
      <c r="AD651" s="35" t="str">
        <f t="shared" si="23"/>
        <v/>
      </c>
    </row>
    <row r="652" spans="29:30" x14ac:dyDescent="0.25">
      <c r="AC652" s="33">
        <f t="shared" si="22"/>
        <v>650</v>
      </c>
      <c r="AD652" s="35" t="str">
        <f t="shared" si="23"/>
        <v/>
      </c>
    </row>
    <row r="653" spans="29:30" x14ac:dyDescent="0.25">
      <c r="AC653" s="33">
        <f t="shared" si="22"/>
        <v>651</v>
      </c>
      <c r="AD653" s="35" t="str">
        <f t="shared" si="23"/>
        <v/>
      </c>
    </row>
    <row r="654" spans="29:30" x14ac:dyDescent="0.25">
      <c r="AC654" s="33">
        <f t="shared" si="22"/>
        <v>652</v>
      </c>
      <c r="AD654" s="35" t="str">
        <f t="shared" si="23"/>
        <v/>
      </c>
    </row>
    <row r="655" spans="29:30" x14ac:dyDescent="0.25">
      <c r="AC655" s="33">
        <f t="shared" si="22"/>
        <v>653</v>
      </c>
      <c r="AD655" s="35" t="str">
        <f t="shared" si="23"/>
        <v/>
      </c>
    </row>
    <row r="656" spans="29:30" x14ac:dyDescent="0.25">
      <c r="AC656" s="33">
        <f t="shared" si="22"/>
        <v>654</v>
      </c>
      <c r="AD656" s="35" t="str">
        <f t="shared" si="23"/>
        <v/>
      </c>
    </row>
    <row r="657" spans="29:30" x14ac:dyDescent="0.25">
      <c r="AC657" s="33">
        <f t="shared" si="22"/>
        <v>655</v>
      </c>
      <c r="AD657" s="35" t="str">
        <f t="shared" si="23"/>
        <v/>
      </c>
    </row>
    <row r="658" spans="29:30" x14ac:dyDescent="0.25">
      <c r="AC658" s="33">
        <f t="shared" si="22"/>
        <v>656</v>
      </c>
      <c r="AD658" s="35" t="str">
        <f t="shared" si="23"/>
        <v/>
      </c>
    </row>
    <row r="659" spans="29:30" x14ac:dyDescent="0.25">
      <c r="AC659" s="33">
        <f t="shared" si="22"/>
        <v>657</v>
      </c>
      <c r="AD659" s="35" t="str">
        <f t="shared" si="23"/>
        <v/>
      </c>
    </row>
    <row r="660" spans="29:30" x14ac:dyDescent="0.25">
      <c r="AC660" s="33">
        <f t="shared" si="22"/>
        <v>658</v>
      </c>
      <c r="AD660" s="35" t="str">
        <f t="shared" si="23"/>
        <v/>
      </c>
    </row>
    <row r="661" spans="29:30" x14ac:dyDescent="0.25">
      <c r="AC661" s="33">
        <f t="shared" si="22"/>
        <v>659</v>
      </c>
      <c r="AD661" s="35" t="str">
        <f t="shared" si="23"/>
        <v/>
      </c>
    </row>
    <row r="662" spans="29:30" x14ac:dyDescent="0.25">
      <c r="AC662" s="33">
        <f t="shared" si="22"/>
        <v>660</v>
      </c>
      <c r="AD662" s="35" t="str">
        <f t="shared" si="23"/>
        <v/>
      </c>
    </row>
    <row r="663" spans="29:30" x14ac:dyDescent="0.25">
      <c r="AC663" s="33">
        <f t="shared" si="22"/>
        <v>661</v>
      </c>
      <c r="AD663" s="35" t="str">
        <f t="shared" si="23"/>
        <v/>
      </c>
    </row>
    <row r="664" spans="29:30" x14ac:dyDescent="0.25">
      <c r="AC664" s="33">
        <f t="shared" si="22"/>
        <v>662</v>
      </c>
      <c r="AD664" s="35" t="str">
        <f t="shared" si="23"/>
        <v/>
      </c>
    </row>
    <row r="665" spans="29:30" x14ac:dyDescent="0.25">
      <c r="AC665" s="33">
        <f t="shared" si="22"/>
        <v>663</v>
      </c>
      <c r="AD665" s="35" t="str">
        <f t="shared" si="23"/>
        <v/>
      </c>
    </row>
    <row r="666" spans="29:30" x14ac:dyDescent="0.25">
      <c r="AC666" s="33">
        <f t="shared" si="22"/>
        <v>664</v>
      </c>
      <c r="AD666" s="35" t="str">
        <f t="shared" si="23"/>
        <v/>
      </c>
    </row>
    <row r="667" spans="29:30" x14ac:dyDescent="0.25">
      <c r="AC667" s="33">
        <f t="shared" si="22"/>
        <v>665</v>
      </c>
      <c r="AD667" s="35" t="str">
        <f t="shared" si="23"/>
        <v/>
      </c>
    </row>
    <row r="668" spans="29:30" x14ac:dyDescent="0.25">
      <c r="AC668" s="33">
        <f t="shared" si="22"/>
        <v>666</v>
      </c>
      <c r="AD668" s="35" t="str">
        <f t="shared" si="23"/>
        <v/>
      </c>
    </row>
    <row r="669" spans="29:30" x14ac:dyDescent="0.25">
      <c r="AC669" s="33">
        <f t="shared" si="22"/>
        <v>667</v>
      </c>
      <c r="AD669" s="35" t="str">
        <f t="shared" si="23"/>
        <v/>
      </c>
    </row>
    <row r="670" spans="29:30" x14ac:dyDescent="0.25">
      <c r="AC670" s="33">
        <f t="shared" si="22"/>
        <v>668</v>
      </c>
      <c r="AD670" s="35" t="str">
        <f t="shared" si="23"/>
        <v/>
      </c>
    </row>
    <row r="671" spans="29:30" x14ac:dyDescent="0.25">
      <c r="AC671" s="33">
        <f t="shared" si="22"/>
        <v>669</v>
      </c>
      <c r="AD671" s="35" t="str">
        <f t="shared" si="23"/>
        <v/>
      </c>
    </row>
    <row r="672" spans="29:30" x14ac:dyDescent="0.25">
      <c r="AC672" s="33">
        <f t="shared" si="22"/>
        <v>670</v>
      </c>
      <c r="AD672" s="35" t="str">
        <f t="shared" si="23"/>
        <v/>
      </c>
    </row>
    <row r="673" spans="29:30" x14ac:dyDescent="0.25">
      <c r="AC673" s="33">
        <f t="shared" si="22"/>
        <v>671</v>
      </c>
      <c r="AD673" s="35" t="str">
        <f t="shared" si="23"/>
        <v/>
      </c>
    </row>
    <row r="674" spans="29:30" x14ac:dyDescent="0.25">
      <c r="AC674" s="33">
        <f t="shared" si="22"/>
        <v>672</v>
      </c>
      <c r="AD674" s="35" t="str">
        <f t="shared" si="23"/>
        <v/>
      </c>
    </row>
    <row r="675" spans="29:30" x14ac:dyDescent="0.25">
      <c r="AC675" s="33">
        <f t="shared" si="22"/>
        <v>673</v>
      </c>
      <c r="AD675" s="35" t="str">
        <f t="shared" si="23"/>
        <v/>
      </c>
    </row>
    <row r="676" spans="29:30" x14ac:dyDescent="0.25">
      <c r="AC676" s="33">
        <f t="shared" si="22"/>
        <v>674</v>
      </c>
      <c r="AD676" s="35" t="str">
        <f t="shared" si="23"/>
        <v/>
      </c>
    </row>
    <row r="677" spans="29:30" x14ac:dyDescent="0.25">
      <c r="AC677" s="33">
        <f t="shared" si="22"/>
        <v>675</v>
      </c>
      <c r="AD677" s="35" t="str">
        <f t="shared" si="23"/>
        <v/>
      </c>
    </row>
    <row r="678" spans="29:30" x14ac:dyDescent="0.25">
      <c r="AC678" s="33">
        <f t="shared" si="22"/>
        <v>676</v>
      </c>
      <c r="AD678" s="35" t="str">
        <f t="shared" si="23"/>
        <v/>
      </c>
    </row>
    <row r="679" spans="29:30" x14ac:dyDescent="0.25">
      <c r="AC679" s="33">
        <f t="shared" si="22"/>
        <v>677</v>
      </c>
      <c r="AD679" s="35" t="str">
        <f t="shared" si="23"/>
        <v/>
      </c>
    </row>
    <row r="680" spans="29:30" x14ac:dyDescent="0.25">
      <c r="AC680" s="33">
        <f t="shared" si="22"/>
        <v>678</v>
      </c>
      <c r="AD680" s="35" t="str">
        <f t="shared" si="23"/>
        <v/>
      </c>
    </row>
    <row r="681" spans="29:30" x14ac:dyDescent="0.25">
      <c r="AC681" s="33">
        <f t="shared" si="22"/>
        <v>679</v>
      </c>
      <c r="AD681" s="35" t="str">
        <f t="shared" si="23"/>
        <v/>
      </c>
    </row>
    <row r="682" spans="29:30" x14ac:dyDescent="0.25">
      <c r="AC682" s="33">
        <f t="shared" si="22"/>
        <v>680</v>
      </c>
      <c r="AD682" s="35" t="str">
        <f t="shared" si="23"/>
        <v/>
      </c>
    </row>
    <row r="683" spans="29:30" x14ac:dyDescent="0.25">
      <c r="AC683" s="33">
        <f t="shared" si="22"/>
        <v>681</v>
      </c>
      <c r="AD683" s="35" t="str">
        <f t="shared" si="23"/>
        <v/>
      </c>
    </row>
    <row r="684" spans="29:30" x14ac:dyDescent="0.25">
      <c r="AC684" s="33">
        <f t="shared" si="22"/>
        <v>682</v>
      </c>
      <c r="AD684" s="35" t="str">
        <f t="shared" si="23"/>
        <v/>
      </c>
    </row>
    <row r="685" spans="29:30" x14ac:dyDescent="0.25">
      <c r="AC685" s="33">
        <f t="shared" si="22"/>
        <v>683</v>
      </c>
      <c r="AD685" s="35" t="str">
        <f t="shared" si="23"/>
        <v/>
      </c>
    </row>
    <row r="686" spans="29:30" x14ac:dyDescent="0.25">
      <c r="AC686" s="33">
        <f t="shared" si="22"/>
        <v>684</v>
      </c>
      <c r="AD686" s="35" t="str">
        <f t="shared" si="23"/>
        <v/>
      </c>
    </row>
    <row r="687" spans="29:30" x14ac:dyDescent="0.25">
      <c r="AC687" s="33">
        <f t="shared" si="22"/>
        <v>685</v>
      </c>
      <c r="AD687" s="35" t="str">
        <f t="shared" si="23"/>
        <v/>
      </c>
    </row>
    <row r="688" spans="29:30" x14ac:dyDescent="0.25">
      <c r="AC688" s="33">
        <f t="shared" si="22"/>
        <v>686</v>
      </c>
      <c r="AD688" s="35" t="str">
        <f t="shared" si="23"/>
        <v/>
      </c>
    </row>
    <row r="689" spans="29:30" x14ac:dyDescent="0.25">
      <c r="AC689" s="33">
        <f t="shared" si="22"/>
        <v>687</v>
      </c>
      <c r="AD689" s="35" t="str">
        <f t="shared" si="23"/>
        <v/>
      </c>
    </row>
    <row r="690" spans="29:30" x14ac:dyDescent="0.25">
      <c r="AC690" s="33">
        <f t="shared" si="22"/>
        <v>688</v>
      </c>
      <c r="AD690" s="35" t="str">
        <f t="shared" si="23"/>
        <v/>
      </c>
    </row>
    <row r="691" spans="29:30" x14ac:dyDescent="0.25">
      <c r="AC691" s="33">
        <f t="shared" si="22"/>
        <v>689</v>
      </c>
      <c r="AD691" s="35" t="str">
        <f t="shared" si="23"/>
        <v/>
      </c>
    </row>
    <row r="692" spans="29:30" x14ac:dyDescent="0.25">
      <c r="AC692" s="33">
        <f t="shared" si="22"/>
        <v>690</v>
      </c>
      <c r="AD692" s="35" t="str">
        <f t="shared" si="23"/>
        <v/>
      </c>
    </row>
    <row r="693" spans="29:30" x14ac:dyDescent="0.25">
      <c r="AC693" s="33">
        <f t="shared" si="22"/>
        <v>691</v>
      </c>
      <c r="AD693" s="35" t="str">
        <f t="shared" si="23"/>
        <v/>
      </c>
    </row>
    <row r="694" spans="29:30" x14ac:dyDescent="0.25">
      <c r="AC694" s="33">
        <f t="shared" si="22"/>
        <v>692</v>
      </c>
      <c r="AD694" s="35" t="str">
        <f t="shared" si="23"/>
        <v/>
      </c>
    </row>
    <row r="695" spans="29:30" x14ac:dyDescent="0.25">
      <c r="AC695" s="33">
        <f t="shared" si="22"/>
        <v>693</v>
      </c>
      <c r="AD695" s="35" t="str">
        <f t="shared" si="23"/>
        <v/>
      </c>
    </row>
    <row r="696" spans="29:30" x14ac:dyDescent="0.25">
      <c r="AC696" s="33">
        <f t="shared" si="22"/>
        <v>694</v>
      </c>
      <c r="AD696" s="35" t="str">
        <f t="shared" si="23"/>
        <v/>
      </c>
    </row>
    <row r="697" spans="29:30" x14ac:dyDescent="0.25">
      <c r="AC697" s="33">
        <f t="shared" si="22"/>
        <v>695</v>
      </c>
      <c r="AD697" s="35" t="str">
        <f t="shared" si="23"/>
        <v/>
      </c>
    </row>
    <row r="698" spans="29:30" x14ac:dyDescent="0.25">
      <c r="AC698" s="33">
        <f t="shared" si="22"/>
        <v>696</v>
      </c>
      <c r="AD698" s="35" t="str">
        <f t="shared" si="23"/>
        <v/>
      </c>
    </row>
    <row r="699" spans="29:30" x14ac:dyDescent="0.25">
      <c r="AC699" s="33">
        <f t="shared" ref="AC699:AC762" si="24">AC698+1</f>
        <v>697</v>
      </c>
      <c r="AD699" s="35" t="str">
        <f t="shared" si="23"/>
        <v/>
      </c>
    </row>
    <row r="700" spans="29:30" x14ac:dyDescent="0.25">
      <c r="AC700" s="33">
        <f t="shared" si="24"/>
        <v>698</v>
      </c>
      <c r="AD700" s="35" t="str">
        <f t="shared" si="23"/>
        <v/>
      </c>
    </row>
    <row r="701" spans="29:30" x14ac:dyDescent="0.25">
      <c r="AC701" s="33">
        <f t="shared" si="24"/>
        <v>699</v>
      </c>
      <c r="AD701" s="35" t="str">
        <f t="shared" si="23"/>
        <v/>
      </c>
    </row>
    <row r="702" spans="29:30" x14ac:dyDescent="0.25">
      <c r="AC702" s="33">
        <f t="shared" si="24"/>
        <v>700</v>
      </c>
      <c r="AD702" s="35" t="str">
        <f t="shared" si="23"/>
        <v/>
      </c>
    </row>
    <row r="703" spans="29:30" x14ac:dyDescent="0.25">
      <c r="AC703" s="33">
        <f t="shared" si="24"/>
        <v>701</v>
      </c>
      <c r="AD703" s="35" t="str">
        <f t="shared" si="23"/>
        <v/>
      </c>
    </row>
    <row r="704" spans="29:30" x14ac:dyDescent="0.25">
      <c r="AC704" s="33">
        <f t="shared" si="24"/>
        <v>702</v>
      </c>
      <c r="AD704" s="35" t="str">
        <f t="shared" si="23"/>
        <v/>
      </c>
    </row>
    <row r="705" spans="29:30" x14ac:dyDescent="0.25">
      <c r="AC705" s="33">
        <f t="shared" si="24"/>
        <v>703</v>
      </c>
      <c r="AD705" s="35" t="str">
        <f t="shared" si="23"/>
        <v/>
      </c>
    </row>
    <row r="706" spans="29:30" x14ac:dyDescent="0.25">
      <c r="AC706" s="33">
        <f t="shared" si="24"/>
        <v>704</v>
      </c>
      <c r="AD706" s="35" t="str">
        <f t="shared" si="23"/>
        <v/>
      </c>
    </row>
    <row r="707" spans="29:30" x14ac:dyDescent="0.25">
      <c r="AC707" s="33">
        <f t="shared" si="24"/>
        <v>705</v>
      </c>
      <c r="AD707" s="35" t="str">
        <f t="shared" si="23"/>
        <v/>
      </c>
    </row>
    <row r="708" spans="29:30" x14ac:dyDescent="0.25">
      <c r="AC708" s="33">
        <f t="shared" si="24"/>
        <v>706</v>
      </c>
      <c r="AD708" s="35" t="str">
        <f t="shared" si="23"/>
        <v/>
      </c>
    </row>
    <row r="709" spans="29:30" x14ac:dyDescent="0.25">
      <c r="AC709" s="33">
        <f t="shared" si="24"/>
        <v>707</v>
      </c>
      <c r="AD709" s="35" t="str">
        <f t="shared" si="23"/>
        <v/>
      </c>
    </row>
    <row r="710" spans="29:30" x14ac:dyDescent="0.25">
      <c r="AC710" s="33">
        <f t="shared" si="24"/>
        <v>708</v>
      </c>
      <c r="AD710" s="35" t="str">
        <f t="shared" si="23"/>
        <v/>
      </c>
    </row>
    <row r="711" spans="29:30" x14ac:dyDescent="0.25">
      <c r="AC711" s="33">
        <f t="shared" si="24"/>
        <v>709</v>
      </c>
      <c r="AD711" s="35" t="str">
        <f t="shared" si="23"/>
        <v/>
      </c>
    </row>
    <row r="712" spans="29:30" x14ac:dyDescent="0.25">
      <c r="AC712" s="33">
        <f t="shared" si="24"/>
        <v>710</v>
      </c>
      <c r="AD712" s="35" t="str">
        <f t="shared" ref="AD712:AD775" si="25">IF(AD711&gt;AD$2,"",EOMONTH(AD711,1))</f>
        <v/>
      </c>
    </row>
    <row r="713" spans="29:30" x14ac:dyDescent="0.25">
      <c r="AC713" s="33">
        <f t="shared" si="24"/>
        <v>711</v>
      </c>
      <c r="AD713" s="35" t="str">
        <f t="shared" si="25"/>
        <v/>
      </c>
    </row>
    <row r="714" spans="29:30" x14ac:dyDescent="0.25">
      <c r="AC714" s="33">
        <f t="shared" si="24"/>
        <v>712</v>
      </c>
      <c r="AD714" s="35" t="str">
        <f t="shared" si="25"/>
        <v/>
      </c>
    </row>
    <row r="715" spans="29:30" x14ac:dyDescent="0.25">
      <c r="AC715" s="33">
        <f t="shared" si="24"/>
        <v>713</v>
      </c>
      <c r="AD715" s="35" t="str">
        <f t="shared" si="25"/>
        <v/>
      </c>
    </row>
    <row r="716" spans="29:30" x14ac:dyDescent="0.25">
      <c r="AC716" s="33">
        <f t="shared" si="24"/>
        <v>714</v>
      </c>
      <c r="AD716" s="35" t="str">
        <f t="shared" si="25"/>
        <v/>
      </c>
    </row>
    <row r="717" spans="29:30" x14ac:dyDescent="0.25">
      <c r="AC717" s="33">
        <f t="shared" si="24"/>
        <v>715</v>
      </c>
      <c r="AD717" s="35" t="str">
        <f t="shared" si="25"/>
        <v/>
      </c>
    </row>
    <row r="718" spans="29:30" x14ac:dyDescent="0.25">
      <c r="AC718" s="33">
        <f t="shared" si="24"/>
        <v>716</v>
      </c>
      <c r="AD718" s="35" t="str">
        <f t="shared" si="25"/>
        <v/>
      </c>
    </row>
    <row r="719" spans="29:30" x14ac:dyDescent="0.25">
      <c r="AC719" s="33">
        <f t="shared" si="24"/>
        <v>717</v>
      </c>
      <c r="AD719" s="35" t="str">
        <f t="shared" si="25"/>
        <v/>
      </c>
    </row>
    <row r="720" spans="29:30" x14ac:dyDescent="0.25">
      <c r="AC720" s="33">
        <f t="shared" si="24"/>
        <v>718</v>
      </c>
      <c r="AD720" s="35" t="str">
        <f t="shared" si="25"/>
        <v/>
      </c>
    </row>
    <row r="721" spans="29:30" x14ac:dyDescent="0.25">
      <c r="AC721" s="33">
        <f t="shared" si="24"/>
        <v>719</v>
      </c>
      <c r="AD721" s="35" t="str">
        <f t="shared" si="25"/>
        <v/>
      </c>
    </row>
    <row r="722" spans="29:30" x14ac:dyDescent="0.25">
      <c r="AC722" s="33">
        <f t="shared" si="24"/>
        <v>720</v>
      </c>
      <c r="AD722" s="35" t="str">
        <f t="shared" si="25"/>
        <v/>
      </c>
    </row>
    <row r="723" spans="29:30" x14ac:dyDescent="0.25">
      <c r="AC723" s="33">
        <f t="shared" si="24"/>
        <v>721</v>
      </c>
      <c r="AD723" s="35" t="str">
        <f t="shared" si="25"/>
        <v/>
      </c>
    </row>
    <row r="724" spans="29:30" x14ac:dyDescent="0.25">
      <c r="AC724" s="33">
        <f t="shared" si="24"/>
        <v>722</v>
      </c>
      <c r="AD724" s="35" t="str">
        <f t="shared" si="25"/>
        <v/>
      </c>
    </row>
    <row r="725" spans="29:30" x14ac:dyDescent="0.25">
      <c r="AC725" s="33">
        <f t="shared" si="24"/>
        <v>723</v>
      </c>
      <c r="AD725" s="35" t="str">
        <f t="shared" si="25"/>
        <v/>
      </c>
    </row>
    <row r="726" spans="29:30" x14ac:dyDescent="0.25">
      <c r="AC726" s="33">
        <f t="shared" si="24"/>
        <v>724</v>
      </c>
      <c r="AD726" s="35" t="str">
        <f t="shared" si="25"/>
        <v/>
      </c>
    </row>
    <row r="727" spans="29:30" x14ac:dyDescent="0.25">
      <c r="AC727" s="33">
        <f t="shared" si="24"/>
        <v>725</v>
      </c>
      <c r="AD727" s="35" t="str">
        <f t="shared" si="25"/>
        <v/>
      </c>
    </row>
    <row r="728" spans="29:30" x14ac:dyDescent="0.25">
      <c r="AC728" s="33">
        <f t="shared" si="24"/>
        <v>726</v>
      </c>
      <c r="AD728" s="35" t="str">
        <f t="shared" si="25"/>
        <v/>
      </c>
    </row>
    <row r="729" spans="29:30" x14ac:dyDescent="0.25">
      <c r="AC729" s="33">
        <f t="shared" si="24"/>
        <v>727</v>
      </c>
      <c r="AD729" s="35" t="str">
        <f t="shared" si="25"/>
        <v/>
      </c>
    </row>
    <row r="730" spans="29:30" x14ac:dyDescent="0.25">
      <c r="AC730" s="33">
        <f t="shared" si="24"/>
        <v>728</v>
      </c>
      <c r="AD730" s="35" t="str">
        <f t="shared" si="25"/>
        <v/>
      </c>
    </row>
    <row r="731" spans="29:30" x14ac:dyDescent="0.25">
      <c r="AC731" s="33">
        <f t="shared" si="24"/>
        <v>729</v>
      </c>
      <c r="AD731" s="35" t="str">
        <f t="shared" si="25"/>
        <v/>
      </c>
    </row>
    <row r="732" spans="29:30" x14ac:dyDescent="0.25">
      <c r="AC732" s="33">
        <f t="shared" si="24"/>
        <v>730</v>
      </c>
      <c r="AD732" s="35" t="str">
        <f t="shared" si="25"/>
        <v/>
      </c>
    </row>
    <row r="733" spans="29:30" x14ac:dyDescent="0.25">
      <c r="AC733" s="33">
        <f t="shared" si="24"/>
        <v>731</v>
      </c>
      <c r="AD733" s="35" t="str">
        <f t="shared" si="25"/>
        <v/>
      </c>
    </row>
    <row r="734" spans="29:30" x14ac:dyDescent="0.25">
      <c r="AC734" s="33">
        <f t="shared" si="24"/>
        <v>732</v>
      </c>
      <c r="AD734" s="35" t="str">
        <f t="shared" si="25"/>
        <v/>
      </c>
    </row>
    <row r="735" spans="29:30" x14ac:dyDescent="0.25">
      <c r="AC735" s="33">
        <f t="shared" si="24"/>
        <v>733</v>
      </c>
      <c r="AD735" s="35" t="str">
        <f t="shared" si="25"/>
        <v/>
      </c>
    </row>
    <row r="736" spans="29:30" x14ac:dyDescent="0.25">
      <c r="AC736" s="33">
        <f t="shared" si="24"/>
        <v>734</v>
      </c>
      <c r="AD736" s="35" t="str">
        <f t="shared" si="25"/>
        <v/>
      </c>
    </row>
    <row r="737" spans="29:30" x14ac:dyDescent="0.25">
      <c r="AC737" s="33">
        <f t="shared" si="24"/>
        <v>735</v>
      </c>
      <c r="AD737" s="35" t="str">
        <f t="shared" si="25"/>
        <v/>
      </c>
    </row>
    <row r="738" spans="29:30" x14ac:dyDescent="0.25">
      <c r="AC738" s="33">
        <f t="shared" si="24"/>
        <v>736</v>
      </c>
      <c r="AD738" s="35" t="str">
        <f t="shared" si="25"/>
        <v/>
      </c>
    </row>
    <row r="739" spans="29:30" x14ac:dyDescent="0.25">
      <c r="AC739" s="33">
        <f t="shared" si="24"/>
        <v>737</v>
      </c>
      <c r="AD739" s="35" t="str">
        <f t="shared" si="25"/>
        <v/>
      </c>
    </row>
    <row r="740" spans="29:30" x14ac:dyDescent="0.25">
      <c r="AC740" s="33">
        <f t="shared" si="24"/>
        <v>738</v>
      </c>
      <c r="AD740" s="35" t="str">
        <f t="shared" si="25"/>
        <v/>
      </c>
    </row>
    <row r="741" spans="29:30" x14ac:dyDescent="0.25">
      <c r="AC741" s="33">
        <f t="shared" si="24"/>
        <v>739</v>
      </c>
      <c r="AD741" s="35" t="str">
        <f t="shared" si="25"/>
        <v/>
      </c>
    </row>
    <row r="742" spans="29:30" x14ac:dyDescent="0.25">
      <c r="AC742" s="33">
        <f t="shared" si="24"/>
        <v>740</v>
      </c>
      <c r="AD742" s="35" t="str">
        <f t="shared" si="25"/>
        <v/>
      </c>
    </row>
    <row r="743" spans="29:30" x14ac:dyDescent="0.25">
      <c r="AC743" s="33">
        <f t="shared" si="24"/>
        <v>741</v>
      </c>
      <c r="AD743" s="35" t="str">
        <f t="shared" si="25"/>
        <v/>
      </c>
    </row>
    <row r="744" spans="29:30" x14ac:dyDescent="0.25">
      <c r="AC744" s="33">
        <f t="shared" si="24"/>
        <v>742</v>
      </c>
      <c r="AD744" s="35" t="str">
        <f t="shared" si="25"/>
        <v/>
      </c>
    </row>
    <row r="745" spans="29:30" x14ac:dyDescent="0.25">
      <c r="AC745" s="33">
        <f t="shared" si="24"/>
        <v>743</v>
      </c>
      <c r="AD745" s="35" t="str">
        <f t="shared" si="25"/>
        <v/>
      </c>
    </row>
    <row r="746" spans="29:30" x14ac:dyDescent="0.25">
      <c r="AC746" s="33">
        <f t="shared" si="24"/>
        <v>744</v>
      </c>
      <c r="AD746" s="35" t="str">
        <f t="shared" si="25"/>
        <v/>
      </c>
    </row>
    <row r="747" spans="29:30" x14ac:dyDescent="0.25">
      <c r="AC747" s="33">
        <f t="shared" si="24"/>
        <v>745</v>
      </c>
      <c r="AD747" s="35" t="str">
        <f t="shared" si="25"/>
        <v/>
      </c>
    </row>
    <row r="748" spans="29:30" x14ac:dyDescent="0.25">
      <c r="AC748" s="33">
        <f t="shared" si="24"/>
        <v>746</v>
      </c>
      <c r="AD748" s="35" t="str">
        <f t="shared" si="25"/>
        <v/>
      </c>
    </row>
    <row r="749" spans="29:30" x14ac:dyDescent="0.25">
      <c r="AC749" s="33">
        <f t="shared" si="24"/>
        <v>747</v>
      </c>
      <c r="AD749" s="35" t="str">
        <f t="shared" si="25"/>
        <v/>
      </c>
    </row>
    <row r="750" spans="29:30" x14ac:dyDescent="0.25">
      <c r="AC750" s="33">
        <f t="shared" si="24"/>
        <v>748</v>
      </c>
      <c r="AD750" s="35" t="str">
        <f t="shared" si="25"/>
        <v/>
      </c>
    </row>
    <row r="751" spans="29:30" x14ac:dyDescent="0.25">
      <c r="AC751" s="33">
        <f t="shared" si="24"/>
        <v>749</v>
      </c>
      <c r="AD751" s="35" t="str">
        <f t="shared" si="25"/>
        <v/>
      </c>
    </row>
    <row r="752" spans="29:30" x14ac:dyDescent="0.25">
      <c r="AC752" s="33">
        <f t="shared" si="24"/>
        <v>750</v>
      </c>
      <c r="AD752" s="35" t="str">
        <f t="shared" si="25"/>
        <v/>
      </c>
    </row>
    <row r="753" spans="29:30" x14ac:dyDescent="0.25">
      <c r="AC753" s="33">
        <f t="shared" si="24"/>
        <v>751</v>
      </c>
      <c r="AD753" s="35" t="str">
        <f t="shared" si="25"/>
        <v/>
      </c>
    </row>
    <row r="754" spans="29:30" x14ac:dyDescent="0.25">
      <c r="AC754" s="33">
        <f t="shared" si="24"/>
        <v>752</v>
      </c>
      <c r="AD754" s="35" t="str">
        <f t="shared" si="25"/>
        <v/>
      </c>
    </row>
    <row r="755" spans="29:30" x14ac:dyDescent="0.25">
      <c r="AC755" s="33">
        <f t="shared" si="24"/>
        <v>753</v>
      </c>
      <c r="AD755" s="35" t="str">
        <f t="shared" si="25"/>
        <v/>
      </c>
    </row>
    <row r="756" spans="29:30" x14ac:dyDescent="0.25">
      <c r="AC756" s="33">
        <f t="shared" si="24"/>
        <v>754</v>
      </c>
      <c r="AD756" s="35" t="str">
        <f t="shared" si="25"/>
        <v/>
      </c>
    </row>
    <row r="757" spans="29:30" x14ac:dyDescent="0.25">
      <c r="AC757" s="33">
        <f t="shared" si="24"/>
        <v>755</v>
      </c>
      <c r="AD757" s="35" t="str">
        <f t="shared" si="25"/>
        <v/>
      </c>
    </row>
    <row r="758" spans="29:30" x14ac:dyDescent="0.25">
      <c r="AC758" s="33">
        <f t="shared" si="24"/>
        <v>756</v>
      </c>
      <c r="AD758" s="35" t="str">
        <f t="shared" si="25"/>
        <v/>
      </c>
    </row>
    <row r="759" spans="29:30" x14ac:dyDescent="0.25">
      <c r="AC759" s="33">
        <f t="shared" si="24"/>
        <v>757</v>
      </c>
      <c r="AD759" s="35" t="str">
        <f t="shared" si="25"/>
        <v/>
      </c>
    </row>
    <row r="760" spans="29:30" x14ac:dyDescent="0.25">
      <c r="AC760" s="33">
        <f t="shared" si="24"/>
        <v>758</v>
      </c>
      <c r="AD760" s="35" t="str">
        <f t="shared" si="25"/>
        <v/>
      </c>
    </row>
    <row r="761" spans="29:30" x14ac:dyDescent="0.25">
      <c r="AC761" s="33">
        <f t="shared" si="24"/>
        <v>759</v>
      </c>
      <c r="AD761" s="35" t="str">
        <f t="shared" si="25"/>
        <v/>
      </c>
    </row>
    <row r="762" spans="29:30" x14ac:dyDescent="0.25">
      <c r="AC762" s="33">
        <f t="shared" si="24"/>
        <v>760</v>
      </c>
      <c r="AD762" s="35" t="str">
        <f t="shared" si="25"/>
        <v/>
      </c>
    </row>
    <row r="763" spans="29:30" x14ac:dyDescent="0.25">
      <c r="AC763" s="33">
        <f t="shared" ref="AC763:AC826" si="26">AC762+1</f>
        <v>761</v>
      </c>
      <c r="AD763" s="35" t="str">
        <f t="shared" si="25"/>
        <v/>
      </c>
    </row>
    <row r="764" spans="29:30" x14ac:dyDescent="0.25">
      <c r="AC764" s="33">
        <f t="shared" si="26"/>
        <v>762</v>
      </c>
      <c r="AD764" s="35" t="str">
        <f t="shared" si="25"/>
        <v/>
      </c>
    </row>
    <row r="765" spans="29:30" x14ac:dyDescent="0.25">
      <c r="AC765" s="33">
        <f t="shared" si="26"/>
        <v>763</v>
      </c>
      <c r="AD765" s="35" t="str">
        <f t="shared" si="25"/>
        <v/>
      </c>
    </row>
    <row r="766" spans="29:30" x14ac:dyDescent="0.25">
      <c r="AC766" s="33">
        <f t="shared" si="26"/>
        <v>764</v>
      </c>
      <c r="AD766" s="35" t="str">
        <f t="shared" si="25"/>
        <v/>
      </c>
    </row>
    <row r="767" spans="29:30" x14ac:dyDescent="0.25">
      <c r="AC767" s="33">
        <f t="shared" si="26"/>
        <v>765</v>
      </c>
      <c r="AD767" s="35" t="str">
        <f t="shared" si="25"/>
        <v/>
      </c>
    </row>
    <row r="768" spans="29:30" x14ac:dyDescent="0.25">
      <c r="AC768" s="33">
        <f t="shared" si="26"/>
        <v>766</v>
      </c>
      <c r="AD768" s="35" t="str">
        <f t="shared" si="25"/>
        <v/>
      </c>
    </row>
    <row r="769" spans="29:30" x14ac:dyDescent="0.25">
      <c r="AC769" s="33">
        <f t="shared" si="26"/>
        <v>767</v>
      </c>
      <c r="AD769" s="35" t="str">
        <f t="shared" si="25"/>
        <v/>
      </c>
    </row>
    <row r="770" spans="29:30" x14ac:dyDescent="0.25">
      <c r="AC770" s="33">
        <f t="shared" si="26"/>
        <v>768</v>
      </c>
      <c r="AD770" s="35" t="str">
        <f t="shared" si="25"/>
        <v/>
      </c>
    </row>
    <row r="771" spans="29:30" x14ac:dyDescent="0.25">
      <c r="AC771" s="33">
        <f t="shared" si="26"/>
        <v>769</v>
      </c>
      <c r="AD771" s="35" t="str">
        <f t="shared" si="25"/>
        <v/>
      </c>
    </row>
    <row r="772" spans="29:30" x14ac:dyDescent="0.25">
      <c r="AC772" s="33">
        <f t="shared" si="26"/>
        <v>770</v>
      </c>
      <c r="AD772" s="35" t="str">
        <f t="shared" si="25"/>
        <v/>
      </c>
    </row>
    <row r="773" spans="29:30" x14ac:dyDescent="0.25">
      <c r="AC773" s="33">
        <f t="shared" si="26"/>
        <v>771</v>
      </c>
      <c r="AD773" s="35" t="str">
        <f t="shared" si="25"/>
        <v/>
      </c>
    </row>
    <row r="774" spans="29:30" x14ac:dyDescent="0.25">
      <c r="AC774" s="33">
        <f t="shared" si="26"/>
        <v>772</v>
      </c>
      <c r="AD774" s="35" t="str">
        <f t="shared" si="25"/>
        <v/>
      </c>
    </row>
    <row r="775" spans="29:30" x14ac:dyDescent="0.25">
      <c r="AC775" s="33">
        <f t="shared" si="26"/>
        <v>773</v>
      </c>
      <c r="AD775" s="35" t="str">
        <f t="shared" si="25"/>
        <v/>
      </c>
    </row>
    <row r="776" spans="29:30" x14ac:dyDescent="0.25">
      <c r="AC776" s="33">
        <f t="shared" si="26"/>
        <v>774</v>
      </c>
      <c r="AD776" s="35" t="str">
        <f t="shared" ref="AD776:AD839" si="27">IF(AD775&gt;AD$2,"",EOMONTH(AD775,1))</f>
        <v/>
      </c>
    </row>
    <row r="777" spans="29:30" x14ac:dyDescent="0.25">
      <c r="AC777" s="33">
        <f t="shared" si="26"/>
        <v>775</v>
      </c>
      <c r="AD777" s="35" t="str">
        <f t="shared" si="27"/>
        <v/>
      </c>
    </row>
    <row r="778" spans="29:30" x14ac:dyDescent="0.25">
      <c r="AC778" s="33">
        <f t="shared" si="26"/>
        <v>776</v>
      </c>
      <c r="AD778" s="35" t="str">
        <f t="shared" si="27"/>
        <v/>
      </c>
    </row>
    <row r="779" spans="29:30" x14ac:dyDescent="0.25">
      <c r="AC779" s="33">
        <f t="shared" si="26"/>
        <v>777</v>
      </c>
      <c r="AD779" s="35" t="str">
        <f t="shared" si="27"/>
        <v/>
      </c>
    </row>
    <row r="780" spans="29:30" x14ac:dyDescent="0.25">
      <c r="AC780" s="33">
        <f t="shared" si="26"/>
        <v>778</v>
      </c>
      <c r="AD780" s="35" t="str">
        <f t="shared" si="27"/>
        <v/>
      </c>
    </row>
    <row r="781" spans="29:30" x14ac:dyDescent="0.25">
      <c r="AC781" s="33">
        <f t="shared" si="26"/>
        <v>779</v>
      </c>
      <c r="AD781" s="35" t="str">
        <f t="shared" si="27"/>
        <v/>
      </c>
    </row>
    <row r="782" spans="29:30" x14ac:dyDescent="0.25">
      <c r="AC782" s="33">
        <f t="shared" si="26"/>
        <v>780</v>
      </c>
      <c r="AD782" s="35" t="str">
        <f t="shared" si="27"/>
        <v/>
      </c>
    </row>
    <row r="783" spans="29:30" x14ac:dyDescent="0.25">
      <c r="AC783" s="33">
        <f t="shared" si="26"/>
        <v>781</v>
      </c>
      <c r="AD783" s="35" t="str">
        <f t="shared" si="27"/>
        <v/>
      </c>
    </row>
    <row r="784" spans="29:30" x14ac:dyDescent="0.25">
      <c r="AC784" s="33">
        <f t="shared" si="26"/>
        <v>782</v>
      </c>
      <c r="AD784" s="35" t="str">
        <f t="shared" si="27"/>
        <v/>
      </c>
    </row>
    <row r="785" spans="29:30" x14ac:dyDescent="0.25">
      <c r="AC785" s="33">
        <f t="shared" si="26"/>
        <v>783</v>
      </c>
      <c r="AD785" s="35" t="str">
        <f t="shared" si="27"/>
        <v/>
      </c>
    </row>
    <row r="786" spans="29:30" x14ac:dyDescent="0.25">
      <c r="AC786" s="33">
        <f t="shared" si="26"/>
        <v>784</v>
      </c>
      <c r="AD786" s="35" t="str">
        <f t="shared" si="27"/>
        <v/>
      </c>
    </row>
    <row r="787" spans="29:30" x14ac:dyDescent="0.25">
      <c r="AC787" s="33">
        <f t="shared" si="26"/>
        <v>785</v>
      </c>
      <c r="AD787" s="35" t="str">
        <f t="shared" si="27"/>
        <v/>
      </c>
    </row>
    <row r="788" spans="29:30" x14ac:dyDescent="0.25">
      <c r="AC788" s="33">
        <f t="shared" si="26"/>
        <v>786</v>
      </c>
      <c r="AD788" s="35" t="str">
        <f t="shared" si="27"/>
        <v/>
      </c>
    </row>
    <row r="789" spans="29:30" x14ac:dyDescent="0.25">
      <c r="AC789" s="33">
        <f t="shared" si="26"/>
        <v>787</v>
      </c>
      <c r="AD789" s="35" t="str">
        <f t="shared" si="27"/>
        <v/>
      </c>
    </row>
    <row r="790" spans="29:30" x14ac:dyDescent="0.25">
      <c r="AC790" s="33">
        <f t="shared" si="26"/>
        <v>788</v>
      </c>
      <c r="AD790" s="35" t="str">
        <f t="shared" si="27"/>
        <v/>
      </c>
    </row>
    <row r="791" spans="29:30" x14ac:dyDescent="0.25">
      <c r="AC791" s="33">
        <f t="shared" si="26"/>
        <v>789</v>
      </c>
      <c r="AD791" s="35" t="str">
        <f t="shared" si="27"/>
        <v/>
      </c>
    </row>
    <row r="792" spans="29:30" x14ac:dyDescent="0.25">
      <c r="AC792" s="33">
        <f t="shared" si="26"/>
        <v>790</v>
      </c>
      <c r="AD792" s="35" t="str">
        <f t="shared" si="27"/>
        <v/>
      </c>
    </row>
    <row r="793" spans="29:30" x14ac:dyDescent="0.25">
      <c r="AC793" s="33">
        <f t="shared" si="26"/>
        <v>791</v>
      </c>
      <c r="AD793" s="35" t="str">
        <f t="shared" si="27"/>
        <v/>
      </c>
    </row>
    <row r="794" spans="29:30" x14ac:dyDescent="0.25">
      <c r="AC794" s="33">
        <f t="shared" si="26"/>
        <v>792</v>
      </c>
      <c r="AD794" s="35" t="str">
        <f t="shared" si="27"/>
        <v/>
      </c>
    </row>
    <row r="795" spans="29:30" x14ac:dyDescent="0.25">
      <c r="AC795" s="33">
        <f t="shared" si="26"/>
        <v>793</v>
      </c>
      <c r="AD795" s="35" t="str">
        <f t="shared" si="27"/>
        <v/>
      </c>
    </row>
    <row r="796" spans="29:30" x14ac:dyDescent="0.25">
      <c r="AC796" s="33">
        <f t="shared" si="26"/>
        <v>794</v>
      </c>
      <c r="AD796" s="35" t="str">
        <f t="shared" si="27"/>
        <v/>
      </c>
    </row>
    <row r="797" spans="29:30" x14ac:dyDescent="0.25">
      <c r="AC797" s="33">
        <f t="shared" si="26"/>
        <v>795</v>
      </c>
      <c r="AD797" s="35" t="str">
        <f t="shared" si="27"/>
        <v/>
      </c>
    </row>
    <row r="798" spans="29:30" x14ac:dyDescent="0.25">
      <c r="AC798" s="33">
        <f t="shared" si="26"/>
        <v>796</v>
      </c>
      <c r="AD798" s="35" t="str">
        <f t="shared" si="27"/>
        <v/>
      </c>
    </row>
    <row r="799" spans="29:30" x14ac:dyDescent="0.25">
      <c r="AC799" s="33">
        <f t="shared" si="26"/>
        <v>797</v>
      </c>
      <c r="AD799" s="35" t="str">
        <f t="shared" si="27"/>
        <v/>
      </c>
    </row>
    <row r="800" spans="29:30" x14ac:dyDescent="0.25">
      <c r="AC800" s="33">
        <f t="shared" si="26"/>
        <v>798</v>
      </c>
      <c r="AD800" s="35" t="str">
        <f t="shared" si="27"/>
        <v/>
      </c>
    </row>
    <row r="801" spans="29:30" x14ac:dyDescent="0.25">
      <c r="AC801" s="33">
        <f t="shared" si="26"/>
        <v>799</v>
      </c>
      <c r="AD801" s="35" t="str">
        <f t="shared" si="27"/>
        <v/>
      </c>
    </row>
    <row r="802" spans="29:30" x14ac:dyDescent="0.25">
      <c r="AC802" s="33">
        <f t="shared" si="26"/>
        <v>800</v>
      </c>
      <c r="AD802" s="35" t="str">
        <f t="shared" si="27"/>
        <v/>
      </c>
    </row>
    <row r="803" spans="29:30" x14ac:dyDescent="0.25">
      <c r="AC803" s="33">
        <f t="shared" si="26"/>
        <v>801</v>
      </c>
      <c r="AD803" s="35" t="str">
        <f t="shared" si="27"/>
        <v/>
      </c>
    </row>
    <row r="804" spans="29:30" x14ac:dyDescent="0.25">
      <c r="AC804" s="33">
        <f t="shared" si="26"/>
        <v>802</v>
      </c>
      <c r="AD804" s="35" t="str">
        <f t="shared" si="27"/>
        <v/>
      </c>
    </row>
    <row r="805" spans="29:30" x14ac:dyDescent="0.25">
      <c r="AC805" s="33">
        <f t="shared" si="26"/>
        <v>803</v>
      </c>
      <c r="AD805" s="35" t="str">
        <f t="shared" si="27"/>
        <v/>
      </c>
    </row>
    <row r="806" spans="29:30" x14ac:dyDescent="0.25">
      <c r="AC806" s="33">
        <f t="shared" si="26"/>
        <v>804</v>
      </c>
      <c r="AD806" s="35" t="str">
        <f t="shared" si="27"/>
        <v/>
      </c>
    </row>
    <row r="807" spans="29:30" x14ac:dyDescent="0.25">
      <c r="AC807" s="33">
        <f t="shared" si="26"/>
        <v>805</v>
      </c>
      <c r="AD807" s="35" t="str">
        <f t="shared" si="27"/>
        <v/>
      </c>
    </row>
    <row r="808" spans="29:30" x14ac:dyDescent="0.25">
      <c r="AC808" s="33">
        <f t="shared" si="26"/>
        <v>806</v>
      </c>
      <c r="AD808" s="35" t="str">
        <f t="shared" si="27"/>
        <v/>
      </c>
    </row>
    <row r="809" spans="29:30" x14ac:dyDescent="0.25">
      <c r="AC809" s="33">
        <f t="shared" si="26"/>
        <v>807</v>
      </c>
      <c r="AD809" s="35" t="str">
        <f t="shared" si="27"/>
        <v/>
      </c>
    </row>
    <row r="810" spans="29:30" x14ac:dyDescent="0.25">
      <c r="AC810" s="33">
        <f t="shared" si="26"/>
        <v>808</v>
      </c>
      <c r="AD810" s="35" t="str">
        <f t="shared" si="27"/>
        <v/>
      </c>
    </row>
    <row r="811" spans="29:30" x14ac:dyDescent="0.25">
      <c r="AC811" s="33">
        <f t="shared" si="26"/>
        <v>809</v>
      </c>
      <c r="AD811" s="35" t="str">
        <f t="shared" si="27"/>
        <v/>
      </c>
    </row>
    <row r="812" spans="29:30" x14ac:dyDescent="0.25">
      <c r="AC812" s="33">
        <f t="shared" si="26"/>
        <v>810</v>
      </c>
      <c r="AD812" s="35" t="str">
        <f t="shared" si="27"/>
        <v/>
      </c>
    </row>
    <row r="813" spans="29:30" x14ac:dyDescent="0.25">
      <c r="AC813" s="33">
        <f t="shared" si="26"/>
        <v>811</v>
      </c>
      <c r="AD813" s="35" t="str">
        <f t="shared" si="27"/>
        <v/>
      </c>
    </row>
    <row r="814" spans="29:30" x14ac:dyDescent="0.25">
      <c r="AC814" s="33">
        <f t="shared" si="26"/>
        <v>812</v>
      </c>
      <c r="AD814" s="35" t="str">
        <f t="shared" si="27"/>
        <v/>
      </c>
    </row>
    <row r="815" spans="29:30" x14ac:dyDescent="0.25">
      <c r="AC815" s="33">
        <f t="shared" si="26"/>
        <v>813</v>
      </c>
      <c r="AD815" s="35" t="str">
        <f t="shared" si="27"/>
        <v/>
      </c>
    </row>
    <row r="816" spans="29:30" x14ac:dyDescent="0.25">
      <c r="AC816" s="33">
        <f t="shared" si="26"/>
        <v>814</v>
      </c>
      <c r="AD816" s="35" t="str">
        <f t="shared" si="27"/>
        <v/>
      </c>
    </row>
    <row r="817" spans="29:30" x14ac:dyDescent="0.25">
      <c r="AC817" s="33">
        <f t="shared" si="26"/>
        <v>815</v>
      </c>
      <c r="AD817" s="35" t="str">
        <f t="shared" si="27"/>
        <v/>
      </c>
    </row>
    <row r="818" spans="29:30" x14ac:dyDescent="0.25">
      <c r="AC818" s="33">
        <f t="shared" si="26"/>
        <v>816</v>
      </c>
      <c r="AD818" s="35" t="str">
        <f t="shared" si="27"/>
        <v/>
      </c>
    </row>
    <row r="819" spans="29:30" x14ac:dyDescent="0.25">
      <c r="AC819" s="33">
        <f t="shared" si="26"/>
        <v>817</v>
      </c>
      <c r="AD819" s="35" t="str">
        <f t="shared" si="27"/>
        <v/>
      </c>
    </row>
    <row r="820" spans="29:30" x14ac:dyDescent="0.25">
      <c r="AC820" s="33">
        <f t="shared" si="26"/>
        <v>818</v>
      </c>
      <c r="AD820" s="35" t="str">
        <f t="shared" si="27"/>
        <v/>
      </c>
    </row>
    <row r="821" spans="29:30" x14ac:dyDescent="0.25">
      <c r="AC821" s="33">
        <f t="shared" si="26"/>
        <v>819</v>
      </c>
      <c r="AD821" s="35" t="str">
        <f t="shared" si="27"/>
        <v/>
      </c>
    </row>
    <row r="822" spans="29:30" x14ac:dyDescent="0.25">
      <c r="AC822" s="33">
        <f t="shared" si="26"/>
        <v>820</v>
      </c>
      <c r="AD822" s="35" t="str">
        <f t="shared" si="27"/>
        <v/>
      </c>
    </row>
    <row r="823" spans="29:30" x14ac:dyDescent="0.25">
      <c r="AC823" s="33">
        <f t="shared" si="26"/>
        <v>821</v>
      </c>
      <c r="AD823" s="35" t="str">
        <f t="shared" si="27"/>
        <v/>
      </c>
    </row>
    <row r="824" spans="29:30" x14ac:dyDescent="0.25">
      <c r="AC824" s="33">
        <f t="shared" si="26"/>
        <v>822</v>
      </c>
      <c r="AD824" s="35" t="str">
        <f t="shared" si="27"/>
        <v/>
      </c>
    </row>
    <row r="825" spans="29:30" x14ac:dyDescent="0.25">
      <c r="AC825" s="33">
        <f t="shared" si="26"/>
        <v>823</v>
      </c>
      <c r="AD825" s="35" t="str">
        <f t="shared" si="27"/>
        <v/>
      </c>
    </row>
    <row r="826" spans="29:30" x14ac:dyDescent="0.25">
      <c r="AC826" s="33">
        <f t="shared" si="26"/>
        <v>824</v>
      </c>
      <c r="AD826" s="35" t="str">
        <f t="shared" si="27"/>
        <v/>
      </c>
    </row>
    <row r="827" spans="29:30" x14ac:dyDescent="0.25">
      <c r="AC827" s="33">
        <f t="shared" ref="AC827:AC890" si="28">AC826+1</f>
        <v>825</v>
      </c>
      <c r="AD827" s="35" t="str">
        <f t="shared" si="27"/>
        <v/>
      </c>
    </row>
    <row r="828" spans="29:30" x14ac:dyDescent="0.25">
      <c r="AC828" s="33">
        <f t="shared" si="28"/>
        <v>826</v>
      </c>
      <c r="AD828" s="35" t="str">
        <f t="shared" si="27"/>
        <v/>
      </c>
    </row>
    <row r="829" spans="29:30" x14ac:dyDescent="0.25">
      <c r="AC829" s="33">
        <f t="shared" si="28"/>
        <v>827</v>
      </c>
      <c r="AD829" s="35" t="str">
        <f t="shared" si="27"/>
        <v/>
      </c>
    </row>
    <row r="830" spans="29:30" x14ac:dyDescent="0.25">
      <c r="AC830" s="33">
        <f t="shared" si="28"/>
        <v>828</v>
      </c>
      <c r="AD830" s="35" t="str">
        <f t="shared" si="27"/>
        <v/>
      </c>
    </row>
    <row r="831" spans="29:30" x14ac:dyDescent="0.25">
      <c r="AC831" s="33">
        <f t="shared" si="28"/>
        <v>829</v>
      </c>
      <c r="AD831" s="35" t="str">
        <f t="shared" si="27"/>
        <v/>
      </c>
    </row>
    <row r="832" spans="29:30" x14ac:dyDescent="0.25">
      <c r="AC832" s="33">
        <f t="shared" si="28"/>
        <v>830</v>
      </c>
      <c r="AD832" s="35" t="str">
        <f t="shared" si="27"/>
        <v/>
      </c>
    </row>
    <row r="833" spans="29:30" x14ac:dyDescent="0.25">
      <c r="AC833" s="33">
        <f t="shared" si="28"/>
        <v>831</v>
      </c>
      <c r="AD833" s="35" t="str">
        <f t="shared" si="27"/>
        <v/>
      </c>
    </row>
    <row r="834" spans="29:30" x14ac:dyDescent="0.25">
      <c r="AC834" s="33">
        <f t="shared" si="28"/>
        <v>832</v>
      </c>
      <c r="AD834" s="35" t="str">
        <f t="shared" si="27"/>
        <v/>
      </c>
    </row>
    <row r="835" spans="29:30" x14ac:dyDescent="0.25">
      <c r="AC835" s="33">
        <f t="shared" si="28"/>
        <v>833</v>
      </c>
      <c r="AD835" s="35" t="str">
        <f t="shared" si="27"/>
        <v/>
      </c>
    </row>
    <row r="836" spans="29:30" x14ac:dyDescent="0.25">
      <c r="AC836" s="33">
        <f t="shared" si="28"/>
        <v>834</v>
      </c>
      <c r="AD836" s="35" t="str">
        <f t="shared" si="27"/>
        <v/>
      </c>
    </row>
    <row r="837" spans="29:30" x14ac:dyDescent="0.25">
      <c r="AC837" s="33">
        <f t="shared" si="28"/>
        <v>835</v>
      </c>
      <c r="AD837" s="35" t="str">
        <f t="shared" si="27"/>
        <v/>
      </c>
    </row>
    <row r="838" spans="29:30" x14ac:dyDescent="0.25">
      <c r="AC838" s="33">
        <f t="shared" si="28"/>
        <v>836</v>
      </c>
      <c r="AD838" s="35" t="str">
        <f t="shared" si="27"/>
        <v/>
      </c>
    </row>
    <row r="839" spans="29:30" x14ac:dyDescent="0.25">
      <c r="AC839" s="33">
        <f t="shared" si="28"/>
        <v>837</v>
      </c>
      <c r="AD839" s="35" t="str">
        <f t="shared" si="27"/>
        <v/>
      </c>
    </row>
    <row r="840" spans="29:30" x14ac:dyDescent="0.25">
      <c r="AC840" s="33">
        <f t="shared" si="28"/>
        <v>838</v>
      </c>
      <c r="AD840" s="35" t="str">
        <f t="shared" ref="AD840:AD903" si="29">IF(AD839&gt;AD$2,"",EOMONTH(AD839,1))</f>
        <v/>
      </c>
    </row>
    <row r="841" spans="29:30" x14ac:dyDescent="0.25">
      <c r="AC841" s="33">
        <f t="shared" si="28"/>
        <v>839</v>
      </c>
      <c r="AD841" s="35" t="str">
        <f t="shared" si="29"/>
        <v/>
      </c>
    </row>
    <row r="842" spans="29:30" x14ac:dyDescent="0.25">
      <c r="AC842" s="33">
        <f t="shared" si="28"/>
        <v>840</v>
      </c>
      <c r="AD842" s="35" t="str">
        <f t="shared" si="29"/>
        <v/>
      </c>
    </row>
    <row r="843" spans="29:30" x14ac:dyDescent="0.25">
      <c r="AC843" s="33">
        <f t="shared" si="28"/>
        <v>841</v>
      </c>
      <c r="AD843" s="35" t="str">
        <f t="shared" si="29"/>
        <v/>
      </c>
    </row>
    <row r="844" spans="29:30" x14ac:dyDescent="0.25">
      <c r="AC844" s="33">
        <f t="shared" si="28"/>
        <v>842</v>
      </c>
      <c r="AD844" s="35" t="str">
        <f t="shared" si="29"/>
        <v/>
      </c>
    </row>
    <row r="845" spans="29:30" x14ac:dyDescent="0.25">
      <c r="AC845" s="33">
        <f t="shared" si="28"/>
        <v>843</v>
      </c>
      <c r="AD845" s="35" t="str">
        <f t="shared" si="29"/>
        <v/>
      </c>
    </row>
    <row r="846" spans="29:30" x14ac:dyDescent="0.25">
      <c r="AC846" s="33">
        <f t="shared" si="28"/>
        <v>844</v>
      </c>
      <c r="AD846" s="35" t="str">
        <f t="shared" si="29"/>
        <v/>
      </c>
    </row>
    <row r="847" spans="29:30" x14ac:dyDescent="0.25">
      <c r="AC847" s="33">
        <f t="shared" si="28"/>
        <v>845</v>
      </c>
      <c r="AD847" s="35" t="str">
        <f t="shared" si="29"/>
        <v/>
      </c>
    </row>
    <row r="848" spans="29:30" x14ac:dyDescent="0.25">
      <c r="AC848" s="33">
        <f t="shared" si="28"/>
        <v>846</v>
      </c>
      <c r="AD848" s="35" t="str">
        <f t="shared" si="29"/>
        <v/>
      </c>
    </row>
    <row r="849" spans="29:30" x14ac:dyDescent="0.25">
      <c r="AC849" s="33">
        <f t="shared" si="28"/>
        <v>847</v>
      </c>
      <c r="AD849" s="35" t="str">
        <f t="shared" si="29"/>
        <v/>
      </c>
    </row>
    <row r="850" spans="29:30" x14ac:dyDescent="0.25">
      <c r="AC850" s="33">
        <f t="shared" si="28"/>
        <v>848</v>
      </c>
      <c r="AD850" s="35" t="str">
        <f t="shared" si="29"/>
        <v/>
      </c>
    </row>
    <row r="851" spans="29:30" x14ac:dyDescent="0.25">
      <c r="AC851" s="33">
        <f t="shared" si="28"/>
        <v>849</v>
      </c>
      <c r="AD851" s="35" t="str">
        <f t="shared" si="29"/>
        <v/>
      </c>
    </row>
    <row r="852" spans="29:30" x14ac:dyDescent="0.25">
      <c r="AC852" s="33">
        <f t="shared" si="28"/>
        <v>850</v>
      </c>
      <c r="AD852" s="35" t="str">
        <f t="shared" si="29"/>
        <v/>
      </c>
    </row>
    <row r="853" spans="29:30" x14ac:dyDescent="0.25">
      <c r="AC853" s="33">
        <f t="shared" si="28"/>
        <v>851</v>
      </c>
      <c r="AD853" s="35" t="str">
        <f t="shared" si="29"/>
        <v/>
      </c>
    </row>
    <row r="854" spans="29:30" x14ac:dyDescent="0.25">
      <c r="AC854" s="33">
        <f t="shared" si="28"/>
        <v>852</v>
      </c>
      <c r="AD854" s="35" t="str">
        <f t="shared" si="29"/>
        <v/>
      </c>
    </row>
    <row r="855" spans="29:30" x14ac:dyDescent="0.25">
      <c r="AC855" s="33">
        <f t="shared" si="28"/>
        <v>853</v>
      </c>
      <c r="AD855" s="35" t="str">
        <f t="shared" si="29"/>
        <v/>
      </c>
    </row>
    <row r="856" spans="29:30" x14ac:dyDescent="0.25">
      <c r="AC856" s="33">
        <f t="shared" si="28"/>
        <v>854</v>
      </c>
      <c r="AD856" s="35" t="str">
        <f t="shared" si="29"/>
        <v/>
      </c>
    </row>
    <row r="857" spans="29:30" x14ac:dyDescent="0.25">
      <c r="AC857" s="33">
        <f t="shared" si="28"/>
        <v>855</v>
      </c>
      <c r="AD857" s="35" t="str">
        <f t="shared" si="29"/>
        <v/>
      </c>
    </row>
    <row r="858" spans="29:30" x14ac:dyDescent="0.25">
      <c r="AC858" s="33">
        <f t="shared" si="28"/>
        <v>856</v>
      </c>
      <c r="AD858" s="35" t="str">
        <f t="shared" si="29"/>
        <v/>
      </c>
    </row>
    <row r="859" spans="29:30" x14ac:dyDescent="0.25">
      <c r="AC859" s="33">
        <f t="shared" si="28"/>
        <v>857</v>
      </c>
      <c r="AD859" s="35" t="str">
        <f t="shared" si="29"/>
        <v/>
      </c>
    </row>
    <row r="860" spans="29:30" x14ac:dyDescent="0.25">
      <c r="AC860" s="33">
        <f t="shared" si="28"/>
        <v>858</v>
      </c>
      <c r="AD860" s="35" t="str">
        <f t="shared" si="29"/>
        <v/>
      </c>
    </row>
    <row r="861" spans="29:30" x14ac:dyDescent="0.25">
      <c r="AC861" s="33">
        <f t="shared" si="28"/>
        <v>859</v>
      </c>
      <c r="AD861" s="35" t="str">
        <f t="shared" si="29"/>
        <v/>
      </c>
    </row>
    <row r="862" spans="29:30" x14ac:dyDescent="0.25">
      <c r="AC862" s="33">
        <f t="shared" si="28"/>
        <v>860</v>
      </c>
      <c r="AD862" s="35" t="str">
        <f t="shared" si="29"/>
        <v/>
      </c>
    </row>
    <row r="863" spans="29:30" x14ac:dyDescent="0.25">
      <c r="AC863" s="33">
        <f t="shared" si="28"/>
        <v>861</v>
      </c>
      <c r="AD863" s="35" t="str">
        <f t="shared" si="29"/>
        <v/>
      </c>
    </row>
    <row r="864" spans="29:30" x14ac:dyDescent="0.25">
      <c r="AC864" s="33">
        <f t="shared" si="28"/>
        <v>862</v>
      </c>
      <c r="AD864" s="35" t="str">
        <f t="shared" si="29"/>
        <v/>
      </c>
    </row>
    <row r="865" spans="29:30" x14ac:dyDescent="0.25">
      <c r="AC865" s="33">
        <f t="shared" si="28"/>
        <v>863</v>
      </c>
      <c r="AD865" s="35" t="str">
        <f t="shared" si="29"/>
        <v/>
      </c>
    </row>
    <row r="866" spans="29:30" x14ac:dyDescent="0.25">
      <c r="AC866" s="33">
        <f t="shared" si="28"/>
        <v>864</v>
      </c>
      <c r="AD866" s="35" t="str">
        <f t="shared" si="29"/>
        <v/>
      </c>
    </row>
    <row r="867" spans="29:30" x14ac:dyDescent="0.25">
      <c r="AC867" s="33">
        <f t="shared" si="28"/>
        <v>865</v>
      </c>
      <c r="AD867" s="35" t="str">
        <f t="shared" si="29"/>
        <v/>
      </c>
    </row>
    <row r="868" spans="29:30" x14ac:dyDescent="0.25">
      <c r="AC868" s="33">
        <f t="shared" si="28"/>
        <v>866</v>
      </c>
      <c r="AD868" s="35" t="str">
        <f t="shared" si="29"/>
        <v/>
      </c>
    </row>
    <row r="869" spans="29:30" x14ac:dyDescent="0.25">
      <c r="AC869" s="33">
        <f t="shared" si="28"/>
        <v>867</v>
      </c>
      <c r="AD869" s="35" t="str">
        <f t="shared" si="29"/>
        <v/>
      </c>
    </row>
    <row r="870" spans="29:30" x14ac:dyDescent="0.25">
      <c r="AC870" s="33">
        <f t="shared" si="28"/>
        <v>868</v>
      </c>
      <c r="AD870" s="35" t="str">
        <f t="shared" si="29"/>
        <v/>
      </c>
    </row>
    <row r="871" spans="29:30" x14ac:dyDescent="0.25">
      <c r="AC871" s="33">
        <f t="shared" si="28"/>
        <v>869</v>
      </c>
      <c r="AD871" s="35" t="str">
        <f t="shared" si="29"/>
        <v/>
      </c>
    </row>
    <row r="872" spans="29:30" x14ac:dyDescent="0.25">
      <c r="AC872" s="33">
        <f t="shared" si="28"/>
        <v>870</v>
      </c>
      <c r="AD872" s="35" t="str">
        <f t="shared" si="29"/>
        <v/>
      </c>
    </row>
    <row r="873" spans="29:30" x14ac:dyDescent="0.25">
      <c r="AC873" s="33">
        <f t="shared" si="28"/>
        <v>871</v>
      </c>
      <c r="AD873" s="35" t="str">
        <f t="shared" si="29"/>
        <v/>
      </c>
    </row>
    <row r="874" spans="29:30" x14ac:dyDescent="0.25">
      <c r="AC874" s="33">
        <f t="shared" si="28"/>
        <v>872</v>
      </c>
      <c r="AD874" s="35" t="str">
        <f t="shared" si="29"/>
        <v/>
      </c>
    </row>
    <row r="875" spans="29:30" x14ac:dyDescent="0.25">
      <c r="AC875" s="33">
        <f t="shared" si="28"/>
        <v>873</v>
      </c>
      <c r="AD875" s="35" t="str">
        <f t="shared" si="29"/>
        <v/>
      </c>
    </row>
    <row r="876" spans="29:30" x14ac:dyDescent="0.25">
      <c r="AC876" s="33">
        <f t="shared" si="28"/>
        <v>874</v>
      </c>
      <c r="AD876" s="35" t="str">
        <f t="shared" si="29"/>
        <v/>
      </c>
    </row>
    <row r="877" spans="29:30" x14ac:dyDescent="0.25">
      <c r="AC877" s="33">
        <f t="shared" si="28"/>
        <v>875</v>
      </c>
      <c r="AD877" s="35" t="str">
        <f t="shared" si="29"/>
        <v/>
      </c>
    </row>
    <row r="878" spans="29:30" x14ac:dyDescent="0.25">
      <c r="AC878" s="33">
        <f t="shared" si="28"/>
        <v>876</v>
      </c>
      <c r="AD878" s="35" t="str">
        <f t="shared" si="29"/>
        <v/>
      </c>
    </row>
    <row r="879" spans="29:30" x14ac:dyDescent="0.25">
      <c r="AC879" s="33">
        <f t="shared" si="28"/>
        <v>877</v>
      </c>
      <c r="AD879" s="35" t="str">
        <f t="shared" si="29"/>
        <v/>
      </c>
    </row>
    <row r="880" spans="29:30" x14ac:dyDescent="0.25">
      <c r="AC880" s="33">
        <f t="shared" si="28"/>
        <v>878</v>
      </c>
      <c r="AD880" s="35" t="str">
        <f t="shared" si="29"/>
        <v/>
      </c>
    </row>
    <row r="881" spans="29:30" x14ac:dyDescent="0.25">
      <c r="AC881" s="33">
        <f t="shared" si="28"/>
        <v>879</v>
      </c>
      <c r="AD881" s="35" t="str">
        <f t="shared" si="29"/>
        <v/>
      </c>
    </row>
    <row r="882" spans="29:30" x14ac:dyDescent="0.25">
      <c r="AC882" s="33">
        <f t="shared" si="28"/>
        <v>880</v>
      </c>
      <c r="AD882" s="35" t="str">
        <f t="shared" si="29"/>
        <v/>
      </c>
    </row>
    <row r="883" spans="29:30" x14ac:dyDescent="0.25">
      <c r="AC883" s="33">
        <f t="shared" si="28"/>
        <v>881</v>
      </c>
      <c r="AD883" s="35" t="str">
        <f t="shared" si="29"/>
        <v/>
      </c>
    </row>
    <row r="884" spans="29:30" x14ac:dyDescent="0.25">
      <c r="AC884" s="33">
        <f t="shared" si="28"/>
        <v>882</v>
      </c>
      <c r="AD884" s="35" t="str">
        <f t="shared" si="29"/>
        <v/>
      </c>
    </row>
    <row r="885" spans="29:30" x14ac:dyDescent="0.25">
      <c r="AC885" s="33">
        <f t="shared" si="28"/>
        <v>883</v>
      </c>
      <c r="AD885" s="35" t="str">
        <f t="shared" si="29"/>
        <v/>
      </c>
    </row>
    <row r="886" spans="29:30" x14ac:dyDescent="0.25">
      <c r="AC886" s="33">
        <f t="shared" si="28"/>
        <v>884</v>
      </c>
      <c r="AD886" s="35" t="str">
        <f t="shared" si="29"/>
        <v/>
      </c>
    </row>
    <row r="887" spans="29:30" x14ac:dyDescent="0.25">
      <c r="AC887" s="33">
        <f t="shared" si="28"/>
        <v>885</v>
      </c>
      <c r="AD887" s="35" t="str">
        <f t="shared" si="29"/>
        <v/>
      </c>
    </row>
    <row r="888" spans="29:30" x14ac:dyDescent="0.25">
      <c r="AC888" s="33">
        <f t="shared" si="28"/>
        <v>886</v>
      </c>
      <c r="AD888" s="35" t="str">
        <f t="shared" si="29"/>
        <v/>
      </c>
    </row>
    <row r="889" spans="29:30" x14ac:dyDescent="0.25">
      <c r="AC889" s="33">
        <f t="shared" si="28"/>
        <v>887</v>
      </c>
      <c r="AD889" s="35" t="str">
        <f t="shared" si="29"/>
        <v/>
      </c>
    </row>
    <row r="890" spans="29:30" x14ac:dyDescent="0.25">
      <c r="AC890" s="33">
        <f t="shared" si="28"/>
        <v>888</v>
      </c>
      <c r="AD890" s="35" t="str">
        <f t="shared" si="29"/>
        <v/>
      </c>
    </row>
    <row r="891" spans="29:30" x14ac:dyDescent="0.25">
      <c r="AC891" s="33">
        <f t="shared" ref="AC891:AC954" si="30">AC890+1</f>
        <v>889</v>
      </c>
      <c r="AD891" s="35" t="str">
        <f t="shared" si="29"/>
        <v/>
      </c>
    </row>
    <row r="892" spans="29:30" x14ac:dyDescent="0.25">
      <c r="AC892" s="33">
        <f t="shared" si="30"/>
        <v>890</v>
      </c>
      <c r="AD892" s="35" t="str">
        <f t="shared" si="29"/>
        <v/>
      </c>
    </row>
    <row r="893" spans="29:30" x14ac:dyDescent="0.25">
      <c r="AC893" s="33">
        <f t="shared" si="30"/>
        <v>891</v>
      </c>
      <c r="AD893" s="35" t="str">
        <f t="shared" si="29"/>
        <v/>
      </c>
    </row>
    <row r="894" spans="29:30" x14ac:dyDescent="0.25">
      <c r="AC894" s="33">
        <f t="shared" si="30"/>
        <v>892</v>
      </c>
      <c r="AD894" s="35" t="str">
        <f t="shared" si="29"/>
        <v/>
      </c>
    </row>
    <row r="895" spans="29:30" x14ac:dyDescent="0.25">
      <c r="AC895" s="33">
        <f t="shared" si="30"/>
        <v>893</v>
      </c>
      <c r="AD895" s="35" t="str">
        <f t="shared" si="29"/>
        <v/>
      </c>
    </row>
    <row r="896" spans="29:30" x14ac:dyDescent="0.25">
      <c r="AC896" s="33">
        <f t="shared" si="30"/>
        <v>894</v>
      </c>
      <c r="AD896" s="35" t="str">
        <f t="shared" si="29"/>
        <v/>
      </c>
    </row>
    <row r="897" spans="29:30" x14ac:dyDescent="0.25">
      <c r="AC897" s="33">
        <f t="shared" si="30"/>
        <v>895</v>
      </c>
      <c r="AD897" s="35" t="str">
        <f t="shared" si="29"/>
        <v/>
      </c>
    </row>
    <row r="898" spans="29:30" x14ac:dyDescent="0.25">
      <c r="AC898" s="33">
        <f t="shared" si="30"/>
        <v>896</v>
      </c>
      <c r="AD898" s="35" t="str">
        <f t="shared" si="29"/>
        <v/>
      </c>
    </row>
    <row r="899" spans="29:30" x14ac:dyDescent="0.25">
      <c r="AC899" s="33">
        <f t="shared" si="30"/>
        <v>897</v>
      </c>
      <c r="AD899" s="35" t="str">
        <f t="shared" si="29"/>
        <v/>
      </c>
    </row>
    <row r="900" spans="29:30" x14ac:dyDescent="0.25">
      <c r="AC900" s="33">
        <f t="shared" si="30"/>
        <v>898</v>
      </c>
      <c r="AD900" s="35" t="str">
        <f t="shared" si="29"/>
        <v/>
      </c>
    </row>
    <row r="901" spans="29:30" x14ac:dyDescent="0.25">
      <c r="AC901" s="33">
        <f t="shared" si="30"/>
        <v>899</v>
      </c>
      <c r="AD901" s="35" t="str">
        <f t="shared" si="29"/>
        <v/>
      </c>
    </row>
    <row r="902" spans="29:30" x14ac:dyDescent="0.25">
      <c r="AC902" s="33">
        <f t="shared" si="30"/>
        <v>900</v>
      </c>
      <c r="AD902" s="35" t="str">
        <f t="shared" si="29"/>
        <v/>
      </c>
    </row>
    <row r="903" spans="29:30" x14ac:dyDescent="0.25">
      <c r="AC903" s="33">
        <f t="shared" si="30"/>
        <v>901</v>
      </c>
      <c r="AD903" s="35" t="str">
        <f t="shared" si="29"/>
        <v/>
      </c>
    </row>
    <row r="904" spans="29:30" x14ac:dyDescent="0.25">
      <c r="AC904" s="33">
        <f t="shared" si="30"/>
        <v>902</v>
      </c>
      <c r="AD904" s="35" t="str">
        <f t="shared" ref="AD904:AD967" si="31">IF(AD903&gt;AD$2,"",EOMONTH(AD903,1))</f>
        <v/>
      </c>
    </row>
    <row r="905" spans="29:30" x14ac:dyDescent="0.25">
      <c r="AC905" s="33">
        <f t="shared" si="30"/>
        <v>903</v>
      </c>
      <c r="AD905" s="35" t="str">
        <f t="shared" si="31"/>
        <v/>
      </c>
    </row>
    <row r="906" spans="29:30" x14ac:dyDescent="0.25">
      <c r="AC906" s="33">
        <f t="shared" si="30"/>
        <v>904</v>
      </c>
      <c r="AD906" s="35" t="str">
        <f t="shared" si="31"/>
        <v/>
      </c>
    </row>
    <row r="907" spans="29:30" x14ac:dyDescent="0.25">
      <c r="AC907" s="33">
        <f t="shared" si="30"/>
        <v>905</v>
      </c>
      <c r="AD907" s="35" t="str">
        <f t="shared" si="31"/>
        <v/>
      </c>
    </row>
    <row r="908" spans="29:30" x14ac:dyDescent="0.25">
      <c r="AC908" s="33">
        <f t="shared" si="30"/>
        <v>906</v>
      </c>
      <c r="AD908" s="35" t="str">
        <f t="shared" si="31"/>
        <v/>
      </c>
    </row>
    <row r="909" spans="29:30" x14ac:dyDescent="0.25">
      <c r="AC909" s="33">
        <f t="shared" si="30"/>
        <v>907</v>
      </c>
      <c r="AD909" s="35" t="str">
        <f t="shared" si="31"/>
        <v/>
      </c>
    </row>
    <row r="910" spans="29:30" x14ac:dyDescent="0.25">
      <c r="AC910" s="33">
        <f t="shared" si="30"/>
        <v>908</v>
      </c>
      <c r="AD910" s="35" t="str">
        <f t="shared" si="31"/>
        <v/>
      </c>
    </row>
    <row r="911" spans="29:30" x14ac:dyDescent="0.25">
      <c r="AC911" s="33">
        <f t="shared" si="30"/>
        <v>909</v>
      </c>
      <c r="AD911" s="35" t="str">
        <f t="shared" si="31"/>
        <v/>
      </c>
    </row>
    <row r="912" spans="29:30" x14ac:dyDescent="0.25">
      <c r="AC912" s="33">
        <f t="shared" si="30"/>
        <v>910</v>
      </c>
      <c r="AD912" s="35" t="str">
        <f t="shared" si="31"/>
        <v/>
      </c>
    </row>
    <row r="913" spans="29:30" x14ac:dyDescent="0.25">
      <c r="AC913" s="33">
        <f t="shared" si="30"/>
        <v>911</v>
      </c>
      <c r="AD913" s="35" t="str">
        <f t="shared" si="31"/>
        <v/>
      </c>
    </row>
    <row r="914" spans="29:30" x14ac:dyDescent="0.25">
      <c r="AC914" s="33">
        <f t="shared" si="30"/>
        <v>912</v>
      </c>
      <c r="AD914" s="35" t="str">
        <f t="shared" si="31"/>
        <v/>
      </c>
    </row>
    <row r="915" spans="29:30" x14ac:dyDescent="0.25">
      <c r="AC915" s="33">
        <f t="shared" si="30"/>
        <v>913</v>
      </c>
      <c r="AD915" s="35" t="str">
        <f t="shared" si="31"/>
        <v/>
      </c>
    </row>
    <row r="916" spans="29:30" x14ac:dyDescent="0.25">
      <c r="AC916" s="33">
        <f t="shared" si="30"/>
        <v>914</v>
      </c>
      <c r="AD916" s="35" t="str">
        <f t="shared" si="31"/>
        <v/>
      </c>
    </row>
    <row r="917" spans="29:30" x14ac:dyDescent="0.25">
      <c r="AC917" s="33">
        <f t="shared" si="30"/>
        <v>915</v>
      </c>
      <c r="AD917" s="35" t="str">
        <f t="shared" si="31"/>
        <v/>
      </c>
    </row>
    <row r="918" spans="29:30" x14ac:dyDescent="0.25">
      <c r="AC918" s="33">
        <f t="shared" si="30"/>
        <v>916</v>
      </c>
      <c r="AD918" s="35" t="str">
        <f t="shared" si="31"/>
        <v/>
      </c>
    </row>
    <row r="919" spans="29:30" x14ac:dyDescent="0.25">
      <c r="AC919" s="33">
        <f t="shared" si="30"/>
        <v>917</v>
      </c>
      <c r="AD919" s="35" t="str">
        <f t="shared" si="31"/>
        <v/>
      </c>
    </row>
    <row r="920" spans="29:30" x14ac:dyDescent="0.25">
      <c r="AC920" s="33">
        <f t="shared" si="30"/>
        <v>918</v>
      </c>
      <c r="AD920" s="35" t="str">
        <f t="shared" si="31"/>
        <v/>
      </c>
    </row>
    <row r="921" spans="29:30" x14ac:dyDescent="0.25">
      <c r="AC921" s="33">
        <f t="shared" si="30"/>
        <v>919</v>
      </c>
      <c r="AD921" s="35" t="str">
        <f t="shared" si="31"/>
        <v/>
      </c>
    </row>
    <row r="922" spans="29:30" x14ac:dyDescent="0.25">
      <c r="AC922" s="33">
        <f t="shared" si="30"/>
        <v>920</v>
      </c>
      <c r="AD922" s="35" t="str">
        <f t="shared" si="31"/>
        <v/>
      </c>
    </row>
    <row r="923" spans="29:30" x14ac:dyDescent="0.25">
      <c r="AC923" s="33">
        <f t="shared" si="30"/>
        <v>921</v>
      </c>
      <c r="AD923" s="35" t="str">
        <f t="shared" si="31"/>
        <v/>
      </c>
    </row>
    <row r="924" spans="29:30" x14ac:dyDescent="0.25">
      <c r="AC924" s="33">
        <f t="shared" si="30"/>
        <v>922</v>
      </c>
      <c r="AD924" s="35" t="str">
        <f t="shared" si="31"/>
        <v/>
      </c>
    </row>
    <row r="925" spans="29:30" x14ac:dyDescent="0.25">
      <c r="AC925" s="33">
        <f t="shared" si="30"/>
        <v>923</v>
      </c>
      <c r="AD925" s="35" t="str">
        <f t="shared" si="31"/>
        <v/>
      </c>
    </row>
    <row r="926" spans="29:30" x14ac:dyDescent="0.25">
      <c r="AC926" s="33">
        <f t="shared" si="30"/>
        <v>924</v>
      </c>
      <c r="AD926" s="35" t="str">
        <f t="shared" si="31"/>
        <v/>
      </c>
    </row>
    <row r="927" spans="29:30" x14ac:dyDescent="0.25">
      <c r="AC927" s="33">
        <f t="shared" si="30"/>
        <v>925</v>
      </c>
      <c r="AD927" s="35" t="str">
        <f t="shared" si="31"/>
        <v/>
      </c>
    </row>
    <row r="928" spans="29:30" x14ac:dyDescent="0.25">
      <c r="AC928" s="33">
        <f t="shared" si="30"/>
        <v>926</v>
      </c>
      <c r="AD928" s="35" t="str">
        <f t="shared" si="31"/>
        <v/>
      </c>
    </row>
    <row r="929" spans="29:30" x14ac:dyDescent="0.25">
      <c r="AC929" s="33">
        <f t="shared" si="30"/>
        <v>927</v>
      </c>
      <c r="AD929" s="35" t="str">
        <f t="shared" si="31"/>
        <v/>
      </c>
    </row>
    <row r="930" spans="29:30" x14ac:dyDescent="0.25">
      <c r="AC930" s="33">
        <f t="shared" si="30"/>
        <v>928</v>
      </c>
      <c r="AD930" s="35" t="str">
        <f t="shared" si="31"/>
        <v/>
      </c>
    </row>
    <row r="931" spans="29:30" x14ac:dyDescent="0.25">
      <c r="AC931" s="33">
        <f t="shared" si="30"/>
        <v>929</v>
      </c>
      <c r="AD931" s="35" t="str">
        <f t="shared" si="31"/>
        <v/>
      </c>
    </row>
    <row r="932" spans="29:30" x14ac:dyDescent="0.25">
      <c r="AC932" s="33">
        <f t="shared" si="30"/>
        <v>930</v>
      </c>
      <c r="AD932" s="35" t="str">
        <f t="shared" si="31"/>
        <v/>
      </c>
    </row>
    <row r="933" spans="29:30" x14ac:dyDescent="0.25">
      <c r="AC933" s="33">
        <f t="shared" si="30"/>
        <v>931</v>
      </c>
      <c r="AD933" s="35" t="str">
        <f t="shared" si="31"/>
        <v/>
      </c>
    </row>
    <row r="934" spans="29:30" x14ac:dyDescent="0.25">
      <c r="AC934" s="33">
        <f t="shared" si="30"/>
        <v>932</v>
      </c>
      <c r="AD934" s="35" t="str">
        <f t="shared" si="31"/>
        <v/>
      </c>
    </row>
    <row r="935" spans="29:30" x14ac:dyDescent="0.25">
      <c r="AC935" s="33">
        <f t="shared" si="30"/>
        <v>933</v>
      </c>
      <c r="AD935" s="35" t="str">
        <f t="shared" si="31"/>
        <v/>
      </c>
    </row>
    <row r="936" spans="29:30" x14ac:dyDescent="0.25">
      <c r="AC936" s="33">
        <f t="shared" si="30"/>
        <v>934</v>
      </c>
      <c r="AD936" s="35" t="str">
        <f t="shared" si="31"/>
        <v/>
      </c>
    </row>
    <row r="937" spans="29:30" x14ac:dyDescent="0.25">
      <c r="AC937" s="33">
        <f t="shared" si="30"/>
        <v>935</v>
      </c>
      <c r="AD937" s="35" t="str">
        <f t="shared" si="31"/>
        <v/>
      </c>
    </row>
    <row r="938" spans="29:30" x14ac:dyDescent="0.25">
      <c r="AC938" s="33">
        <f t="shared" si="30"/>
        <v>936</v>
      </c>
      <c r="AD938" s="35" t="str">
        <f t="shared" si="31"/>
        <v/>
      </c>
    </row>
    <row r="939" spans="29:30" x14ac:dyDescent="0.25">
      <c r="AC939" s="33">
        <f t="shared" si="30"/>
        <v>937</v>
      </c>
      <c r="AD939" s="35" t="str">
        <f t="shared" si="31"/>
        <v/>
      </c>
    </row>
    <row r="940" spans="29:30" x14ac:dyDescent="0.25">
      <c r="AC940" s="33">
        <f t="shared" si="30"/>
        <v>938</v>
      </c>
      <c r="AD940" s="35" t="str">
        <f t="shared" si="31"/>
        <v/>
      </c>
    </row>
    <row r="941" spans="29:30" x14ac:dyDescent="0.25">
      <c r="AC941" s="33">
        <f t="shared" si="30"/>
        <v>939</v>
      </c>
      <c r="AD941" s="35" t="str">
        <f t="shared" si="31"/>
        <v/>
      </c>
    </row>
    <row r="942" spans="29:30" x14ac:dyDescent="0.25">
      <c r="AC942" s="33">
        <f t="shared" si="30"/>
        <v>940</v>
      </c>
      <c r="AD942" s="35" t="str">
        <f t="shared" si="31"/>
        <v/>
      </c>
    </row>
    <row r="943" spans="29:30" x14ac:dyDescent="0.25">
      <c r="AC943" s="33">
        <f t="shared" si="30"/>
        <v>941</v>
      </c>
      <c r="AD943" s="35" t="str">
        <f t="shared" si="31"/>
        <v/>
      </c>
    </row>
    <row r="944" spans="29:30" x14ac:dyDescent="0.25">
      <c r="AC944" s="33">
        <f t="shared" si="30"/>
        <v>942</v>
      </c>
      <c r="AD944" s="35" t="str">
        <f t="shared" si="31"/>
        <v/>
      </c>
    </row>
    <row r="945" spans="29:30" x14ac:dyDescent="0.25">
      <c r="AC945" s="33">
        <f t="shared" si="30"/>
        <v>943</v>
      </c>
      <c r="AD945" s="35" t="str">
        <f t="shared" si="31"/>
        <v/>
      </c>
    </row>
    <row r="946" spans="29:30" x14ac:dyDescent="0.25">
      <c r="AC946" s="33">
        <f t="shared" si="30"/>
        <v>944</v>
      </c>
      <c r="AD946" s="35" t="str">
        <f t="shared" si="31"/>
        <v/>
      </c>
    </row>
    <row r="947" spans="29:30" x14ac:dyDescent="0.25">
      <c r="AC947" s="33">
        <f t="shared" si="30"/>
        <v>945</v>
      </c>
      <c r="AD947" s="35" t="str">
        <f t="shared" si="31"/>
        <v/>
      </c>
    </row>
    <row r="948" spans="29:30" x14ac:dyDescent="0.25">
      <c r="AC948" s="33">
        <f t="shared" si="30"/>
        <v>946</v>
      </c>
      <c r="AD948" s="35" t="str">
        <f t="shared" si="31"/>
        <v/>
      </c>
    </row>
    <row r="949" spans="29:30" x14ac:dyDescent="0.25">
      <c r="AC949" s="33">
        <f t="shared" si="30"/>
        <v>947</v>
      </c>
      <c r="AD949" s="35" t="str">
        <f t="shared" si="31"/>
        <v/>
      </c>
    </row>
    <row r="950" spans="29:30" x14ac:dyDescent="0.25">
      <c r="AC950" s="33">
        <f t="shared" si="30"/>
        <v>948</v>
      </c>
      <c r="AD950" s="35" t="str">
        <f t="shared" si="31"/>
        <v/>
      </c>
    </row>
    <row r="951" spans="29:30" x14ac:dyDescent="0.25">
      <c r="AC951" s="33">
        <f t="shared" si="30"/>
        <v>949</v>
      </c>
      <c r="AD951" s="35" t="str">
        <f t="shared" si="31"/>
        <v/>
      </c>
    </row>
    <row r="952" spans="29:30" x14ac:dyDescent="0.25">
      <c r="AC952" s="33">
        <f t="shared" si="30"/>
        <v>950</v>
      </c>
      <c r="AD952" s="35" t="str">
        <f t="shared" si="31"/>
        <v/>
      </c>
    </row>
    <row r="953" spans="29:30" x14ac:dyDescent="0.25">
      <c r="AC953" s="33">
        <f t="shared" si="30"/>
        <v>951</v>
      </c>
      <c r="AD953" s="35" t="str">
        <f t="shared" si="31"/>
        <v/>
      </c>
    </row>
    <row r="954" spans="29:30" x14ac:dyDescent="0.25">
      <c r="AC954" s="33">
        <f t="shared" si="30"/>
        <v>952</v>
      </c>
      <c r="AD954" s="35" t="str">
        <f t="shared" si="31"/>
        <v/>
      </c>
    </row>
    <row r="955" spans="29:30" x14ac:dyDescent="0.25">
      <c r="AC955" s="33">
        <f t="shared" ref="AC955:AC1018" si="32">AC954+1</f>
        <v>953</v>
      </c>
      <c r="AD955" s="35" t="str">
        <f t="shared" si="31"/>
        <v/>
      </c>
    </row>
    <row r="956" spans="29:30" x14ac:dyDescent="0.25">
      <c r="AC956" s="33">
        <f t="shared" si="32"/>
        <v>954</v>
      </c>
      <c r="AD956" s="35" t="str">
        <f t="shared" si="31"/>
        <v/>
      </c>
    </row>
    <row r="957" spans="29:30" x14ac:dyDescent="0.25">
      <c r="AC957" s="33">
        <f t="shared" si="32"/>
        <v>955</v>
      </c>
      <c r="AD957" s="35" t="str">
        <f t="shared" si="31"/>
        <v/>
      </c>
    </row>
    <row r="958" spans="29:30" x14ac:dyDescent="0.25">
      <c r="AC958" s="33">
        <f t="shared" si="32"/>
        <v>956</v>
      </c>
      <c r="AD958" s="35" t="str">
        <f t="shared" si="31"/>
        <v/>
      </c>
    </row>
    <row r="959" spans="29:30" x14ac:dyDescent="0.25">
      <c r="AC959" s="33">
        <f t="shared" si="32"/>
        <v>957</v>
      </c>
      <c r="AD959" s="35" t="str">
        <f t="shared" si="31"/>
        <v/>
      </c>
    </row>
    <row r="960" spans="29:30" x14ac:dyDescent="0.25">
      <c r="AC960" s="33">
        <f t="shared" si="32"/>
        <v>958</v>
      </c>
      <c r="AD960" s="35" t="str">
        <f t="shared" si="31"/>
        <v/>
      </c>
    </row>
    <row r="961" spans="29:30" x14ac:dyDescent="0.25">
      <c r="AC961" s="33">
        <f t="shared" si="32"/>
        <v>959</v>
      </c>
      <c r="AD961" s="35" t="str">
        <f t="shared" si="31"/>
        <v/>
      </c>
    </row>
    <row r="962" spans="29:30" x14ac:dyDescent="0.25">
      <c r="AC962" s="33">
        <f t="shared" si="32"/>
        <v>960</v>
      </c>
      <c r="AD962" s="35" t="str">
        <f t="shared" si="31"/>
        <v/>
      </c>
    </row>
    <row r="963" spans="29:30" x14ac:dyDescent="0.25">
      <c r="AC963" s="33">
        <f t="shared" si="32"/>
        <v>961</v>
      </c>
      <c r="AD963" s="35" t="str">
        <f t="shared" si="31"/>
        <v/>
      </c>
    </row>
    <row r="964" spans="29:30" x14ac:dyDescent="0.25">
      <c r="AC964" s="33">
        <f t="shared" si="32"/>
        <v>962</v>
      </c>
      <c r="AD964" s="35" t="str">
        <f t="shared" si="31"/>
        <v/>
      </c>
    </row>
    <row r="965" spans="29:30" x14ac:dyDescent="0.25">
      <c r="AC965" s="33">
        <f t="shared" si="32"/>
        <v>963</v>
      </c>
      <c r="AD965" s="35" t="str">
        <f t="shared" si="31"/>
        <v/>
      </c>
    </row>
    <row r="966" spans="29:30" x14ac:dyDescent="0.25">
      <c r="AC966" s="33">
        <f t="shared" si="32"/>
        <v>964</v>
      </c>
      <c r="AD966" s="35" t="str">
        <f t="shared" si="31"/>
        <v/>
      </c>
    </row>
    <row r="967" spans="29:30" x14ac:dyDescent="0.25">
      <c r="AC967" s="33">
        <f t="shared" si="32"/>
        <v>965</v>
      </c>
      <c r="AD967" s="35" t="str">
        <f t="shared" si="31"/>
        <v/>
      </c>
    </row>
    <row r="968" spans="29:30" x14ac:dyDescent="0.25">
      <c r="AC968" s="33">
        <f t="shared" si="32"/>
        <v>966</v>
      </c>
      <c r="AD968" s="35" t="str">
        <f t="shared" ref="AD968:AD1031" si="33">IF(AD967&gt;AD$2,"",EOMONTH(AD967,1))</f>
        <v/>
      </c>
    </row>
    <row r="969" spans="29:30" x14ac:dyDescent="0.25">
      <c r="AC969" s="33">
        <f t="shared" si="32"/>
        <v>967</v>
      </c>
      <c r="AD969" s="35" t="str">
        <f t="shared" si="33"/>
        <v/>
      </c>
    </row>
    <row r="970" spans="29:30" x14ac:dyDescent="0.25">
      <c r="AC970" s="33">
        <f t="shared" si="32"/>
        <v>968</v>
      </c>
      <c r="AD970" s="35" t="str">
        <f t="shared" si="33"/>
        <v/>
      </c>
    </row>
    <row r="971" spans="29:30" x14ac:dyDescent="0.25">
      <c r="AC971" s="33">
        <f t="shared" si="32"/>
        <v>969</v>
      </c>
      <c r="AD971" s="35" t="str">
        <f t="shared" si="33"/>
        <v/>
      </c>
    </row>
    <row r="972" spans="29:30" x14ac:dyDescent="0.25">
      <c r="AC972" s="33">
        <f t="shared" si="32"/>
        <v>970</v>
      </c>
      <c r="AD972" s="35" t="str">
        <f t="shared" si="33"/>
        <v/>
      </c>
    </row>
    <row r="973" spans="29:30" x14ac:dyDescent="0.25">
      <c r="AC973" s="33">
        <f t="shared" si="32"/>
        <v>971</v>
      </c>
      <c r="AD973" s="35" t="str">
        <f t="shared" si="33"/>
        <v/>
      </c>
    </row>
    <row r="974" spans="29:30" x14ac:dyDescent="0.25">
      <c r="AC974" s="33">
        <f t="shared" si="32"/>
        <v>972</v>
      </c>
      <c r="AD974" s="35" t="str">
        <f t="shared" si="33"/>
        <v/>
      </c>
    </row>
    <row r="975" spans="29:30" x14ac:dyDescent="0.25">
      <c r="AC975" s="33">
        <f t="shared" si="32"/>
        <v>973</v>
      </c>
      <c r="AD975" s="35" t="str">
        <f t="shared" si="33"/>
        <v/>
      </c>
    </row>
    <row r="976" spans="29:30" x14ac:dyDescent="0.25">
      <c r="AC976" s="33">
        <f t="shared" si="32"/>
        <v>974</v>
      </c>
      <c r="AD976" s="35" t="str">
        <f t="shared" si="33"/>
        <v/>
      </c>
    </row>
    <row r="977" spans="29:30" x14ac:dyDescent="0.25">
      <c r="AC977" s="33">
        <f t="shared" si="32"/>
        <v>975</v>
      </c>
      <c r="AD977" s="35" t="str">
        <f t="shared" si="33"/>
        <v/>
      </c>
    </row>
    <row r="978" spans="29:30" x14ac:dyDescent="0.25">
      <c r="AC978" s="33">
        <f t="shared" si="32"/>
        <v>976</v>
      </c>
      <c r="AD978" s="35" t="str">
        <f t="shared" si="33"/>
        <v/>
      </c>
    </row>
    <row r="979" spans="29:30" x14ac:dyDescent="0.25">
      <c r="AC979" s="33">
        <f t="shared" si="32"/>
        <v>977</v>
      </c>
      <c r="AD979" s="35" t="str">
        <f t="shared" si="33"/>
        <v/>
      </c>
    </row>
    <row r="980" spans="29:30" x14ac:dyDescent="0.25">
      <c r="AC980" s="33">
        <f t="shared" si="32"/>
        <v>978</v>
      </c>
      <c r="AD980" s="35" t="str">
        <f t="shared" si="33"/>
        <v/>
      </c>
    </row>
    <row r="981" spans="29:30" x14ac:dyDescent="0.25">
      <c r="AC981" s="33">
        <f t="shared" si="32"/>
        <v>979</v>
      </c>
      <c r="AD981" s="35" t="str">
        <f t="shared" si="33"/>
        <v/>
      </c>
    </row>
    <row r="982" spans="29:30" x14ac:dyDescent="0.25">
      <c r="AC982" s="33">
        <f t="shared" si="32"/>
        <v>980</v>
      </c>
      <c r="AD982" s="35" t="str">
        <f t="shared" si="33"/>
        <v/>
      </c>
    </row>
    <row r="983" spans="29:30" x14ac:dyDescent="0.25">
      <c r="AC983" s="33">
        <f t="shared" si="32"/>
        <v>981</v>
      </c>
      <c r="AD983" s="35" t="str">
        <f t="shared" si="33"/>
        <v/>
      </c>
    </row>
    <row r="984" spans="29:30" x14ac:dyDescent="0.25">
      <c r="AC984" s="33">
        <f t="shared" si="32"/>
        <v>982</v>
      </c>
      <c r="AD984" s="35" t="str">
        <f t="shared" si="33"/>
        <v/>
      </c>
    </row>
    <row r="985" spans="29:30" x14ac:dyDescent="0.25">
      <c r="AC985" s="33">
        <f t="shared" si="32"/>
        <v>983</v>
      </c>
      <c r="AD985" s="35" t="str">
        <f t="shared" si="33"/>
        <v/>
      </c>
    </row>
    <row r="986" spans="29:30" x14ac:dyDescent="0.25">
      <c r="AC986" s="33">
        <f t="shared" si="32"/>
        <v>984</v>
      </c>
      <c r="AD986" s="35" t="str">
        <f t="shared" si="33"/>
        <v/>
      </c>
    </row>
    <row r="987" spans="29:30" x14ac:dyDescent="0.25">
      <c r="AC987" s="33">
        <f t="shared" si="32"/>
        <v>985</v>
      </c>
      <c r="AD987" s="35" t="str">
        <f t="shared" si="33"/>
        <v/>
      </c>
    </row>
    <row r="988" spans="29:30" x14ac:dyDescent="0.25">
      <c r="AC988" s="33">
        <f t="shared" si="32"/>
        <v>986</v>
      </c>
      <c r="AD988" s="35" t="str">
        <f t="shared" si="33"/>
        <v/>
      </c>
    </row>
    <row r="989" spans="29:30" x14ac:dyDescent="0.25">
      <c r="AC989" s="33">
        <f t="shared" si="32"/>
        <v>987</v>
      </c>
      <c r="AD989" s="35" t="str">
        <f t="shared" si="33"/>
        <v/>
      </c>
    </row>
    <row r="990" spans="29:30" x14ac:dyDescent="0.25">
      <c r="AC990" s="33">
        <f t="shared" si="32"/>
        <v>988</v>
      </c>
      <c r="AD990" s="35" t="str">
        <f t="shared" si="33"/>
        <v/>
      </c>
    </row>
    <row r="991" spans="29:30" x14ac:dyDescent="0.25">
      <c r="AC991" s="33">
        <f t="shared" si="32"/>
        <v>989</v>
      </c>
      <c r="AD991" s="35" t="str">
        <f t="shared" si="33"/>
        <v/>
      </c>
    </row>
    <row r="992" spans="29:30" x14ac:dyDescent="0.25">
      <c r="AC992" s="33">
        <f t="shared" si="32"/>
        <v>990</v>
      </c>
      <c r="AD992" s="35" t="str">
        <f t="shared" si="33"/>
        <v/>
      </c>
    </row>
    <row r="993" spans="29:30" x14ac:dyDescent="0.25">
      <c r="AC993" s="33">
        <f t="shared" si="32"/>
        <v>991</v>
      </c>
      <c r="AD993" s="35" t="str">
        <f t="shared" si="33"/>
        <v/>
      </c>
    </row>
    <row r="994" spans="29:30" x14ac:dyDescent="0.25">
      <c r="AC994" s="33">
        <f t="shared" si="32"/>
        <v>992</v>
      </c>
      <c r="AD994" s="35" t="str">
        <f t="shared" si="33"/>
        <v/>
      </c>
    </row>
    <row r="995" spans="29:30" x14ac:dyDescent="0.25">
      <c r="AC995" s="33">
        <f t="shared" si="32"/>
        <v>993</v>
      </c>
      <c r="AD995" s="35" t="str">
        <f t="shared" si="33"/>
        <v/>
      </c>
    </row>
    <row r="996" spans="29:30" x14ac:dyDescent="0.25">
      <c r="AC996" s="33">
        <f t="shared" si="32"/>
        <v>994</v>
      </c>
      <c r="AD996" s="35" t="str">
        <f t="shared" si="33"/>
        <v/>
      </c>
    </row>
    <row r="997" spans="29:30" x14ac:dyDescent="0.25">
      <c r="AC997" s="33">
        <f t="shared" si="32"/>
        <v>995</v>
      </c>
      <c r="AD997" s="35" t="str">
        <f t="shared" si="33"/>
        <v/>
      </c>
    </row>
    <row r="998" spans="29:30" x14ac:dyDescent="0.25">
      <c r="AC998" s="33">
        <f t="shared" si="32"/>
        <v>996</v>
      </c>
      <c r="AD998" s="35" t="str">
        <f t="shared" si="33"/>
        <v/>
      </c>
    </row>
    <row r="999" spans="29:30" x14ac:dyDescent="0.25">
      <c r="AC999" s="33">
        <f t="shared" si="32"/>
        <v>997</v>
      </c>
      <c r="AD999" s="35" t="str">
        <f t="shared" si="33"/>
        <v/>
      </c>
    </row>
    <row r="1000" spans="29:30" x14ac:dyDescent="0.25">
      <c r="AC1000" s="33">
        <f t="shared" si="32"/>
        <v>998</v>
      </c>
      <c r="AD1000" s="35" t="str">
        <f t="shared" si="33"/>
        <v/>
      </c>
    </row>
    <row r="1001" spans="29:30" x14ac:dyDescent="0.25">
      <c r="AC1001" s="33">
        <f t="shared" si="32"/>
        <v>999</v>
      </c>
      <c r="AD1001" s="35" t="str">
        <f t="shared" si="33"/>
        <v/>
      </c>
    </row>
    <row r="1002" spans="29:30" x14ac:dyDescent="0.25">
      <c r="AC1002" s="33">
        <f t="shared" si="32"/>
        <v>1000</v>
      </c>
      <c r="AD1002" s="35" t="str">
        <f t="shared" si="33"/>
        <v/>
      </c>
    </row>
    <row r="1003" spans="29:30" x14ac:dyDescent="0.25">
      <c r="AC1003" s="33">
        <f t="shared" si="32"/>
        <v>1001</v>
      </c>
      <c r="AD1003" s="35" t="str">
        <f t="shared" si="33"/>
        <v/>
      </c>
    </row>
    <row r="1004" spans="29:30" x14ac:dyDescent="0.25">
      <c r="AC1004" s="33">
        <f t="shared" si="32"/>
        <v>1002</v>
      </c>
      <c r="AD1004" s="35" t="str">
        <f t="shared" si="33"/>
        <v/>
      </c>
    </row>
    <row r="1005" spans="29:30" x14ac:dyDescent="0.25">
      <c r="AC1005" s="33">
        <f t="shared" si="32"/>
        <v>1003</v>
      </c>
      <c r="AD1005" s="35" t="str">
        <f t="shared" si="33"/>
        <v/>
      </c>
    </row>
    <row r="1006" spans="29:30" x14ac:dyDescent="0.25">
      <c r="AC1006" s="33">
        <f t="shared" si="32"/>
        <v>1004</v>
      </c>
      <c r="AD1006" s="35" t="str">
        <f t="shared" si="33"/>
        <v/>
      </c>
    </row>
    <row r="1007" spans="29:30" x14ac:dyDescent="0.25">
      <c r="AC1007" s="33">
        <f t="shared" si="32"/>
        <v>1005</v>
      </c>
      <c r="AD1007" s="35" t="str">
        <f t="shared" si="33"/>
        <v/>
      </c>
    </row>
    <row r="1008" spans="29:30" x14ac:dyDescent="0.25">
      <c r="AC1008" s="33">
        <f t="shared" si="32"/>
        <v>1006</v>
      </c>
      <c r="AD1008" s="35" t="str">
        <f t="shared" si="33"/>
        <v/>
      </c>
    </row>
    <row r="1009" spans="29:30" x14ac:dyDescent="0.25">
      <c r="AC1009" s="33">
        <f t="shared" si="32"/>
        <v>1007</v>
      </c>
      <c r="AD1009" s="35" t="str">
        <f t="shared" si="33"/>
        <v/>
      </c>
    </row>
    <row r="1010" spans="29:30" x14ac:dyDescent="0.25">
      <c r="AC1010" s="33">
        <f t="shared" si="32"/>
        <v>1008</v>
      </c>
      <c r="AD1010" s="35" t="str">
        <f t="shared" si="33"/>
        <v/>
      </c>
    </row>
    <row r="1011" spans="29:30" x14ac:dyDescent="0.25">
      <c r="AC1011" s="33">
        <f t="shared" si="32"/>
        <v>1009</v>
      </c>
      <c r="AD1011" s="35" t="str">
        <f t="shared" si="33"/>
        <v/>
      </c>
    </row>
    <row r="1012" spans="29:30" x14ac:dyDescent="0.25">
      <c r="AC1012" s="33">
        <f t="shared" si="32"/>
        <v>1010</v>
      </c>
      <c r="AD1012" s="35" t="str">
        <f t="shared" si="33"/>
        <v/>
      </c>
    </row>
    <row r="1013" spans="29:30" x14ac:dyDescent="0.25">
      <c r="AC1013" s="33">
        <f t="shared" si="32"/>
        <v>1011</v>
      </c>
      <c r="AD1013" s="35" t="str">
        <f t="shared" si="33"/>
        <v/>
      </c>
    </row>
    <row r="1014" spans="29:30" x14ac:dyDescent="0.25">
      <c r="AC1014" s="33">
        <f t="shared" si="32"/>
        <v>1012</v>
      </c>
      <c r="AD1014" s="35" t="str">
        <f t="shared" si="33"/>
        <v/>
      </c>
    </row>
    <row r="1015" spans="29:30" x14ac:dyDescent="0.25">
      <c r="AC1015" s="33">
        <f t="shared" si="32"/>
        <v>1013</v>
      </c>
      <c r="AD1015" s="35" t="str">
        <f t="shared" si="33"/>
        <v/>
      </c>
    </row>
    <row r="1016" spans="29:30" x14ac:dyDescent="0.25">
      <c r="AC1016" s="33">
        <f t="shared" si="32"/>
        <v>1014</v>
      </c>
      <c r="AD1016" s="35" t="str">
        <f t="shared" si="33"/>
        <v/>
      </c>
    </row>
    <row r="1017" spans="29:30" x14ac:dyDescent="0.25">
      <c r="AC1017" s="33">
        <f t="shared" si="32"/>
        <v>1015</v>
      </c>
      <c r="AD1017" s="35" t="str">
        <f t="shared" si="33"/>
        <v/>
      </c>
    </row>
    <row r="1018" spans="29:30" x14ac:dyDescent="0.25">
      <c r="AC1018" s="33">
        <f t="shared" si="32"/>
        <v>1016</v>
      </c>
      <c r="AD1018" s="35" t="str">
        <f t="shared" si="33"/>
        <v/>
      </c>
    </row>
    <row r="1019" spans="29:30" x14ac:dyDescent="0.25">
      <c r="AC1019" s="33">
        <f t="shared" ref="AC1019:AC1082" si="34">AC1018+1</f>
        <v>1017</v>
      </c>
      <c r="AD1019" s="35" t="str">
        <f t="shared" si="33"/>
        <v/>
      </c>
    </row>
    <row r="1020" spans="29:30" x14ac:dyDescent="0.25">
      <c r="AC1020" s="33">
        <f t="shared" si="34"/>
        <v>1018</v>
      </c>
      <c r="AD1020" s="35" t="str">
        <f t="shared" si="33"/>
        <v/>
      </c>
    </row>
    <row r="1021" spans="29:30" x14ac:dyDescent="0.25">
      <c r="AC1021" s="33">
        <f t="shared" si="34"/>
        <v>1019</v>
      </c>
      <c r="AD1021" s="35" t="str">
        <f t="shared" si="33"/>
        <v/>
      </c>
    </row>
    <row r="1022" spans="29:30" x14ac:dyDescent="0.25">
      <c r="AC1022" s="33">
        <f t="shared" si="34"/>
        <v>1020</v>
      </c>
      <c r="AD1022" s="35" t="str">
        <f t="shared" si="33"/>
        <v/>
      </c>
    </row>
    <row r="1023" spans="29:30" x14ac:dyDescent="0.25">
      <c r="AC1023" s="33">
        <f t="shared" si="34"/>
        <v>1021</v>
      </c>
      <c r="AD1023" s="35" t="str">
        <f t="shared" si="33"/>
        <v/>
      </c>
    </row>
    <row r="1024" spans="29:30" x14ac:dyDescent="0.25">
      <c r="AC1024" s="33">
        <f t="shared" si="34"/>
        <v>1022</v>
      </c>
      <c r="AD1024" s="35" t="str">
        <f t="shared" si="33"/>
        <v/>
      </c>
    </row>
    <row r="1025" spans="29:30" x14ac:dyDescent="0.25">
      <c r="AC1025" s="33">
        <f t="shared" si="34"/>
        <v>1023</v>
      </c>
      <c r="AD1025" s="35" t="str">
        <f t="shared" si="33"/>
        <v/>
      </c>
    </row>
    <row r="1026" spans="29:30" x14ac:dyDescent="0.25">
      <c r="AC1026" s="33">
        <f t="shared" si="34"/>
        <v>1024</v>
      </c>
      <c r="AD1026" s="35" t="str">
        <f t="shared" si="33"/>
        <v/>
      </c>
    </row>
    <row r="1027" spans="29:30" x14ac:dyDescent="0.25">
      <c r="AC1027" s="33">
        <f t="shared" si="34"/>
        <v>1025</v>
      </c>
      <c r="AD1027" s="35" t="str">
        <f t="shared" si="33"/>
        <v/>
      </c>
    </row>
    <row r="1028" spans="29:30" x14ac:dyDescent="0.25">
      <c r="AC1028" s="33">
        <f t="shared" si="34"/>
        <v>1026</v>
      </c>
      <c r="AD1028" s="35" t="str">
        <f t="shared" si="33"/>
        <v/>
      </c>
    </row>
    <row r="1029" spans="29:30" x14ac:dyDescent="0.25">
      <c r="AC1029" s="33">
        <f t="shared" si="34"/>
        <v>1027</v>
      </c>
      <c r="AD1029" s="35" t="str">
        <f t="shared" si="33"/>
        <v/>
      </c>
    </row>
    <row r="1030" spans="29:30" x14ac:dyDescent="0.25">
      <c r="AC1030" s="33">
        <f t="shared" si="34"/>
        <v>1028</v>
      </c>
      <c r="AD1030" s="35" t="str">
        <f t="shared" si="33"/>
        <v/>
      </c>
    </row>
    <row r="1031" spans="29:30" x14ac:dyDescent="0.25">
      <c r="AC1031" s="33">
        <f t="shared" si="34"/>
        <v>1029</v>
      </c>
      <c r="AD1031" s="35" t="str">
        <f t="shared" si="33"/>
        <v/>
      </c>
    </row>
    <row r="1032" spans="29:30" x14ac:dyDescent="0.25">
      <c r="AC1032" s="33">
        <f t="shared" si="34"/>
        <v>1030</v>
      </c>
      <c r="AD1032" s="35" t="str">
        <f t="shared" ref="AD1032:AD1095" si="35">IF(AD1031&gt;AD$2,"",EOMONTH(AD1031,1))</f>
        <v/>
      </c>
    </row>
    <row r="1033" spans="29:30" x14ac:dyDescent="0.25">
      <c r="AC1033" s="33">
        <f t="shared" si="34"/>
        <v>1031</v>
      </c>
      <c r="AD1033" s="35" t="str">
        <f t="shared" si="35"/>
        <v/>
      </c>
    </row>
    <row r="1034" spans="29:30" x14ac:dyDescent="0.25">
      <c r="AC1034" s="33">
        <f t="shared" si="34"/>
        <v>1032</v>
      </c>
      <c r="AD1034" s="35" t="str">
        <f t="shared" si="35"/>
        <v/>
      </c>
    </row>
    <row r="1035" spans="29:30" x14ac:dyDescent="0.25">
      <c r="AC1035" s="33">
        <f t="shared" si="34"/>
        <v>1033</v>
      </c>
      <c r="AD1035" s="35" t="str">
        <f t="shared" si="35"/>
        <v/>
      </c>
    </row>
    <row r="1036" spans="29:30" x14ac:dyDescent="0.25">
      <c r="AC1036" s="33">
        <f t="shared" si="34"/>
        <v>1034</v>
      </c>
      <c r="AD1036" s="35" t="str">
        <f t="shared" si="35"/>
        <v/>
      </c>
    </row>
    <row r="1037" spans="29:30" x14ac:dyDescent="0.25">
      <c r="AC1037" s="33">
        <f t="shared" si="34"/>
        <v>1035</v>
      </c>
      <c r="AD1037" s="35" t="str">
        <f t="shared" si="35"/>
        <v/>
      </c>
    </row>
    <row r="1038" spans="29:30" x14ac:dyDescent="0.25">
      <c r="AC1038" s="33">
        <f t="shared" si="34"/>
        <v>1036</v>
      </c>
      <c r="AD1038" s="35" t="str">
        <f t="shared" si="35"/>
        <v/>
      </c>
    </row>
    <row r="1039" spans="29:30" x14ac:dyDescent="0.25">
      <c r="AC1039" s="33">
        <f t="shared" si="34"/>
        <v>1037</v>
      </c>
      <c r="AD1039" s="35" t="str">
        <f t="shared" si="35"/>
        <v/>
      </c>
    </row>
    <row r="1040" spans="29:30" x14ac:dyDescent="0.25">
      <c r="AC1040" s="33">
        <f t="shared" si="34"/>
        <v>1038</v>
      </c>
      <c r="AD1040" s="35" t="str">
        <f t="shared" si="35"/>
        <v/>
      </c>
    </row>
    <row r="1041" spans="29:30" x14ac:dyDescent="0.25">
      <c r="AC1041" s="33">
        <f t="shared" si="34"/>
        <v>1039</v>
      </c>
      <c r="AD1041" s="35" t="str">
        <f t="shared" si="35"/>
        <v/>
      </c>
    </row>
    <row r="1042" spans="29:30" x14ac:dyDescent="0.25">
      <c r="AC1042" s="33">
        <f t="shared" si="34"/>
        <v>1040</v>
      </c>
      <c r="AD1042" s="35" t="str">
        <f t="shared" si="35"/>
        <v/>
      </c>
    </row>
    <row r="1043" spans="29:30" x14ac:dyDescent="0.25">
      <c r="AC1043" s="33">
        <f t="shared" si="34"/>
        <v>1041</v>
      </c>
      <c r="AD1043" s="35" t="str">
        <f t="shared" si="35"/>
        <v/>
      </c>
    </row>
    <row r="1044" spans="29:30" x14ac:dyDescent="0.25">
      <c r="AC1044" s="33">
        <f t="shared" si="34"/>
        <v>1042</v>
      </c>
      <c r="AD1044" s="35" t="str">
        <f t="shared" si="35"/>
        <v/>
      </c>
    </row>
    <row r="1045" spans="29:30" x14ac:dyDescent="0.25">
      <c r="AC1045" s="33">
        <f t="shared" si="34"/>
        <v>1043</v>
      </c>
      <c r="AD1045" s="35" t="str">
        <f t="shared" si="35"/>
        <v/>
      </c>
    </row>
    <row r="1046" spans="29:30" x14ac:dyDescent="0.25">
      <c r="AC1046" s="33">
        <f t="shared" si="34"/>
        <v>1044</v>
      </c>
      <c r="AD1046" s="35" t="str">
        <f t="shared" si="35"/>
        <v/>
      </c>
    </row>
    <row r="1047" spans="29:30" x14ac:dyDescent="0.25">
      <c r="AC1047" s="33">
        <f t="shared" si="34"/>
        <v>1045</v>
      </c>
      <c r="AD1047" s="35" t="str">
        <f t="shared" si="35"/>
        <v/>
      </c>
    </row>
    <row r="1048" spans="29:30" x14ac:dyDescent="0.25">
      <c r="AC1048" s="33">
        <f t="shared" si="34"/>
        <v>1046</v>
      </c>
      <c r="AD1048" s="35" t="str">
        <f t="shared" si="35"/>
        <v/>
      </c>
    </row>
    <row r="1049" spans="29:30" x14ac:dyDescent="0.25">
      <c r="AC1049" s="33">
        <f t="shared" si="34"/>
        <v>1047</v>
      </c>
      <c r="AD1049" s="35" t="str">
        <f t="shared" si="35"/>
        <v/>
      </c>
    </row>
    <row r="1050" spans="29:30" x14ac:dyDescent="0.25">
      <c r="AC1050" s="33">
        <f t="shared" si="34"/>
        <v>1048</v>
      </c>
      <c r="AD1050" s="35" t="str">
        <f t="shared" si="35"/>
        <v/>
      </c>
    </row>
    <row r="1051" spans="29:30" x14ac:dyDescent="0.25">
      <c r="AC1051" s="33">
        <f t="shared" si="34"/>
        <v>1049</v>
      </c>
      <c r="AD1051" s="35" t="str">
        <f t="shared" si="35"/>
        <v/>
      </c>
    </row>
    <row r="1052" spans="29:30" x14ac:dyDescent="0.25">
      <c r="AC1052" s="33">
        <f t="shared" si="34"/>
        <v>1050</v>
      </c>
      <c r="AD1052" s="35" t="str">
        <f t="shared" si="35"/>
        <v/>
      </c>
    </row>
    <row r="1053" spans="29:30" x14ac:dyDescent="0.25">
      <c r="AC1053" s="33">
        <f t="shared" si="34"/>
        <v>1051</v>
      </c>
      <c r="AD1053" s="35" t="str">
        <f t="shared" si="35"/>
        <v/>
      </c>
    </row>
    <row r="1054" spans="29:30" x14ac:dyDescent="0.25">
      <c r="AC1054" s="33">
        <f t="shared" si="34"/>
        <v>1052</v>
      </c>
      <c r="AD1054" s="35" t="str">
        <f t="shared" si="35"/>
        <v/>
      </c>
    </row>
    <row r="1055" spans="29:30" x14ac:dyDescent="0.25">
      <c r="AC1055" s="33">
        <f t="shared" si="34"/>
        <v>1053</v>
      </c>
      <c r="AD1055" s="35" t="str">
        <f t="shared" si="35"/>
        <v/>
      </c>
    </row>
    <row r="1056" spans="29:30" x14ac:dyDescent="0.25">
      <c r="AC1056" s="33">
        <f t="shared" si="34"/>
        <v>1054</v>
      </c>
      <c r="AD1056" s="35" t="str">
        <f t="shared" si="35"/>
        <v/>
      </c>
    </row>
    <row r="1057" spans="29:30" x14ac:dyDescent="0.25">
      <c r="AC1057" s="33">
        <f t="shared" si="34"/>
        <v>1055</v>
      </c>
      <c r="AD1057" s="35" t="str">
        <f t="shared" si="35"/>
        <v/>
      </c>
    </row>
    <row r="1058" spans="29:30" x14ac:dyDescent="0.25">
      <c r="AC1058" s="33">
        <f t="shared" si="34"/>
        <v>1056</v>
      </c>
      <c r="AD1058" s="35" t="str">
        <f t="shared" si="35"/>
        <v/>
      </c>
    </row>
    <row r="1059" spans="29:30" x14ac:dyDescent="0.25">
      <c r="AC1059" s="33">
        <f t="shared" si="34"/>
        <v>1057</v>
      </c>
      <c r="AD1059" s="35" t="str">
        <f t="shared" si="35"/>
        <v/>
      </c>
    </row>
    <row r="1060" spans="29:30" x14ac:dyDescent="0.25">
      <c r="AC1060" s="33">
        <f t="shared" si="34"/>
        <v>1058</v>
      </c>
      <c r="AD1060" s="35" t="str">
        <f t="shared" si="35"/>
        <v/>
      </c>
    </row>
    <row r="1061" spans="29:30" x14ac:dyDescent="0.25">
      <c r="AC1061" s="33">
        <f t="shared" si="34"/>
        <v>1059</v>
      </c>
      <c r="AD1061" s="35" t="str">
        <f t="shared" si="35"/>
        <v/>
      </c>
    </row>
    <row r="1062" spans="29:30" x14ac:dyDescent="0.25">
      <c r="AC1062" s="33">
        <f t="shared" si="34"/>
        <v>1060</v>
      </c>
      <c r="AD1062" s="35" t="str">
        <f t="shared" si="35"/>
        <v/>
      </c>
    </row>
    <row r="1063" spans="29:30" x14ac:dyDescent="0.25">
      <c r="AC1063" s="33">
        <f t="shared" si="34"/>
        <v>1061</v>
      </c>
      <c r="AD1063" s="35" t="str">
        <f t="shared" si="35"/>
        <v/>
      </c>
    </row>
    <row r="1064" spans="29:30" x14ac:dyDescent="0.25">
      <c r="AC1064" s="33">
        <f t="shared" si="34"/>
        <v>1062</v>
      </c>
      <c r="AD1064" s="35" t="str">
        <f t="shared" si="35"/>
        <v/>
      </c>
    </row>
    <row r="1065" spans="29:30" x14ac:dyDescent="0.25">
      <c r="AC1065" s="33">
        <f t="shared" si="34"/>
        <v>1063</v>
      </c>
      <c r="AD1065" s="35" t="str">
        <f t="shared" si="35"/>
        <v/>
      </c>
    </row>
    <row r="1066" spans="29:30" x14ac:dyDescent="0.25">
      <c r="AC1066" s="33">
        <f t="shared" si="34"/>
        <v>1064</v>
      </c>
      <c r="AD1066" s="35" t="str">
        <f t="shared" si="35"/>
        <v/>
      </c>
    </row>
    <row r="1067" spans="29:30" x14ac:dyDescent="0.25">
      <c r="AC1067" s="33">
        <f t="shared" si="34"/>
        <v>1065</v>
      </c>
      <c r="AD1067" s="35" t="str">
        <f t="shared" si="35"/>
        <v/>
      </c>
    </row>
    <row r="1068" spans="29:30" x14ac:dyDescent="0.25">
      <c r="AC1068" s="33">
        <f t="shared" si="34"/>
        <v>1066</v>
      </c>
      <c r="AD1068" s="35" t="str">
        <f t="shared" si="35"/>
        <v/>
      </c>
    </row>
    <row r="1069" spans="29:30" x14ac:dyDescent="0.25">
      <c r="AC1069" s="33">
        <f t="shared" si="34"/>
        <v>1067</v>
      </c>
      <c r="AD1069" s="35" t="str">
        <f t="shared" si="35"/>
        <v/>
      </c>
    </row>
    <row r="1070" spans="29:30" x14ac:dyDescent="0.25">
      <c r="AC1070" s="33">
        <f t="shared" si="34"/>
        <v>1068</v>
      </c>
      <c r="AD1070" s="35" t="str">
        <f t="shared" si="35"/>
        <v/>
      </c>
    </row>
    <row r="1071" spans="29:30" x14ac:dyDescent="0.25">
      <c r="AC1071" s="33">
        <f t="shared" si="34"/>
        <v>1069</v>
      </c>
      <c r="AD1071" s="35" t="str">
        <f t="shared" si="35"/>
        <v/>
      </c>
    </row>
    <row r="1072" spans="29:30" x14ac:dyDescent="0.25">
      <c r="AC1072" s="33">
        <f t="shared" si="34"/>
        <v>1070</v>
      </c>
      <c r="AD1072" s="35" t="str">
        <f t="shared" si="35"/>
        <v/>
      </c>
    </row>
    <row r="1073" spans="29:30" x14ac:dyDescent="0.25">
      <c r="AC1073" s="33">
        <f t="shared" si="34"/>
        <v>1071</v>
      </c>
      <c r="AD1073" s="35" t="str">
        <f t="shared" si="35"/>
        <v/>
      </c>
    </row>
    <row r="1074" spans="29:30" x14ac:dyDescent="0.25">
      <c r="AC1074" s="33">
        <f t="shared" si="34"/>
        <v>1072</v>
      </c>
      <c r="AD1074" s="35" t="str">
        <f t="shared" si="35"/>
        <v/>
      </c>
    </row>
    <row r="1075" spans="29:30" x14ac:dyDescent="0.25">
      <c r="AC1075" s="33">
        <f t="shared" si="34"/>
        <v>1073</v>
      </c>
      <c r="AD1075" s="35" t="str">
        <f t="shared" si="35"/>
        <v/>
      </c>
    </row>
    <row r="1076" spans="29:30" x14ac:dyDescent="0.25">
      <c r="AC1076" s="33">
        <f t="shared" si="34"/>
        <v>1074</v>
      </c>
      <c r="AD1076" s="35" t="str">
        <f t="shared" si="35"/>
        <v/>
      </c>
    </row>
    <row r="1077" spans="29:30" x14ac:dyDescent="0.25">
      <c r="AC1077" s="33">
        <f t="shared" si="34"/>
        <v>1075</v>
      </c>
      <c r="AD1077" s="35" t="str">
        <f t="shared" si="35"/>
        <v/>
      </c>
    </row>
    <row r="1078" spans="29:30" x14ac:dyDescent="0.25">
      <c r="AC1078" s="33">
        <f t="shared" si="34"/>
        <v>1076</v>
      </c>
      <c r="AD1078" s="35" t="str">
        <f t="shared" si="35"/>
        <v/>
      </c>
    </row>
    <row r="1079" spans="29:30" x14ac:dyDescent="0.25">
      <c r="AC1079" s="33">
        <f t="shared" si="34"/>
        <v>1077</v>
      </c>
      <c r="AD1079" s="35" t="str">
        <f t="shared" si="35"/>
        <v/>
      </c>
    </row>
    <row r="1080" spans="29:30" x14ac:dyDescent="0.25">
      <c r="AC1080" s="33">
        <f t="shared" si="34"/>
        <v>1078</v>
      </c>
      <c r="AD1080" s="35" t="str">
        <f t="shared" si="35"/>
        <v/>
      </c>
    </row>
    <row r="1081" spans="29:30" x14ac:dyDescent="0.25">
      <c r="AC1081" s="33">
        <f t="shared" si="34"/>
        <v>1079</v>
      </c>
      <c r="AD1081" s="35" t="str">
        <f t="shared" si="35"/>
        <v/>
      </c>
    </row>
    <row r="1082" spans="29:30" x14ac:dyDescent="0.25">
      <c r="AC1082" s="33">
        <f t="shared" si="34"/>
        <v>1080</v>
      </c>
      <c r="AD1082" s="35" t="str">
        <f t="shared" si="35"/>
        <v/>
      </c>
    </row>
    <row r="1083" spans="29:30" x14ac:dyDescent="0.25">
      <c r="AC1083" s="33">
        <f t="shared" ref="AC1083:AC1146" si="36">AC1082+1</f>
        <v>1081</v>
      </c>
      <c r="AD1083" s="35" t="str">
        <f t="shared" si="35"/>
        <v/>
      </c>
    </row>
    <row r="1084" spans="29:30" x14ac:dyDescent="0.25">
      <c r="AC1084" s="33">
        <f t="shared" si="36"/>
        <v>1082</v>
      </c>
      <c r="AD1084" s="35" t="str">
        <f t="shared" si="35"/>
        <v/>
      </c>
    </row>
    <row r="1085" spans="29:30" x14ac:dyDescent="0.25">
      <c r="AC1085" s="33">
        <f t="shared" si="36"/>
        <v>1083</v>
      </c>
      <c r="AD1085" s="35" t="str">
        <f t="shared" si="35"/>
        <v/>
      </c>
    </row>
    <row r="1086" spans="29:30" x14ac:dyDescent="0.25">
      <c r="AC1086" s="33">
        <f t="shared" si="36"/>
        <v>1084</v>
      </c>
      <c r="AD1086" s="35" t="str">
        <f t="shared" si="35"/>
        <v/>
      </c>
    </row>
    <row r="1087" spans="29:30" x14ac:dyDescent="0.25">
      <c r="AC1087" s="33">
        <f t="shared" si="36"/>
        <v>1085</v>
      </c>
      <c r="AD1087" s="35" t="str">
        <f t="shared" si="35"/>
        <v/>
      </c>
    </row>
    <row r="1088" spans="29:30" x14ac:dyDescent="0.25">
      <c r="AC1088" s="33">
        <f t="shared" si="36"/>
        <v>1086</v>
      </c>
      <c r="AD1088" s="35" t="str">
        <f t="shared" si="35"/>
        <v/>
      </c>
    </row>
    <row r="1089" spans="29:30" x14ac:dyDescent="0.25">
      <c r="AC1089" s="33">
        <f t="shared" si="36"/>
        <v>1087</v>
      </c>
      <c r="AD1089" s="35" t="str">
        <f t="shared" si="35"/>
        <v/>
      </c>
    </row>
    <row r="1090" spans="29:30" x14ac:dyDescent="0.25">
      <c r="AC1090" s="33">
        <f t="shared" si="36"/>
        <v>1088</v>
      </c>
      <c r="AD1090" s="35" t="str">
        <f t="shared" si="35"/>
        <v/>
      </c>
    </row>
    <row r="1091" spans="29:30" x14ac:dyDescent="0.25">
      <c r="AC1091" s="33">
        <f t="shared" si="36"/>
        <v>1089</v>
      </c>
      <c r="AD1091" s="35" t="str">
        <f t="shared" si="35"/>
        <v/>
      </c>
    </row>
    <row r="1092" spans="29:30" x14ac:dyDescent="0.25">
      <c r="AC1092" s="33">
        <f t="shared" si="36"/>
        <v>1090</v>
      </c>
      <c r="AD1092" s="35" t="str">
        <f t="shared" si="35"/>
        <v/>
      </c>
    </row>
    <row r="1093" spans="29:30" x14ac:dyDescent="0.25">
      <c r="AC1093" s="33">
        <f t="shared" si="36"/>
        <v>1091</v>
      </c>
      <c r="AD1093" s="35" t="str">
        <f t="shared" si="35"/>
        <v/>
      </c>
    </row>
    <row r="1094" spans="29:30" x14ac:dyDescent="0.25">
      <c r="AC1094" s="33">
        <f t="shared" si="36"/>
        <v>1092</v>
      </c>
      <c r="AD1094" s="35" t="str">
        <f t="shared" si="35"/>
        <v/>
      </c>
    </row>
    <row r="1095" spans="29:30" x14ac:dyDescent="0.25">
      <c r="AC1095" s="33">
        <f t="shared" si="36"/>
        <v>1093</v>
      </c>
      <c r="AD1095" s="35" t="str">
        <f t="shared" si="35"/>
        <v/>
      </c>
    </row>
    <row r="1096" spans="29:30" x14ac:dyDescent="0.25">
      <c r="AC1096" s="33">
        <f t="shared" si="36"/>
        <v>1094</v>
      </c>
      <c r="AD1096" s="35" t="str">
        <f t="shared" ref="AD1096:AD1159" si="37">IF(AD1095&gt;AD$2,"",EOMONTH(AD1095,1))</f>
        <v/>
      </c>
    </row>
    <row r="1097" spans="29:30" x14ac:dyDescent="0.25">
      <c r="AC1097" s="33">
        <f t="shared" si="36"/>
        <v>1095</v>
      </c>
      <c r="AD1097" s="35" t="str">
        <f t="shared" si="37"/>
        <v/>
      </c>
    </row>
    <row r="1098" spans="29:30" x14ac:dyDescent="0.25">
      <c r="AC1098" s="33">
        <f t="shared" si="36"/>
        <v>1096</v>
      </c>
      <c r="AD1098" s="35" t="str">
        <f t="shared" si="37"/>
        <v/>
      </c>
    </row>
    <row r="1099" spans="29:30" x14ac:dyDescent="0.25">
      <c r="AC1099" s="33">
        <f t="shared" si="36"/>
        <v>1097</v>
      </c>
      <c r="AD1099" s="35" t="str">
        <f t="shared" si="37"/>
        <v/>
      </c>
    </row>
    <row r="1100" spans="29:30" x14ac:dyDescent="0.25">
      <c r="AC1100" s="33">
        <f t="shared" si="36"/>
        <v>1098</v>
      </c>
      <c r="AD1100" s="35" t="str">
        <f t="shared" si="37"/>
        <v/>
      </c>
    </row>
    <row r="1101" spans="29:30" x14ac:dyDescent="0.25">
      <c r="AC1101" s="33">
        <f t="shared" si="36"/>
        <v>1099</v>
      </c>
      <c r="AD1101" s="35" t="str">
        <f t="shared" si="37"/>
        <v/>
      </c>
    </row>
    <row r="1102" spans="29:30" x14ac:dyDescent="0.25">
      <c r="AC1102" s="33">
        <f t="shared" si="36"/>
        <v>1100</v>
      </c>
      <c r="AD1102" s="35" t="str">
        <f t="shared" si="37"/>
        <v/>
      </c>
    </row>
    <row r="1103" spans="29:30" x14ac:dyDescent="0.25">
      <c r="AC1103" s="33">
        <f t="shared" si="36"/>
        <v>1101</v>
      </c>
      <c r="AD1103" s="35" t="str">
        <f t="shared" si="37"/>
        <v/>
      </c>
    </row>
    <row r="1104" spans="29:30" x14ac:dyDescent="0.25">
      <c r="AC1104" s="33">
        <f t="shared" si="36"/>
        <v>1102</v>
      </c>
      <c r="AD1104" s="35" t="str">
        <f t="shared" si="37"/>
        <v/>
      </c>
    </row>
    <row r="1105" spans="29:30" x14ac:dyDescent="0.25">
      <c r="AC1105" s="33">
        <f t="shared" si="36"/>
        <v>1103</v>
      </c>
      <c r="AD1105" s="35" t="str">
        <f t="shared" si="37"/>
        <v/>
      </c>
    </row>
    <row r="1106" spans="29:30" x14ac:dyDescent="0.25">
      <c r="AC1106" s="33">
        <f t="shared" si="36"/>
        <v>1104</v>
      </c>
      <c r="AD1106" s="35" t="str">
        <f t="shared" si="37"/>
        <v/>
      </c>
    </row>
    <row r="1107" spans="29:30" x14ac:dyDescent="0.25">
      <c r="AC1107" s="33">
        <f t="shared" si="36"/>
        <v>1105</v>
      </c>
      <c r="AD1107" s="35" t="str">
        <f t="shared" si="37"/>
        <v/>
      </c>
    </row>
    <row r="1108" spans="29:30" x14ac:dyDescent="0.25">
      <c r="AC1108" s="33">
        <f t="shared" si="36"/>
        <v>1106</v>
      </c>
      <c r="AD1108" s="35" t="str">
        <f t="shared" si="37"/>
        <v/>
      </c>
    </row>
    <row r="1109" spans="29:30" x14ac:dyDescent="0.25">
      <c r="AC1109" s="33">
        <f t="shared" si="36"/>
        <v>1107</v>
      </c>
      <c r="AD1109" s="35" t="str">
        <f t="shared" si="37"/>
        <v/>
      </c>
    </row>
    <row r="1110" spans="29:30" x14ac:dyDescent="0.25">
      <c r="AC1110" s="33">
        <f t="shared" si="36"/>
        <v>1108</v>
      </c>
      <c r="AD1110" s="35" t="str">
        <f t="shared" si="37"/>
        <v/>
      </c>
    </row>
    <row r="1111" spans="29:30" x14ac:dyDescent="0.25">
      <c r="AC1111" s="33">
        <f t="shared" si="36"/>
        <v>1109</v>
      </c>
      <c r="AD1111" s="35" t="str">
        <f t="shared" si="37"/>
        <v/>
      </c>
    </row>
    <row r="1112" spans="29:30" x14ac:dyDescent="0.25">
      <c r="AC1112" s="33">
        <f t="shared" si="36"/>
        <v>1110</v>
      </c>
      <c r="AD1112" s="35" t="str">
        <f t="shared" si="37"/>
        <v/>
      </c>
    </row>
    <row r="1113" spans="29:30" x14ac:dyDescent="0.25">
      <c r="AC1113" s="33">
        <f t="shared" si="36"/>
        <v>1111</v>
      </c>
      <c r="AD1113" s="35" t="str">
        <f t="shared" si="37"/>
        <v/>
      </c>
    </row>
    <row r="1114" spans="29:30" x14ac:dyDescent="0.25">
      <c r="AC1114" s="33">
        <f t="shared" si="36"/>
        <v>1112</v>
      </c>
      <c r="AD1114" s="35" t="str">
        <f t="shared" si="37"/>
        <v/>
      </c>
    </row>
    <row r="1115" spans="29:30" x14ac:dyDescent="0.25">
      <c r="AC1115" s="33">
        <f t="shared" si="36"/>
        <v>1113</v>
      </c>
      <c r="AD1115" s="35" t="str">
        <f t="shared" si="37"/>
        <v/>
      </c>
    </row>
    <row r="1116" spans="29:30" x14ac:dyDescent="0.25">
      <c r="AC1116" s="33">
        <f t="shared" si="36"/>
        <v>1114</v>
      </c>
      <c r="AD1116" s="35" t="str">
        <f t="shared" si="37"/>
        <v/>
      </c>
    </row>
    <row r="1117" spans="29:30" x14ac:dyDescent="0.25">
      <c r="AC1117" s="33">
        <f t="shared" si="36"/>
        <v>1115</v>
      </c>
      <c r="AD1117" s="35" t="str">
        <f t="shared" si="37"/>
        <v/>
      </c>
    </row>
    <row r="1118" spans="29:30" x14ac:dyDescent="0.25">
      <c r="AC1118" s="33">
        <f t="shared" si="36"/>
        <v>1116</v>
      </c>
      <c r="AD1118" s="35" t="str">
        <f t="shared" si="37"/>
        <v/>
      </c>
    </row>
    <row r="1119" spans="29:30" x14ac:dyDescent="0.25">
      <c r="AC1119" s="33">
        <f t="shared" si="36"/>
        <v>1117</v>
      </c>
      <c r="AD1119" s="35" t="str">
        <f t="shared" si="37"/>
        <v/>
      </c>
    </row>
    <row r="1120" spans="29:30" x14ac:dyDescent="0.25">
      <c r="AC1120" s="33">
        <f t="shared" si="36"/>
        <v>1118</v>
      </c>
      <c r="AD1120" s="35" t="str">
        <f t="shared" si="37"/>
        <v/>
      </c>
    </row>
    <row r="1121" spans="29:30" x14ac:dyDescent="0.25">
      <c r="AC1121" s="33">
        <f t="shared" si="36"/>
        <v>1119</v>
      </c>
      <c r="AD1121" s="35" t="str">
        <f t="shared" si="37"/>
        <v/>
      </c>
    </row>
    <row r="1122" spans="29:30" x14ac:dyDescent="0.25">
      <c r="AC1122" s="33">
        <f t="shared" si="36"/>
        <v>1120</v>
      </c>
      <c r="AD1122" s="35" t="str">
        <f t="shared" si="37"/>
        <v/>
      </c>
    </row>
    <row r="1123" spans="29:30" x14ac:dyDescent="0.25">
      <c r="AC1123" s="33">
        <f t="shared" si="36"/>
        <v>1121</v>
      </c>
      <c r="AD1123" s="35" t="str">
        <f t="shared" si="37"/>
        <v/>
      </c>
    </row>
    <row r="1124" spans="29:30" x14ac:dyDescent="0.25">
      <c r="AC1124" s="33">
        <f t="shared" si="36"/>
        <v>1122</v>
      </c>
      <c r="AD1124" s="35" t="str">
        <f t="shared" si="37"/>
        <v/>
      </c>
    </row>
    <row r="1125" spans="29:30" x14ac:dyDescent="0.25">
      <c r="AC1125" s="33">
        <f t="shared" si="36"/>
        <v>1123</v>
      </c>
      <c r="AD1125" s="35" t="str">
        <f t="shared" si="37"/>
        <v/>
      </c>
    </row>
    <row r="1126" spans="29:30" x14ac:dyDescent="0.25">
      <c r="AC1126" s="33">
        <f t="shared" si="36"/>
        <v>1124</v>
      </c>
      <c r="AD1126" s="35" t="str">
        <f t="shared" si="37"/>
        <v/>
      </c>
    </row>
    <row r="1127" spans="29:30" x14ac:dyDescent="0.25">
      <c r="AC1127" s="33">
        <f t="shared" si="36"/>
        <v>1125</v>
      </c>
      <c r="AD1127" s="35" t="str">
        <f t="shared" si="37"/>
        <v/>
      </c>
    </row>
    <row r="1128" spans="29:30" x14ac:dyDescent="0.25">
      <c r="AC1128" s="33">
        <f t="shared" si="36"/>
        <v>1126</v>
      </c>
      <c r="AD1128" s="35" t="str">
        <f t="shared" si="37"/>
        <v/>
      </c>
    </row>
    <row r="1129" spans="29:30" x14ac:dyDescent="0.25">
      <c r="AC1129" s="33">
        <f t="shared" si="36"/>
        <v>1127</v>
      </c>
      <c r="AD1129" s="35" t="str">
        <f t="shared" si="37"/>
        <v/>
      </c>
    </row>
    <row r="1130" spans="29:30" x14ac:dyDescent="0.25">
      <c r="AC1130" s="33">
        <f t="shared" si="36"/>
        <v>1128</v>
      </c>
      <c r="AD1130" s="35" t="str">
        <f t="shared" si="37"/>
        <v/>
      </c>
    </row>
    <row r="1131" spans="29:30" x14ac:dyDescent="0.25">
      <c r="AC1131" s="33">
        <f t="shared" si="36"/>
        <v>1129</v>
      </c>
      <c r="AD1131" s="35" t="str">
        <f t="shared" si="37"/>
        <v/>
      </c>
    </row>
    <row r="1132" spans="29:30" x14ac:dyDescent="0.25">
      <c r="AC1132" s="33">
        <f t="shared" si="36"/>
        <v>1130</v>
      </c>
      <c r="AD1132" s="35" t="str">
        <f t="shared" si="37"/>
        <v/>
      </c>
    </row>
    <row r="1133" spans="29:30" x14ac:dyDescent="0.25">
      <c r="AC1133" s="33">
        <f t="shared" si="36"/>
        <v>1131</v>
      </c>
      <c r="AD1133" s="35" t="str">
        <f t="shared" si="37"/>
        <v/>
      </c>
    </row>
    <row r="1134" spans="29:30" x14ac:dyDescent="0.25">
      <c r="AC1134" s="33">
        <f t="shared" si="36"/>
        <v>1132</v>
      </c>
      <c r="AD1134" s="35" t="str">
        <f t="shared" si="37"/>
        <v/>
      </c>
    </row>
    <row r="1135" spans="29:30" x14ac:dyDescent="0.25">
      <c r="AC1135" s="33">
        <f t="shared" si="36"/>
        <v>1133</v>
      </c>
      <c r="AD1135" s="35" t="str">
        <f t="shared" si="37"/>
        <v/>
      </c>
    </row>
    <row r="1136" spans="29:30" x14ac:dyDescent="0.25">
      <c r="AC1136" s="33">
        <f t="shared" si="36"/>
        <v>1134</v>
      </c>
      <c r="AD1136" s="35" t="str">
        <f t="shared" si="37"/>
        <v/>
      </c>
    </row>
    <row r="1137" spans="29:30" x14ac:dyDescent="0.25">
      <c r="AC1137" s="33">
        <f t="shared" si="36"/>
        <v>1135</v>
      </c>
      <c r="AD1137" s="35" t="str">
        <f t="shared" si="37"/>
        <v/>
      </c>
    </row>
    <row r="1138" spans="29:30" x14ac:dyDescent="0.25">
      <c r="AC1138" s="33">
        <f t="shared" si="36"/>
        <v>1136</v>
      </c>
      <c r="AD1138" s="35" t="str">
        <f t="shared" si="37"/>
        <v/>
      </c>
    </row>
    <row r="1139" spans="29:30" x14ac:dyDescent="0.25">
      <c r="AC1139" s="33">
        <f t="shared" si="36"/>
        <v>1137</v>
      </c>
      <c r="AD1139" s="35" t="str">
        <f t="shared" si="37"/>
        <v/>
      </c>
    </row>
    <row r="1140" spans="29:30" x14ac:dyDescent="0.25">
      <c r="AC1140" s="33">
        <f t="shared" si="36"/>
        <v>1138</v>
      </c>
      <c r="AD1140" s="35" t="str">
        <f t="shared" si="37"/>
        <v/>
      </c>
    </row>
    <row r="1141" spans="29:30" x14ac:dyDescent="0.25">
      <c r="AC1141" s="33">
        <f t="shared" si="36"/>
        <v>1139</v>
      </c>
      <c r="AD1141" s="35" t="str">
        <f t="shared" si="37"/>
        <v/>
      </c>
    </row>
    <row r="1142" spans="29:30" x14ac:dyDescent="0.25">
      <c r="AC1142" s="33">
        <f t="shared" si="36"/>
        <v>1140</v>
      </c>
      <c r="AD1142" s="35" t="str">
        <f t="shared" si="37"/>
        <v/>
      </c>
    </row>
    <row r="1143" spans="29:30" x14ac:dyDescent="0.25">
      <c r="AC1143" s="33">
        <f t="shared" si="36"/>
        <v>1141</v>
      </c>
      <c r="AD1143" s="35" t="str">
        <f t="shared" si="37"/>
        <v/>
      </c>
    </row>
    <row r="1144" spans="29:30" x14ac:dyDescent="0.25">
      <c r="AC1144" s="33">
        <f t="shared" si="36"/>
        <v>1142</v>
      </c>
      <c r="AD1144" s="35" t="str">
        <f t="shared" si="37"/>
        <v/>
      </c>
    </row>
    <row r="1145" spans="29:30" x14ac:dyDescent="0.25">
      <c r="AC1145" s="33">
        <f t="shared" si="36"/>
        <v>1143</v>
      </c>
      <c r="AD1145" s="35" t="str">
        <f t="shared" si="37"/>
        <v/>
      </c>
    </row>
    <row r="1146" spans="29:30" x14ac:dyDescent="0.25">
      <c r="AC1146" s="33">
        <f t="shared" si="36"/>
        <v>1144</v>
      </c>
      <c r="AD1146" s="35" t="str">
        <f t="shared" si="37"/>
        <v/>
      </c>
    </row>
    <row r="1147" spans="29:30" x14ac:dyDescent="0.25">
      <c r="AC1147" s="33">
        <f t="shared" ref="AC1147:AC1210" si="38">AC1146+1</f>
        <v>1145</v>
      </c>
      <c r="AD1147" s="35" t="str">
        <f t="shared" si="37"/>
        <v/>
      </c>
    </row>
    <row r="1148" spans="29:30" x14ac:dyDescent="0.25">
      <c r="AC1148" s="33">
        <f t="shared" si="38"/>
        <v>1146</v>
      </c>
      <c r="AD1148" s="35" t="str">
        <f t="shared" si="37"/>
        <v/>
      </c>
    </row>
    <row r="1149" spans="29:30" x14ac:dyDescent="0.25">
      <c r="AC1149" s="33">
        <f t="shared" si="38"/>
        <v>1147</v>
      </c>
      <c r="AD1149" s="35" t="str">
        <f t="shared" si="37"/>
        <v/>
      </c>
    </row>
    <row r="1150" spans="29:30" x14ac:dyDescent="0.25">
      <c r="AC1150" s="33">
        <f t="shared" si="38"/>
        <v>1148</v>
      </c>
      <c r="AD1150" s="35" t="str">
        <f t="shared" si="37"/>
        <v/>
      </c>
    </row>
    <row r="1151" spans="29:30" x14ac:dyDescent="0.25">
      <c r="AC1151" s="33">
        <f t="shared" si="38"/>
        <v>1149</v>
      </c>
      <c r="AD1151" s="35" t="str">
        <f t="shared" si="37"/>
        <v/>
      </c>
    </row>
    <row r="1152" spans="29:30" x14ac:dyDescent="0.25">
      <c r="AC1152" s="33">
        <f t="shared" si="38"/>
        <v>1150</v>
      </c>
      <c r="AD1152" s="35" t="str">
        <f t="shared" si="37"/>
        <v/>
      </c>
    </row>
    <row r="1153" spans="29:30" x14ac:dyDescent="0.25">
      <c r="AC1153" s="33">
        <f t="shared" si="38"/>
        <v>1151</v>
      </c>
      <c r="AD1153" s="35" t="str">
        <f t="shared" si="37"/>
        <v/>
      </c>
    </row>
    <row r="1154" spans="29:30" x14ac:dyDescent="0.25">
      <c r="AC1154" s="33">
        <f t="shared" si="38"/>
        <v>1152</v>
      </c>
      <c r="AD1154" s="35" t="str">
        <f t="shared" si="37"/>
        <v/>
      </c>
    </row>
    <row r="1155" spans="29:30" x14ac:dyDescent="0.25">
      <c r="AC1155" s="33">
        <f t="shared" si="38"/>
        <v>1153</v>
      </c>
      <c r="AD1155" s="35" t="str">
        <f t="shared" si="37"/>
        <v/>
      </c>
    </row>
    <row r="1156" spans="29:30" x14ac:dyDescent="0.25">
      <c r="AC1156" s="33">
        <f t="shared" si="38"/>
        <v>1154</v>
      </c>
      <c r="AD1156" s="35" t="str">
        <f t="shared" si="37"/>
        <v/>
      </c>
    </row>
    <row r="1157" spans="29:30" x14ac:dyDescent="0.25">
      <c r="AC1157" s="33">
        <f t="shared" si="38"/>
        <v>1155</v>
      </c>
      <c r="AD1157" s="35" t="str">
        <f t="shared" si="37"/>
        <v/>
      </c>
    </row>
    <row r="1158" spans="29:30" x14ac:dyDescent="0.25">
      <c r="AC1158" s="33">
        <f t="shared" si="38"/>
        <v>1156</v>
      </c>
      <c r="AD1158" s="35" t="str">
        <f t="shared" si="37"/>
        <v/>
      </c>
    </row>
    <row r="1159" spans="29:30" x14ac:dyDescent="0.25">
      <c r="AC1159" s="33">
        <f t="shared" si="38"/>
        <v>1157</v>
      </c>
      <c r="AD1159" s="35" t="str">
        <f t="shared" si="37"/>
        <v/>
      </c>
    </row>
    <row r="1160" spans="29:30" x14ac:dyDescent="0.25">
      <c r="AC1160" s="33">
        <f t="shared" si="38"/>
        <v>1158</v>
      </c>
      <c r="AD1160" s="35" t="str">
        <f t="shared" ref="AD1160:AD1223" si="39">IF(AD1159&gt;AD$2,"",EOMONTH(AD1159,1))</f>
        <v/>
      </c>
    </row>
    <row r="1161" spans="29:30" x14ac:dyDescent="0.25">
      <c r="AC1161" s="33">
        <f t="shared" si="38"/>
        <v>1159</v>
      </c>
      <c r="AD1161" s="35" t="str">
        <f t="shared" si="39"/>
        <v/>
      </c>
    </row>
    <row r="1162" spans="29:30" x14ac:dyDescent="0.25">
      <c r="AC1162" s="33">
        <f t="shared" si="38"/>
        <v>1160</v>
      </c>
      <c r="AD1162" s="35" t="str">
        <f t="shared" si="39"/>
        <v/>
      </c>
    </row>
    <row r="1163" spans="29:30" x14ac:dyDescent="0.25">
      <c r="AC1163" s="33">
        <f t="shared" si="38"/>
        <v>1161</v>
      </c>
      <c r="AD1163" s="35" t="str">
        <f t="shared" si="39"/>
        <v/>
      </c>
    </row>
    <row r="1164" spans="29:30" x14ac:dyDescent="0.25">
      <c r="AC1164" s="33">
        <f t="shared" si="38"/>
        <v>1162</v>
      </c>
      <c r="AD1164" s="35" t="str">
        <f t="shared" si="39"/>
        <v/>
      </c>
    </row>
    <row r="1165" spans="29:30" x14ac:dyDescent="0.25">
      <c r="AC1165" s="33">
        <f t="shared" si="38"/>
        <v>1163</v>
      </c>
      <c r="AD1165" s="35" t="str">
        <f t="shared" si="39"/>
        <v/>
      </c>
    </row>
    <row r="1166" spans="29:30" x14ac:dyDescent="0.25">
      <c r="AC1166" s="33">
        <f t="shared" si="38"/>
        <v>1164</v>
      </c>
      <c r="AD1166" s="35" t="str">
        <f t="shared" si="39"/>
        <v/>
      </c>
    </row>
    <row r="1167" spans="29:30" x14ac:dyDescent="0.25">
      <c r="AC1167" s="33">
        <f t="shared" si="38"/>
        <v>1165</v>
      </c>
      <c r="AD1167" s="35" t="str">
        <f t="shared" si="39"/>
        <v/>
      </c>
    </row>
    <row r="1168" spans="29:30" x14ac:dyDescent="0.25">
      <c r="AC1168" s="33">
        <f t="shared" si="38"/>
        <v>1166</v>
      </c>
      <c r="AD1168" s="35" t="str">
        <f t="shared" si="39"/>
        <v/>
      </c>
    </row>
    <row r="1169" spans="29:30" x14ac:dyDescent="0.25">
      <c r="AC1169" s="33">
        <f t="shared" si="38"/>
        <v>1167</v>
      </c>
      <c r="AD1169" s="35" t="str">
        <f t="shared" si="39"/>
        <v/>
      </c>
    </row>
    <row r="1170" spans="29:30" x14ac:dyDescent="0.25">
      <c r="AC1170" s="33">
        <f t="shared" si="38"/>
        <v>1168</v>
      </c>
      <c r="AD1170" s="35" t="str">
        <f t="shared" si="39"/>
        <v/>
      </c>
    </row>
    <row r="1171" spans="29:30" x14ac:dyDescent="0.25">
      <c r="AC1171" s="33">
        <f t="shared" si="38"/>
        <v>1169</v>
      </c>
      <c r="AD1171" s="35" t="str">
        <f t="shared" si="39"/>
        <v/>
      </c>
    </row>
    <row r="1172" spans="29:30" x14ac:dyDescent="0.25">
      <c r="AC1172" s="33">
        <f t="shared" si="38"/>
        <v>1170</v>
      </c>
      <c r="AD1172" s="35" t="str">
        <f t="shared" si="39"/>
        <v/>
      </c>
    </row>
    <row r="1173" spans="29:30" x14ac:dyDescent="0.25">
      <c r="AC1173" s="33">
        <f t="shared" si="38"/>
        <v>1171</v>
      </c>
      <c r="AD1173" s="35" t="str">
        <f t="shared" si="39"/>
        <v/>
      </c>
    </row>
    <row r="1174" spans="29:30" x14ac:dyDescent="0.25">
      <c r="AC1174" s="33">
        <f t="shared" si="38"/>
        <v>1172</v>
      </c>
      <c r="AD1174" s="35" t="str">
        <f t="shared" si="39"/>
        <v/>
      </c>
    </row>
    <row r="1175" spans="29:30" x14ac:dyDescent="0.25">
      <c r="AC1175" s="33">
        <f t="shared" si="38"/>
        <v>1173</v>
      </c>
      <c r="AD1175" s="35" t="str">
        <f t="shared" si="39"/>
        <v/>
      </c>
    </row>
    <row r="1176" spans="29:30" x14ac:dyDescent="0.25">
      <c r="AC1176" s="33">
        <f t="shared" si="38"/>
        <v>1174</v>
      </c>
      <c r="AD1176" s="35" t="str">
        <f t="shared" si="39"/>
        <v/>
      </c>
    </row>
    <row r="1177" spans="29:30" x14ac:dyDescent="0.25">
      <c r="AC1177" s="33">
        <f t="shared" si="38"/>
        <v>1175</v>
      </c>
      <c r="AD1177" s="35" t="str">
        <f t="shared" si="39"/>
        <v/>
      </c>
    </row>
    <row r="1178" spans="29:30" x14ac:dyDescent="0.25">
      <c r="AC1178" s="33">
        <f t="shared" si="38"/>
        <v>1176</v>
      </c>
      <c r="AD1178" s="35" t="str">
        <f t="shared" si="39"/>
        <v/>
      </c>
    </row>
    <row r="1179" spans="29:30" x14ac:dyDescent="0.25">
      <c r="AC1179" s="33">
        <f t="shared" si="38"/>
        <v>1177</v>
      </c>
      <c r="AD1179" s="35" t="str">
        <f t="shared" si="39"/>
        <v/>
      </c>
    </row>
    <row r="1180" spans="29:30" x14ac:dyDescent="0.25">
      <c r="AC1180" s="33">
        <f t="shared" si="38"/>
        <v>1178</v>
      </c>
      <c r="AD1180" s="35" t="str">
        <f t="shared" si="39"/>
        <v/>
      </c>
    </row>
    <row r="1181" spans="29:30" x14ac:dyDescent="0.25">
      <c r="AC1181" s="33">
        <f t="shared" si="38"/>
        <v>1179</v>
      </c>
      <c r="AD1181" s="35" t="str">
        <f t="shared" si="39"/>
        <v/>
      </c>
    </row>
    <row r="1182" spans="29:30" x14ac:dyDescent="0.25">
      <c r="AC1182" s="33">
        <f t="shared" si="38"/>
        <v>1180</v>
      </c>
      <c r="AD1182" s="35" t="str">
        <f t="shared" si="39"/>
        <v/>
      </c>
    </row>
    <row r="1183" spans="29:30" x14ac:dyDescent="0.25">
      <c r="AC1183" s="33">
        <f t="shared" si="38"/>
        <v>1181</v>
      </c>
      <c r="AD1183" s="35" t="str">
        <f t="shared" si="39"/>
        <v/>
      </c>
    </row>
    <row r="1184" spans="29:30" x14ac:dyDescent="0.25">
      <c r="AC1184" s="33">
        <f t="shared" si="38"/>
        <v>1182</v>
      </c>
      <c r="AD1184" s="35" t="str">
        <f t="shared" si="39"/>
        <v/>
      </c>
    </row>
    <row r="1185" spans="29:30" x14ac:dyDescent="0.25">
      <c r="AC1185" s="33">
        <f t="shared" si="38"/>
        <v>1183</v>
      </c>
      <c r="AD1185" s="35" t="str">
        <f t="shared" si="39"/>
        <v/>
      </c>
    </row>
    <row r="1186" spans="29:30" x14ac:dyDescent="0.25">
      <c r="AC1186" s="33">
        <f t="shared" si="38"/>
        <v>1184</v>
      </c>
      <c r="AD1186" s="35" t="str">
        <f t="shared" si="39"/>
        <v/>
      </c>
    </row>
    <row r="1187" spans="29:30" x14ac:dyDescent="0.25">
      <c r="AC1187" s="33">
        <f t="shared" si="38"/>
        <v>1185</v>
      </c>
      <c r="AD1187" s="35" t="str">
        <f t="shared" si="39"/>
        <v/>
      </c>
    </row>
    <row r="1188" spans="29:30" x14ac:dyDescent="0.25">
      <c r="AC1188" s="33">
        <f t="shared" si="38"/>
        <v>1186</v>
      </c>
      <c r="AD1188" s="35" t="str">
        <f t="shared" si="39"/>
        <v/>
      </c>
    </row>
    <row r="1189" spans="29:30" x14ac:dyDescent="0.25">
      <c r="AC1189" s="33">
        <f t="shared" si="38"/>
        <v>1187</v>
      </c>
      <c r="AD1189" s="35" t="str">
        <f t="shared" si="39"/>
        <v/>
      </c>
    </row>
    <row r="1190" spans="29:30" x14ac:dyDescent="0.25">
      <c r="AC1190" s="33">
        <f t="shared" si="38"/>
        <v>1188</v>
      </c>
      <c r="AD1190" s="35" t="str">
        <f t="shared" si="39"/>
        <v/>
      </c>
    </row>
    <row r="1191" spans="29:30" x14ac:dyDescent="0.25">
      <c r="AC1191" s="33">
        <f t="shared" si="38"/>
        <v>1189</v>
      </c>
      <c r="AD1191" s="35" t="str">
        <f t="shared" si="39"/>
        <v/>
      </c>
    </row>
    <row r="1192" spans="29:30" x14ac:dyDescent="0.25">
      <c r="AC1192" s="33">
        <f t="shared" si="38"/>
        <v>1190</v>
      </c>
      <c r="AD1192" s="35" t="str">
        <f t="shared" si="39"/>
        <v/>
      </c>
    </row>
    <row r="1193" spans="29:30" x14ac:dyDescent="0.25">
      <c r="AC1193" s="33">
        <f t="shared" si="38"/>
        <v>1191</v>
      </c>
      <c r="AD1193" s="35" t="str">
        <f t="shared" si="39"/>
        <v/>
      </c>
    </row>
    <row r="1194" spans="29:30" x14ac:dyDescent="0.25">
      <c r="AC1194" s="33">
        <f t="shared" si="38"/>
        <v>1192</v>
      </c>
      <c r="AD1194" s="35" t="str">
        <f t="shared" si="39"/>
        <v/>
      </c>
    </row>
    <row r="1195" spans="29:30" x14ac:dyDescent="0.25">
      <c r="AC1195" s="33">
        <f t="shared" si="38"/>
        <v>1193</v>
      </c>
      <c r="AD1195" s="35" t="str">
        <f t="shared" si="39"/>
        <v/>
      </c>
    </row>
    <row r="1196" spans="29:30" x14ac:dyDescent="0.25">
      <c r="AC1196" s="33">
        <f t="shared" si="38"/>
        <v>1194</v>
      </c>
      <c r="AD1196" s="35" t="str">
        <f t="shared" si="39"/>
        <v/>
      </c>
    </row>
    <row r="1197" spans="29:30" x14ac:dyDescent="0.25">
      <c r="AC1197" s="33">
        <f t="shared" si="38"/>
        <v>1195</v>
      </c>
      <c r="AD1197" s="35" t="str">
        <f t="shared" si="39"/>
        <v/>
      </c>
    </row>
    <row r="1198" spans="29:30" x14ac:dyDescent="0.25">
      <c r="AC1198" s="33">
        <f t="shared" si="38"/>
        <v>1196</v>
      </c>
      <c r="AD1198" s="35" t="str">
        <f t="shared" si="39"/>
        <v/>
      </c>
    </row>
    <row r="1199" spans="29:30" x14ac:dyDescent="0.25">
      <c r="AC1199" s="33">
        <f t="shared" si="38"/>
        <v>1197</v>
      </c>
      <c r="AD1199" s="35" t="str">
        <f t="shared" si="39"/>
        <v/>
      </c>
    </row>
    <row r="1200" spans="29:30" x14ac:dyDescent="0.25">
      <c r="AC1200" s="33">
        <f t="shared" si="38"/>
        <v>1198</v>
      </c>
      <c r="AD1200" s="35" t="str">
        <f t="shared" si="39"/>
        <v/>
      </c>
    </row>
    <row r="1201" spans="29:30" x14ac:dyDescent="0.25">
      <c r="AC1201" s="33">
        <f t="shared" si="38"/>
        <v>1199</v>
      </c>
      <c r="AD1201" s="35" t="str">
        <f t="shared" si="39"/>
        <v/>
      </c>
    </row>
    <row r="1202" spans="29:30" x14ac:dyDescent="0.25">
      <c r="AC1202" s="33">
        <f t="shared" si="38"/>
        <v>1200</v>
      </c>
      <c r="AD1202" s="35" t="str">
        <f t="shared" si="39"/>
        <v/>
      </c>
    </row>
    <row r="1203" spans="29:30" x14ac:dyDescent="0.25">
      <c r="AC1203" s="33">
        <f t="shared" si="38"/>
        <v>1201</v>
      </c>
      <c r="AD1203" s="35" t="str">
        <f t="shared" si="39"/>
        <v/>
      </c>
    </row>
    <row r="1204" spans="29:30" x14ac:dyDescent="0.25">
      <c r="AC1204" s="33">
        <f t="shared" si="38"/>
        <v>1202</v>
      </c>
      <c r="AD1204" s="35" t="str">
        <f t="shared" si="39"/>
        <v/>
      </c>
    </row>
    <row r="1205" spans="29:30" x14ac:dyDescent="0.25">
      <c r="AC1205" s="33">
        <f t="shared" si="38"/>
        <v>1203</v>
      </c>
      <c r="AD1205" s="35" t="str">
        <f t="shared" si="39"/>
        <v/>
      </c>
    </row>
    <row r="1206" spans="29:30" x14ac:dyDescent="0.25">
      <c r="AC1206" s="33">
        <f t="shared" si="38"/>
        <v>1204</v>
      </c>
      <c r="AD1206" s="35" t="str">
        <f t="shared" si="39"/>
        <v/>
      </c>
    </row>
    <row r="1207" spans="29:30" x14ac:dyDescent="0.25">
      <c r="AC1207" s="33">
        <f t="shared" si="38"/>
        <v>1205</v>
      </c>
      <c r="AD1207" s="35" t="str">
        <f t="shared" si="39"/>
        <v/>
      </c>
    </row>
    <row r="1208" spans="29:30" x14ac:dyDescent="0.25">
      <c r="AC1208" s="33">
        <f t="shared" si="38"/>
        <v>1206</v>
      </c>
      <c r="AD1208" s="35" t="str">
        <f t="shared" si="39"/>
        <v/>
      </c>
    </row>
    <row r="1209" spans="29:30" x14ac:dyDescent="0.25">
      <c r="AC1209" s="33">
        <f t="shared" si="38"/>
        <v>1207</v>
      </c>
      <c r="AD1209" s="35" t="str">
        <f t="shared" si="39"/>
        <v/>
      </c>
    </row>
    <row r="1210" spans="29:30" x14ac:dyDescent="0.25">
      <c r="AC1210" s="33">
        <f t="shared" si="38"/>
        <v>1208</v>
      </c>
      <c r="AD1210" s="35" t="str">
        <f t="shared" si="39"/>
        <v/>
      </c>
    </row>
    <row r="1211" spans="29:30" x14ac:dyDescent="0.25">
      <c r="AC1211" s="33">
        <f t="shared" ref="AC1211:AC1274" si="40">AC1210+1</f>
        <v>1209</v>
      </c>
      <c r="AD1211" s="35" t="str">
        <f t="shared" si="39"/>
        <v/>
      </c>
    </row>
    <row r="1212" spans="29:30" x14ac:dyDescent="0.25">
      <c r="AC1212" s="33">
        <f t="shared" si="40"/>
        <v>1210</v>
      </c>
      <c r="AD1212" s="35" t="str">
        <f t="shared" si="39"/>
        <v/>
      </c>
    </row>
    <row r="1213" spans="29:30" x14ac:dyDescent="0.25">
      <c r="AC1213" s="33">
        <f t="shared" si="40"/>
        <v>1211</v>
      </c>
      <c r="AD1213" s="35" t="str">
        <f t="shared" si="39"/>
        <v/>
      </c>
    </row>
    <row r="1214" spans="29:30" x14ac:dyDescent="0.25">
      <c r="AC1214" s="33">
        <f t="shared" si="40"/>
        <v>1212</v>
      </c>
      <c r="AD1214" s="35" t="str">
        <f t="shared" si="39"/>
        <v/>
      </c>
    </row>
    <row r="1215" spans="29:30" x14ac:dyDescent="0.25">
      <c r="AC1215" s="33">
        <f t="shared" si="40"/>
        <v>1213</v>
      </c>
      <c r="AD1215" s="35" t="str">
        <f t="shared" si="39"/>
        <v/>
      </c>
    </row>
    <row r="1216" spans="29:30" x14ac:dyDescent="0.25">
      <c r="AC1216" s="33">
        <f t="shared" si="40"/>
        <v>1214</v>
      </c>
      <c r="AD1216" s="35" t="str">
        <f t="shared" si="39"/>
        <v/>
      </c>
    </row>
    <row r="1217" spans="29:30" x14ac:dyDescent="0.25">
      <c r="AC1217" s="33">
        <f t="shared" si="40"/>
        <v>1215</v>
      </c>
      <c r="AD1217" s="35" t="str">
        <f t="shared" si="39"/>
        <v/>
      </c>
    </row>
    <row r="1218" spans="29:30" x14ac:dyDescent="0.25">
      <c r="AC1218" s="33">
        <f t="shared" si="40"/>
        <v>1216</v>
      </c>
      <c r="AD1218" s="35" t="str">
        <f t="shared" si="39"/>
        <v/>
      </c>
    </row>
    <row r="1219" spans="29:30" x14ac:dyDescent="0.25">
      <c r="AC1219" s="33">
        <f t="shared" si="40"/>
        <v>1217</v>
      </c>
      <c r="AD1219" s="35" t="str">
        <f t="shared" si="39"/>
        <v/>
      </c>
    </row>
    <row r="1220" spans="29:30" x14ac:dyDescent="0.25">
      <c r="AC1220" s="33">
        <f t="shared" si="40"/>
        <v>1218</v>
      </c>
      <c r="AD1220" s="35" t="str">
        <f t="shared" si="39"/>
        <v/>
      </c>
    </row>
    <row r="1221" spans="29:30" x14ac:dyDescent="0.25">
      <c r="AC1221" s="33">
        <f t="shared" si="40"/>
        <v>1219</v>
      </c>
      <c r="AD1221" s="35" t="str">
        <f t="shared" si="39"/>
        <v/>
      </c>
    </row>
    <row r="1222" spans="29:30" x14ac:dyDescent="0.25">
      <c r="AC1222" s="33">
        <f t="shared" si="40"/>
        <v>1220</v>
      </c>
      <c r="AD1222" s="35" t="str">
        <f t="shared" si="39"/>
        <v/>
      </c>
    </row>
    <row r="1223" spans="29:30" x14ac:dyDescent="0.25">
      <c r="AC1223" s="33">
        <f t="shared" si="40"/>
        <v>1221</v>
      </c>
      <c r="AD1223" s="35" t="str">
        <f t="shared" si="39"/>
        <v/>
      </c>
    </row>
    <row r="1224" spans="29:30" x14ac:dyDescent="0.25">
      <c r="AC1224" s="33">
        <f t="shared" si="40"/>
        <v>1222</v>
      </c>
      <c r="AD1224" s="35" t="str">
        <f t="shared" ref="AD1224:AD1287" si="41">IF(AD1223&gt;AD$2,"",EOMONTH(AD1223,1))</f>
        <v/>
      </c>
    </row>
    <row r="1225" spans="29:30" x14ac:dyDescent="0.25">
      <c r="AC1225" s="33">
        <f t="shared" si="40"/>
        <v>1223</v>
      </c>
      <c r="AD1225" s="35" t="str">
        <f t="shared" si="41"/>
        <v/>
      </c>
    </row>
    <row r="1226" spans="29:30" x14ac:dyDescent="0.25">
      <c r="AC1226" s="33">
        <f t="shared" si="40"/>
        <v>1224</v>
      </c>
      <c r="AD1226" s="35" t="str">
        <f t="shared" si="41"/>
        <v/>
      </c>
    </row>
    <row r="1227" spans="29:30" x14ac:dyDescent="0.25">
      <c r="AC1227" s="33">
        <f t="shared" si="40"/>
        <v>1225</v>
      </c>
      <c r="AD1227" s="35" t="str">
        <f t="shared" si="41"/>
        <v/>
      </c>
    </row>
    <row r="1228" spans="29:30" x14ac:dyDescent="0.25">
      <c r="AC1228" s="33">
        <f t="shared" si="40"/>
        <v>1226</v>
      </c>
      <c r="AD1228" s="35" t="str">
        <f t="shared" si="41"/>
        <v/>
      </c>
    </row>
    <row r="1229" spans="29:30" x14ac:dyDescent="0.25">
      <c r="AC1229" s="33">
        <f t="shared" si="40"/>
        <v>1227</v>
      </c>
      <c r="AD1229" s="35" t="str">
        <f t="shared" si="41"/>
        <v/>
      </c>
    </row>
    <row r="1230" spans="29:30" x14ac:dyDescent="0.25">
      <c r="AC1230" s="33">
        <f t="shared" si="40"/>
        <v>1228</v>
      </c>
      <c r="AD1230" s="35" t="str">
        <f t="shared" si="41"/>
        <v/>
      </c>
    </row>
    <row r="1231" spans="29:30" x14ac:dyDescent="0.25">
      <c r="AC1231" s="33">
        <f t="shared" si="40"/>
        <v>1229</v>
      </c>
      <c r="AD1231" s="35" t="str">
        <f t="shared" si="41"/>
        <v/>
      </c>
    </row>
    <row r="1232" spans="29:30" x14ac:dyDescent="0.25">
      <c r="AC1232" s="33">
        <f t="shared" si="40"/>
        <v>1230</v>
      </c>
      <c r="AD1232" s="35" t="str">
        <f t="shared" si="41"/>
        <v/>
      </c>
    </row>
    <row r="1233" spans="29:30" x14ac:dyDescent="0.25">
      <c r="AC1233" s="33">
        <f t="shared" si="40"/>
        <v>1231</v>
      </c>
      <c r="AD1233" s="35" t="str">
        <f t="shared" si="41"/>
        <v/>
      </c>
    </row>
    <row r="1234" spans="29:30" x14ac:dyDescent="0.25">
      <c r="AC1234" s="33">
        <f t="shared" si="40"/>
        <v>1232</v>
      </c>
      <c r="AD1234" s="35" t="str">
        <f t="shared" si="41"/>
        <v/>
      </c>
    </row>
    <row r="1235" spans="29:30" x14ac:dyDescent="0.25">
      <c r="AC1235" s="33">
        <f t="shared" si="40"/>
        <v>1233</v>
      </c>
      <c r="AD1235" s="35" t="str">
        <f t="shared" si="41"/>
        <v/>
      </c>
    </row>
    <row r="1236" spans="29:30" x14ac:dyDescent="0.25">
      <c r="AC1236" s="33">
        <f t="shared" si="40"/>
        <v>1234</v>
      </c>
      <c r="AD1236" s="35" t="str">
        <f t="shared" si="41"/>
        <v/>
      </c>
    </row>
    <row r="1237" spans="29:30" x14ac:dyDescent="0.25">
      <c r="AC1237" s="33">
        <f t="shared" si="40"/>
        <v>1235</v>
      </c>
      <c r="AD1237" s="35" t="str">
        <f t="shared" si="41"/>
        <v/>
      </c>
    </row>
    <row r="1238" spans="29:30" x14ac:dyDescent="0.25">
      <c r="AC1238" s="33">
        <f t="shared" si="40"/>
        <v>1236</v>
      </c>
      <c r="AD1238" s="35" t="str">
        <f t="shared" si="41"/>
        <v/>
      </c>
    </row>
    <row r="1239" spans="29:30" x14ac:dyDescent="0.25">
      <c r="AC1239" s="33">
        <f t="shared" si="40"/>
        <v>1237</v>
      </c>
      <c r="AD1239" s="35" t="str">
        <f t="shared" si="41"/>
        <v/>
      </c>
    </row>
    <row r="1240" spans="29:30" x14ac:dyDescent="0.25">
      <c r="AC1240" s="33">
        <f t="shared" si="40"/>
        <v>1238</v>
      </c>
      <c r="AD1240" s="35" t="str">
        <f t="shared" si="41"/>
        <v/>
      </c>
    </row>
    <row r="1241" spans="29:30" x14ac:dyDescent="0.25">
      <c r="AC1241" s="33">
        <f t="shared" si="40"/>
        <v>1239</v>
      </c>
      <c r="AD1241" s="35" t="str">
        <f t="shared" si="41"/>
        <v/>
      </c>
    </row>
    <row r="1242" spans="29:30" x14ac:dyDescent="0.25">
      <c r="AC1242" s="33">
        <f t="shared" si="40"/>
        <v>1240</v>
      </c>
      <c r="AD1242" s="35" t="str">
        <f t="shared" si="41"/>
        <v/>
      </c>
    </row>
    <row r="1243" spans="29:30" x14ac:dyDescent="0.25">
      <c r="AC1243" s="33">
        <f t="shared" si="40"/>
        <v>1241</v>
      </c>
      <c r="AD1243" s="35" t="str">
        <f t="shared" si="41"/>
        <v/>
      </c>
    </row>
    <row r="1244" spans="29:30" x14ac:dyDescent="0.25">
      <c r="AC1244" s="33">
        <f t="shared" si="40"/>
        <v>1242</v>
      </c>
      <c r="AD1244" s="35" t="str">
        <f t="shared" si="41"/>
        <v/>
      </c>
    </row>
    <row r="1245" spans="29:30" x14ac:dyDescent="0.25">
      <c r="AC1245" s="33">
        <f t="shared" si="40"/>
        <v>1243</v>
      </c>
      <c r="AD1245" s="35" t="str">
        <f t="shared" si="41"/>
        <v/>
      </c>
    </row>
    <row r="1246" spans="29:30" x14ac:dyDescent="0.25">
      <c r="AC1246" s="33">
        <f t="shared" si="40"/>
        <v>1244</v>
      </c>
      <c r="AD1246" s="35" t="str">
        <f t="shared" si="41"/>
        <v/>
      </c>
    </row>
    <row r="1247" spans="29:30" x14ac:dyDescent="0.25">
      <c r="AC1247" s="33">
        <f t="shared" si="40"/>
        <v>1245</v>
      </c>
      <c r="AD1247" s="35" t="str">
        <f t="shared" si="41"/>
        <v/>
      </c>
    </row>
    <row r="1248" spans="29:30" x14ac:dyDescent="0.25">
      <c r="AC1248" s="33">
        <f t="shared" si="40"/>
        <v>1246</v>
      </c>
      <c r="AD1248" s="35" t="str">
        <f t="shared" si="41"/>
        <v/>
      </c>
    </row>
    <row r="1249" spans="29:30" x14ac:dyDescent="0.25">
      <c r="AC1249" s="33">
        <f t="shared" si="40"/>
        <v>1247</v>
      </c>
      <c r="AD1249" s="35" t="str">
        <f t="shared" si="41"/>
        <v/>
      </c>
    </row>
    <row r="1250" spans="29:30" x14ac:dyDescent="0.25">
      <c r="AC1250" s="33">
        <f t="shared" si="40"/>
        <v>1248</v>
      </c>
      <c r="AD1250" s="35" t="str">
        <f t="shared" si="41"/>
        <v/>
      </c>
    </row>
    <row r="1251" spans="29:30" x14ac:dyDescent="0.25">
      <c r="AC1251" s="33">
        <f t="shared" si="40"/>
        <v>1249</v>
      </c>
      <c r="AD1251" s="35" t="str">
        <f t="shared" si="41"/>
        <v/>
      </c>
    </row>
    <row r="1252" spans="29:30" x14ac:dyDescent="0.25">
      <c r="AC1252" s="33">
        <f t="shared" si="40"/>
        <v>1250</v>
      </c>
      <c r="AD1252" s="35" t="str">
        <f t="shared" si="41"/>
        <v/>
      </c>
    </row>
    <row r="1253" spans="29:30" x14ac:dyDescent="0.25">
      <c r="AC1253" s="33">
        <f t="shared" si="40"/>
        <v>1251</v>
      </c>
      <c r="AD1253" s="35" t="str">
        <f t="shared" si="41"/>
        <v/>
      </c>
    </row>
    <row r="1254" spans="29:30" x14ac:dyDescent="0.25">
      <c r="AC1254" s="33">
        <f t="shared" si="40"/>
        <v>1252</v>
      </c>
      <c r="AD1254" s="35" t="str">
        <f t="shared" si="41"/>
        <v/>
      </c>
    </row>
    <row r="1255" spans="29:30" x14ac:dyDescent="0.25">
      <c r="AC1255" s="33">
        <f t="shared" si="40"/>
        <v>1253</v>
      </c>
      <c r="AD1255" s="35" t="str">
        <f t="shared" si="41"/>
        <v/>
      </c>
    </row>
    <row r="1256" spans="29:30" x14ac:dyDescent="0.25">
      <c r="AC1256" s="33">
        <f t="shared" si="40"/>
        <v>1254</v>
      </c>
      <c r="AD1256" s="35" t="str">
        <f t="shared" si="41"/>
        <v/>
      </c>
    </row>
    <row r="1257" spans="29:30" x14ac:dyDescent="0.25">
      <c r="AC1257" s="33">
        <f t="shared" si="40"/>
        <v>1255</v>
      </c>
      <c r="AD1257" s="35" t="str">
        <f t="shared" si="41"/>
        <v/>
      </c>
    </row>
    <row r="1258" spans="29:30" x14ac:dyDescent="0.25">
      <c r="AC1258" s="33">
        <f t="shared" si="40"/>
        <v>1256</v>
      </c>
      <c r="AD1258" s="35" t="str">
        <f t="shared" si="41"/>
        <v/>
      </c>
    </row>
    <row r="1259" spans="29:30" x14ac:dyDescent="0.25">
      <c r="AC1259" s="33">
        <f t="shared" si="40"/>
        <v>1257</v>
      </c>
      <c r="AD1259" s="35" t="str">
        <f t="shared" si="41"/>
        <v/>
      </c>
    </row>
    <row r="1260" spans="29:30" x14ac:dyDescent="0.25">
      <c r="AC1260" s="33">
        <f t="shared" si="40"/>
        <v>1258</v>
      </c>
      <c r="AD1260" s="35" t="str">
        <f t="shared" si="41"/>
        <v/>
      </c>
    </row>
    <row r="1261" spans="29:30" x14ac:dyDescent="0.25">
      <c r="AC1261" s="33">
        <f t="shared" si="40"/>
        <v>1259</v>
      </c>
      <c r="AD1261" s="35" t="str">
        <f t="shared" si="41"/>
        <v/>
      </c>
    </row>
    <row r="1262" spans="29:30" x14ac:dyDescent="0.25">
      <c r="AC1262" s="33">
        <f t="shared" si="40"/>
        <v>1260</v>
      </c>
      <c r="AD1262" s="35" t="str">
        <f t="shared" si="41"/>
        <v/>
      </c>
    </row>
    <row r="1263" spans="29:30" x14ac:dyDescent="0.25">
      <c r="AC1263" s="33">
        <f t="shared" si="40"/>
        <v>1261</v>
      </c>
      <c r="AD1263" s="35" t="str">
        <f t="shared" si="41"/>
        <v/>
      </c>
    </row>
    <row r="1264" spans="29:30" x14ac:dyDescent="0.25">
      <c r="AC1264" s="33">
        <f t="shared" si="40"/>
        <v>1262</v>
      </c>
      <c r="AD1264" s="35" t="str">
        <f t="shared" si="41"/>
        <v/>
      </c>
    </row>
    <row r="1265" spans="29:30" x14ac:dyDescent="0.25">
      <c r="AC1265" s="33">
        <f t="shared" si="40"/>
        <v>1263</v>
      </c>
      <c r="AD1265" s="35" t="str">
        <f t="shared" si="41"/>
        <v/>
      </c>
    </row>
    <row r="1266" spans="29:30" x14ac:dyDescent="0.25">
      <c r="AC1266" s="33">
        <f t="shared" si="40"/>
        <v>1264</v>
      </c>
      <c r="AD1266" s="35" t="str">
        <f t="shared" si="41"/>
        <v/>
      </c>
    </row>
    <row r="1267" spans="29:30" x14ac:dyDescent="0.25">
      <c r="AC1267" s="33">
        <f t="shared" si="40"/>
        <v>1265</v>
      </c>
      <c r="AD1267" s="35" t="str">
        <f t="shared" si="41"/>
        <v/>
      </c>
    </row>
    <row r="1268" spans="29:30" x14ac:dyDescent="0.25">
      <c r="AC1268" s="33">
        <f t="shared" si="40"/>
        <v>1266</v>
      </c>
      <c r="AD1268" s="35" t="str">
        <f t="shared" si="41"/>
        <v/>
      </c>
    </row>
    <row r="1269" spans="29:30" x14ac:dyDescent="0.25">
      <c r="AC1269" s="33">
        <f t="shared" si="40"/>
        <v>1267</v>
      </c>
      <c r="AD1269" s="35" t="str">
        <f t="shared" si="41"/>
        <v/>
      </c>
    </row>
    <row r="1270" spans="29:30" x14ac:dyDescent="0.25">
      <c r="AC1270" s="33">
        <f t="shared" si="40"/>
        <v>1268</v>
      </c>
      <c r="AD1270" s="35" t="str">
        <f t="shared" si="41"/>
        <v/>
      </c>
    </row>
    <row r="1271" spans="29:30" x14ac:dyDescent="0.25">
      <c r="AC1271" s="33">
        <f t="shared" si="40"/>
        <v>1269</v>
      </c>
      <c r="AD1271" s="35" t="str">
        <f t="shared" si="41"/>
        <v/>
      </c>
    </row>
    <row r="1272" spans="29:30" x14ac:dyDescent="0.25">
      <c r="AC1272" s="33">
        <f t="shared" si="40"/>
        <v>1270</v>
      </c>
      <c r="AD1272" s="35" t="str">
        <f t="shared" si="41"/>
        <v/>
      </c>
    </row>
    <row r="1273" spans="29:30" x14ac:dyDescent="0.25">
      <c r="AC1273" s="33">
        <f t="shared" si="40"/>
        <v>1271</v>
      </c>
      <c r="AD1273" s="35" t="str">
        <f t="shared" si="41"/>
        <v/>
      </c>
    </row>
    <row r="1274" spans="29:30" x14ac:dyDescent="0.25">
      <c r="AC1274" s="33">
        <f t="shared" si="40"/>
        <v>1272</v>
      </c>
      <c r="AD1274" s="35" t="str">
        <f t="shared" si="41"/>
        <v/>
      </c>
    </row>
    <row r="1275" spans="29:30" x14ac:dyDescent="0.25">
      <c r="AC1275" s="33">
        <f t="shared" ref="AC1275:AC1338" si="42">AC1274+1</f>
        <v>1273</v>
      </c>
      <c r="AD1275" s="35" t="str">
        <f t="shared" si="41"/>
        <v/>
      </c>
    </row>
    <row r="1276" spans="29:30" x14ac:dyDescent="0.25">
      <c r="AC1276" s="33">
        <f t="shared" si="42"/>
        <v>1274</v>
      </c>
      <c r="AD1276" s="35" t="str">
        <f t="shared" si="41"/>
        <v/>
      </c>
    </row>
    <row r="1277" spans="29:30" x14ac:dyDescent="0.25">
      <c r="AC1277" s="33">
        <f t="shared" si="42"/>
        <v>1275</v>
      </c>
      <c r="AD1277" s="35" t="str">
        <f t="shared" si="41"/>
        <v/>
      </c>
    </row>
    <row r="1278" spans="29:30" x14ac:dyDescent="0.25">
      <c r="AC1278" s="33">
        <f t="shared" si="42"/>
        <v>1276</v>
      </c>
      <c r="AD1278" s="35" t="str">
        <f t="shared" si="41"/>
        <v/>
      </c>
    </row>
    <row r="1279" spans="29:30" x14ac:dyDescent="0.25">
      <c r="AC1279" s="33">
        <f t="shared" si="42"/>
        <v>1277</v>
      </c>
      <c r="AD1279" s="35" t="str">
        <f t="shared" si="41"/>
        <v/>
      </c>
    </row>
    <row r="1280" spans="29:30" x14ac:dyDescent="0.25">
      <c r="AC1280" s="33">
        <f t="shared" si="42"/>
        <v>1278</v>
      </c>
      <c r="AD1280" s="35" t="str">
        <f t="shared" si="41"/>
        <v/>
      </c>
    </row>
    <row r="1281" spans="29:30" x14ac:dyDescent="0.25">
      <c r="AC1281" s="33">
        <f t="shared" si="42"/>
        <v>1279</v>
      </c>
      <c r="AD1281" s="35" t="str">
        <f t="shared" si="41"/>
        <v/>
      </c>
    </row>
    <row r="1282" spans="29:30" x14ac:dyDescent="0.25">
      <c r="AC1282" s="33">
        <f t="shared" si="42"/>
        <v>1280</v>
      </c>
      <c r="AD1282" s="35" t="str">
        <f t="shared" si="41"/>
        <v/>
      </c>
    </row>
    <row r="1283" spans="29:30" x14ac:dyDescent="0.25">
      <c r="AC1283" s="33">
        <f t="shared" si="42"/>
        <v>1281</v>
      </c>
      <c r="AD1283" s="35" t="str">
        <f t="shared" si="41"/>
        <v/>
      </c>
    </row>
    <row r="1284" spans="29:30" x14ac:dyDescent="0.25">
      <c r="AC1284" s="33">
        <f t="shared" si="42"/>
        <v>1282</v>
      </c>
      <c r="AD1284" s="35" t="str">
        <f t="shared" si="41"/>
        <v/>
      </c>
    </row>
    <row r="1285" spans="29:30" x14ac:dyDescent="0.25">
      <c r="AC1285" s="33">
        <f t="shared" si="42"/>
        <v>1283</v>
      </c>
      <c r="AD1285" s="35" t="str">
        <f t="shared" si="41"/>
        <v/>
      </c>
    </row>
    <row r="1286" spans="29:30" x14ac:dyDescent="0.25">
      <c r="AC1286" s="33">
        <f t="shared" si="42"/>
        <v>1284</v>
      </c>
      <c r="AD1286" s="35" t="str">
        <f t="shared" si="41"/>
        <v/>
      </c>
    </row>
    <row r="1287" spans="29:30" x14ac:dyDescent="0.25">
      <c r="AC1287" s="33">
        <f t="shared" si="42"/>
        <v>1285</v>
      </c>
      <c r="AD1287" s="35" t="str">
        <f t="shared" si="41"/>
        <v/>
      </c>
    </row>
    <row r="1288" spans="29:30" x14ac:dyDescent="0.25">
      <c r="AC1288" s="33">
        <f t="shared" si="42"/>
        <v>1286</v>
      </c>
      <c r="AD1288" s="35" t="str">
        <f t="shared" ref="AD1288:AD1351" si="43">IF(AD1287&gt;AD$2,"",EOMONTH(AD1287,1))</f>
        <v/>
      </c>
    </row>
    <row r="1289" spans="29:30" x14ac:dyDescent="0.25">
      <c r="AC1289" s="33">
        <f t="shared" si="42"/>
        <v>1287</v>
      </c>
      <c r="AD1289" s="35" t="str">
        <f t="shared" si="43"/>
        <v/>
      </c>
    </row>
    <row r="1290" spans="29:30" x14ac:dyDescent="0.25">
      <c r="AC1290" s="33">
        <f t="shared" si="42"/>
        <v>1288</v>
      </c>
      <c r="AD1290" s="35" t="str">
        <f t="shared" si="43"/>
        <v/>
      </c>
    </row>
    <row r="1291" spans="29:30" x14ac:dyDescent="0.25">
      <c r="AC1291" s="33">
        <f t="shared" si="42"/>
        <v>1289</v>
      </c>
      <c r="AD1291" s="35" t="str">
        <f t="shared" si="43"/>
        <v/>
      </c>
    </row>
    <row r="1292" spans="29:30" x14ac:dyDescent="0.25">
      <c r="AC1292" s="33">
        <f t="shared" si="42"/>
        <v>1290</v>
      </c>
      <c r="AD1292" s="35" t="str">
        <f t="shared" si="43"/>
        <v/>
      </c>
    </row>
    <row r="1293" spans="29:30" x14ac:dyDescent="0.25">
      <c r="AC1293" s="33">
        <f t="shared" si="42"/>
        <v>1291</v>
      </c>
      <c r="AD1293" s="35" t="str">
        <f t="shared" si="43"/>
        <v/>
      </c>
    </row>
    <row r="1294" spans="29:30" x14ac:dyDescent="0.25">
      <c r="AC1294" s="33">
        <f t="shared" si="42"/>
        <v>1292</v>
      </c>
      <c r="AD1294" s="35" t="str">
        <f t="shared" si="43"/>
        <v/>
      </c>
    </row>
    <row r="1295" spans="29:30" x14ac:dyDescent="0.25">
      <c r="AC1295" s="33">
        <f t="shared" si="42"/>
        <v>1293</v>
      </c>
      <c r="AD1295" s="35" t="str">
        <f t="shared" si="43"/>
        <v/>
      </c>
    </row>
    <row r="1296" spans="29:30" x14ac:dyDescent="0.25">
      <c r="AC1296" s="33">
        <f t="shared" si="42"/>
        <v>1294</v>
      </c>
      <c r="AD1296" s="35" t="str">
        <f t="shared" si="43"/>
        <v/>
      </c>
    </row>
    <row r="1297" spans="29:30" x14ac:dyDescent="0.25">
      <c r="AC1297" s="33">
        <f t="shared" si="42"/>
        <v>1295</v>
      </c>
      <c r="AD1297" s="35" t="str">
        <f t="shared" si="43"/>
        <v/>
      </c>
    </row>
    <row r="1298" spans="29:30" x14ac:dyDescent="0.25">
      <c r="AC1298" s="33">
        <f t="shared" si="42"/>
        <v>1296</v>
      </c>
      <c r="AD1298" s="35" t="str">
        <f t="shared" si="43"/>
        <v/>
      </c>
    </row>
    <row r="1299" spans="29:30" x14ac:dyDescent="0.25">
      <c r="AC1299" s="33">
        <f t="shared" si="42"/>
        <v>1297</v>
      </c>
      <c r="AD1299" s="35" t="str">
        <f t="shared" si="43"/>
        <v/>
      </c>
    </row>
    <row r="1300" spans="29:30" x14ac:dyDescent="0.25">
      <c r="AC1300" s="33">
        <f t="shared" si="42"/>
        <v>1298</v>
      </c>
      <c r="AD1300" s="35" t="str">
        <f t="shared" si="43"/>
        <v/>
      </c>
    </row>
    <row r="1301" spans="29:30" x14ac:dyDescent="0.25">
      <c r="AC1301" s="33">
        <f t="shared" si="42"/>
        <v>1299</v>
      </c>
      <c r="AD1301" s="35" t="str">
        <f t="shared" si="43"/>
        <v/>
      </c>
    </row>
    <row r="1302" spans="29:30" x14ac:dyDescent="0.25">
      <c r="AC1302" s="33">
        <f t="shared" si="42"/>
        <v>1300</v>
      </c>
      <c r="AD1302" s="35" t="str">
        <f t="shared" si="43"/>
        <v/>
      </c>
    </row>
    <row r="1303" spans="29:30" x14ac:dyDescent="0.25">
      <c r="AC1303" s="33">
        <f t="shared" si="42"/>
        <v>1301</v>
      </c>
      <c r="AD1303" s="35" t="str">
        <f t="shared" si="43"/>
        <v/>
      </c>
    </row>
    <row r="1304" spans="29:30" x14ac:dyDescent="0.25">
      <c r="AC1304" s="33">
        <f t="shared" si="42"/>
        <v>1302</v>
      </c>
      <c r="AD1304" s="35" t="str">
        <f t="shared" si="43"/>
        <v/>
      </c>
    </row>
    <row r="1305" spans="29:30" x14ac:dyDescent="0.25">
      <c r="AC1305" s="33">
        <f t="shared" si="42"/>
        <v>1303</v>
      </c>
      <c r="AD1305" s="35" t="str">
        <f t="shared" si="43"/>
        <v/>
      </c>
    </row>
    <row r="1306" spans="29:30" x14ac:dyDescent="0.25">
      <c r="AC1306" s="33">
        <f t="shared" si="42"/>
        <v>1304</v>
      </c>
      <c r="AD1306" s="35" t="str">
        <f t="shared" si="43"/>
        <v/>
      </c>
    </row>
    <row r="1307" spans="29:30" x14ac:dyDescent="0.25">
      <c r="AC1307" s="33">
        <f t="shared" si="42"/>
        <v>1305</v>
      </c>
      <c r="AD1307" s="35" t="str">
        <f t="shared" si="43"/>
        <v/>
      </c>
    </row>
    <row r="1308" spans="29:30" x14ac:dyDescent="0.25">
      <c r="AC1308" s="33">
        <f t="shared" si="42"/>
        <v>1306</v>
      </c>
      <c r="AD1308" s="35" t="str">
        <f t="shared" si="43"/>
        <v/>
      </c>
    </row>
    <row r="1309" spans="29:30" x14ac:dyDescent="0.25">
      <c r="AC1309" s="33">
        <f t="shared" si="42"/>
        <v>1307</v>
      </c>
      <c r="AD1309" s="35" t="str">
        <f t="shared" si="43"/>
        <v/>
      </c>
    </row>
    <row r="1310" spans="29:30" x14ac:dyDescent="0.25">
      <c r="AC1310" s="33">
        <f t="shared" si="42"/>
        <v>1308</v>
      </c>
      <c r="AD1310" s="35" t="str">
        <f t="shared" si="43"/>
        <v/>
      </c>
    </row>
    <row r="1311" spans="29:30" x14ac:dyDescent="0.25">
      <c r="AC1311" s="33">
        <f t="shared" si="42"/>
        <v>1309</v>
      </c>
      <c r="AD1311" s="35" t="str">
        <f t="shared" si="43"/>
        <v/>
      </c>
    </row>
    <row r="1312" spans="29:30" x14ac:dyDescent="0.25">
      <c r="AC1312" s="33">
        <f t="shared" si="42"/>
        <v>1310</v>
      </c>
      <c r="AD1312" s="35" t="str">
        <f t="shared" si="43"/>
        <v/>
      </c>
    </row>
    <row r="1313" spans="29:30" x14ac:dyDescent="0.25">
      <c r="AC1313" s="33">
        <f t="shared" si="42"/>
        <v>1311</v>
      </c>
      <c r="AD1313" s="35" t="str">
        <f t="shared" si="43"/>
        <v/>
      </c>
    </row>
    <row r="1314" spans="29:30" x14ac:dyDescent="0.25">
      <c r="AC1314" s="33">
        <f t="shared" si="42"/>
        <v>1312</v>
      </c>
      <c r="AD1314" s="35" t="str">
        <f t="shared" si="43"/>
        <v/>
      </c>
    </row>
    <row r="1315" spans="29:30" x14ac:dyDescent="0.25">
      <c r="AC1315" s="33">
        <f t="shared" si="42"/>
        <v>1313</v>
      </c>
      <c r="AD1315" s="35" t="str">
        <f t="shared" si="43"/>
        <v/>
      </c>
    </row>
    <row r="1316" spans="29:30" x14ac:dyDescent="0.25">
      <c r="AC1316" s="33">
        <f t="shared" si="42"/>
        <v>1314</v>
      </c>
      <c r="AD1316" s="35" t="str">
        <f t="shared" si="43"/>
        <v/>
      </c>
    </row>
    <row r="1317" spans="29:30" x14ac:dyDescent="0.25">
      <c r="AC1317" s="33">
        <f t="shared" si="42"/>
        <v>1315</v>
      </c>
      <c r="AD1317" s="35" t="str">
        <f t="shared" si="43"/>
        <v/>
      </c>
    </row>
    <row r="1318" spans="29:30" x14ac:dyDescent="0.25">
      <c r="AC1318" s="33">
        <f t="shared" si="42"/>
        <v>1316</v>
      </c>
      <c r="AD1318" s="35" t="str">
        <f t="shared" si="43"/>
        <v/>
      </c>
    </row>
    <row r="1319" spans="29:30" x14ac:dyDescent="0.25">
      <c r="AC1319" s="33">
        <f t="shared" si="42"/>
        <v>1317</v>
      </c>
      <c r="AD1319" s="35" t="str">
        <f t="shared" si="43"/>
        <v/>
      </c>
    </row>
    <row r="1320" spans="29:30" x14ac:dyDescent="0.25">
      <c r="AC1320" s="33">
        <f t="shared" si="42"/>
        <v>1318</v>
      </c>
      <c r="AD1320" s="35" t="str">
        <f t="shared" si="43"/>
        <v/>
      </c>
    </row>
    <row r="1321" spans="29:30" x14ac:dyDescent="0.25">
      <c r="AC1321" s="33">
        <f t="shared" si="42"/>
        <v>1319</v>
      </c>
      <c r="AD1321" s="35" t="str">
        <f t="shared" si="43"/>
        <v/>
      </c>
    </row>
    <row r="1322" spans="29:30" x14ac:dyDescent="0.25">
      <c r="AC1322" s="33">
        <f t="shared" si="42"/>
        <v>1320</v>
      </c>
      <c r="AD1322" s="35" t="str">
        <f t="shared" si="43"/>
        <v/>
      </c>
    </row>
    <row r="1323" spans="29:30" x14ac:dyDescent="0.25">
      <c r="AC1323" s="33">
        <f t="shared" si="42"/>
        <v>1321</v>
      </c>
      <c r="AD1323" s="35" t="str">
        <f t="shared" si="43"/>
        <v/>
      </c>
    </row>
    <row r="1324" spans="29:30" x14ac:dyDescent="0.25">
      <c r="AC1324" s="33">
        <f t="shared" si="42"/>
        <v>1322</v>
      </c>
      <c r="AD1324" s="35" t="str">
        <f t="shared" si="43"/>
        <v/>
      </c>
    </row>
    <row r="1325" spans="29:30" x14ac:dyDescent="0.25">
      <c r="AC1325" s="33">
        <f t="shared" si="42"/>
        <v>1323</v>
      </c>
      <c r="AD1325" s="35" t="str">
        <f t="shared" si="43"/>
        <v/>
      </c>
    </row>
    <row r="1326" spans="29:30" x14ac:dyDescent="0.25">
      <c r="AC1326" s="33">
        <f t="shared" si="42"/>
        <v>1324</v>
      </c>
      <c r="AD1326" s="35" t="str">
        <f t="shared" si="43"/>
        <v/>
      </c>
    </row>
    <row r="1327" spans="29:30" x14ac:dyDescent="0.25">
      <c r="AC1327" s="33">
        <f t="shared" si="42"/>
        <v>1325</v>
      </c>
      <c r="AD1327" s="35" t="str">
        <f t="shared" si="43"/>
        <v/>
      </c>
    </row>
    <row r="1328" spans="29:30" x14ac:dyDescent="0.25">
      <c r="AC1328" s="33">
        <f t="shared" si="42"/>
        <v>1326</v>
      </c>
      <c r="AD1328" s="35" t="str">
        <f t="shared" si="43"/>
        <v/>
      </c>
    </row>
    <row r="1329" spans="29:30" x14ac:dyDescent="0.25">
      <c r="AC1329" s="33">
        <f t="shared" si="42"/>
        <v>1327</v>
      </c>
      <c r="AD1329" s="35" t="str">
        <f t="shared" si="43"/>
        <v/>
      </c>
    </row>
    <row r="1330" spans="29:30" x14ac:dyDescent="0.25">
      <c r="AC1330" s="33">
        <f t="shared" si="42"/>
        <v>1328</v>
      </c>
      <c r="AD1330" s="35" t="str">
        <f t="shared" si="43"/>
        <v/>
      </c>
    </row>
    <row r="1331" spans="29:30" x14ac:dyDescent="0.25">
      <c r="AC1331" s="33">
        <f t="shared" si="42"/>
        <v>1329</v>
      </c>
      <c r="AD1331" s="35" t="str">
        <f t="shared" si="43"/>
        <v/>
      </c>
    </row>
    <row r="1332" spans="29:30" x14ac:dyDescent="0.25">
      <c r="AC1332" s="33">
        <f t="shared" si="42"/>
        <v>1330</v>
      </c>
      <c r="AD1332" s="35" t="str">
        <f t="shared" si="43"/>
        <v/>
      </c>
    </row>
    <row r="1333" spans="29:30" x14ac:dyDescent="0.25">
      <c r="AC1333" s="33">
        <f t="shared" si="42"/>
        <v>1331</v>
      </c>
      <c r="AD1333" s="35" t="str">
        <f t="shared" si="43"/>
        <v/>
      </c>
    </row>
    <row r="1334" spans="29:30" x14ac:dyDescent="0.25">
      <c r="AC1334" s="33">
        <f t="shared" si="42"/>
        <v>1332</v>
      </c>
      <c r="AD1334" s="35" t="str">
        <f t="shared" si="43"/>
        <v/>
      </c>
    </row>
    <row r="1335" spans="29:30" x14ac:dyDescent="0.25">
      <c r="AC1335" s="33">
        <f t="shared" si="42"/>
        <v>1333</v>
      </c>
      <c r="AD1335" s="35" t="str">
        <f t="shared" si="43"/>
        <v/>
      </c>
    </row>
    <row r="1336" spans="29:30" x14ac:dyDescent="0.25">
      <c r="AC1336" s="33">
        <f t="shared" si="42"/>
        <v>1334</v>
      </c>
      <c r="AD1336" s="35" t="str">
        <f t="shared" si="43"/>
        <v/>
      </c>
    </row>
    <row r="1337" spans="29:30" x14ac:dyDescent="0.25">
      <c r="AC1337" s="33">
        <f t="shared" si="42"/>
        <v>1335</v>
      </c>
      <c r="AD1337" s="35" t="str">
        <f t="shared" si="43"/>
        <v/>
      </c>
    </row>
    <row r="1338" spans="29:30" x14ac:dyDescent="0.25">
      <c r="AC1338" s="33">
        <f t="shared" si="42"/>
        <v>1336</v>
      </c>
      <c r="AD1338" s="35" t="str">
        <f t="shared" si="43"/>
        <v/>
      </c>
    </row>
    <row r="1339" spans="29:30" x14ac:dyDescent="0.25">
      <c r="AC1339" s="33">
        <f t="shared" ref="AC1339:AC1402" si="44">AC1338+1</f>
        <v>1337</v>
      </c>
      <c r="AD1339" s="35" t="str">
        <f t="shared" si="43"/>
        <v/>
      </c>
    </row>
    <row r="1340" spans="29:30" x14ac:dyDescent="0.25">
      <c r="AC1340" s="33">
        <f t="shared" si="44"/>
        <v>1338</v>
      </c>
      <c r="AD1340" s="35" t="str">
        <f t="shared" si="43"/>
        <v/>
      </c>
    </row>
    <row r="1341" spans="29:30" x14ac:dyDescent="0.25">
      <c r="AC1341" s="33">
        <f t="shared" si="44"/>
        <v>1339</v>
      </c>
      <c r="AD1341" s="35" t="str">
        <f t="shared" si="43"/>
        <v/>
      </c>
    </row>
    <row r="1342" spans="29:30" x14ac:dyDescent="0.25">
      <c r="AC1342" s="33">
        <f t="shared" si="44"/>
        <v>1340</v>
      </c>
      <c r="AD1342" s="35" t="str">
        <f t="shared" si="43"/>
        <v/>
      </c>
    </row>
    <row r="1343" spans="29:30" x14ac:dyDescent="0.25">
      <c r="AC1343" s="33">
        <f t="shared" si="44"/>
        <v>1341</v>
      </c>
      <c r="AD1343" s="35" t="str">
        <f t="shared" si="43"/>
        <v/>
      </c>
    </row>
    <row r="1344" spans="29:30" x14ac:dyDescent="0.25">
      <c r="AC1344" s="33">
        <f t="shared" si="44"/>
        <v>1342</v>
      </c>
      <c r="AD1344" s="35" t="str">
        <f t="shared" si="43"/>
        <v/>
      </c>
    </row>
    <row r="1345" spans="29:30" x14ac:dyDescent="0.25">
      <c r="AC1345" s="33">
        <f t="shared" si="44"/>
        <v>1343</v>
      </c>
      <c r="AD1345" s="35" t="str">
        <f t="shared" si="43"/>
        <v/>
      </c>
    </row>
    <row r="1346" spans="29:30" x14ac:dyDescent="0.25">
      <c r="AC1346" s="33">
        <f t="shared" si="44"/>
        <v>1344</v>
      </c>
      <c r="AD1346" s="35" t="str">
        <f t="shared" si="43"/>
        <v/>
      </c>
    </row>
    <row r="1347" spans="29:30" x14ac:dyDescent="0.25">
      <c r="AC1347" s="33">
        <f t="shared" si="44"/>
        <v>1345</v>
      </c>
      <c r="AD1347" s="35" t="str">
        <f t="shared" si="43"/>
        <v/>
      </c>
    </row>
    <row r="1348" spans="29:30" x14ac:dyDescent="0.25">
      <c r="AC1348" s="33">
        <f t="shared" si="44"/>
        <v>1346</v>
      </c>
      <c r="AD1348" s="35" t="str">
        <f t="shared" si="43"/>
        <v/>
      </c>
    </row>
    <row r="1349" spans="29:30" x14ac:dyDescent="0.25">
      <c r="AC1349" s="33">
        <f t="shared" si="44"/>
        <v>1347</v>
      </c>
      <c r="AD1349" s="35" t="str">
        <f t="shared" si="43"/>
        <v/>
      </c>
    </row>
    <row r="1350" spans="29:30" x14ac:dyDescent="0.25">
      <c r="AC1350" s="33">
        <f t="shared" si="44"/>
        <v>1348</v>
      </c>
      <c r="AD1350" s="35" t="str">
        <f t="shared" si="43"/>
        <v/>
      </c>
    </row>
    <row r="1351" spans="29:30" x14ac:dyDescent="0.25">
      <c r="AC1351" s="33">
        <f t="shared" si="44"/>
        <v>1349</v>
      </c>
      <c r="AD1351" s="35" t="str">
        <f t="shared" si="43"/>
        <v/>
      </c>
    </row>
    <row r="1352" spans="29:30" x14ac:dyDescent="0.25">
      <c r="AC1352" s="33">
        <f t="shared" si="44"/>
        <v>1350</v>
      </c>
      <c r="AD1352" s="35" t="str">
        <f t="shared" ref="AD1352:AD1415" si="45">IF(AD1351&gt;AD$2,"",EOMONTH(AD1351,1))</f>
        <v/>
      </c>
    </row>
    <row r="1353" spans="29:30" x14ac:dyDescent="0.25">
      <c r="AC1353" s="33">
        <f t="shared" si="44"/>
        <v>1351</v>
      </c>
      <c r="AD1353" s="35" t="str">
        <f t="shared" si="45"/>
        <v/>
      </c>
    </row>
    <row r="1354" spans="29:30" x14ac:dyDescent="0.25">
      <c r="AC1354" s="33">
        <f t="shared" si="44"/>
        <v>1352</v>
      </c>
      <c r="AD1354" s="35" t="str">
        <f t="shared" si="45"/>
        <v/>
      </c>
    </row>
    <row r="1355" spans="29:30" x14ac:dyDescent="0.25">
      <c r="AC1355" s="33">
        <f t="shared" si="44"/>
        <v>1353</v>
      </c>
      <c r="AD1355" s="35" t="str">
        <f t="shared" si="45"/>
        <v/>
      </c>
    </row>
    <row r="1356" spans="29:30" x14ac:dyDescent="0.25">
      <c r="AC1356" s="33">
        <f t="shared" si="44"/>
        <v>1354</v>
      </c>
      <c r="AD1356" s="35" t="str">
        <f t="shared" si="45"/>
        <v/>
      </c>
    </row>
    <row r="1357" spans="29:30" x14ac:dyDescent="0.25">
      <c r="AC1357" s="33">
        <f t="shared" si="44"/>
        <v>1355</v>
      </c>
      <c r="AD1357" s="35" t="str">
        <f t="shared" si="45"/>
        <v/>
      </c>
    </row>
    <row r="1358" spans="29:30" x14ac:dyDescent="0.25">
      <c r="AC1358" s="33">
        <f t="shared" si="44"/>
        <v>1356</v>
      </c>
      <c r="AD1358" s="35" t="str">
        <f t="shared" si="45"/>
        <v/>
      </c>
    </row>
    <row r="1359" spans="29:30" x14ac:dyDescent="0.25">
      <c r="AC1359" s="33">
        <f t="shared" si="44"/>
        <v>1357</v>
      </c>
      <c r="AD1359" s="35" t="str">
        <f t="shared" si="45"/>
        <v/>
      </c>
    </row>
    <row r="1360" spans="29:30" x14ac:dyDescent="0.25">
      <c r="AC1360" s="33">
        <f t="shared" si="44"/>
        <v>1358</v>
      </c>
      <c r="AD1360" s="35" t="str">
        <f t="shared" si="45"/>
        <v/>
      </c>
    </row>
    <row r="1361" spans="29:30" x14ac:dyDescent="0.25">
      <c r="AC1361" s="33">
        <f t="shared" si="44"/>
        <v>1359</v>
      </c>
      <c r="AD1361" s="35" t="str">
        <f t="shared" si="45"/>
        <v/>
      </c>
    </row>
    <row r="1362" spans="29:30" x14ac:dyDescent="0.25">
      <c r="AC1362" s="33">
        <f t="shared" si="44"/>
        <v>1360</v>
      </c>
      <c r="AD1362" s="35" t="str">
        <f t="shared" si="45"/>
        <v/>
      </c>
    </row>
    <row r="1363" spans="29:30" x14ac:dyDescent="0.25">
      <c r="AC1363" s="33">
        <f t="shared" si="44"/>
        <v>1361</v>
      </c>
      <c r="AD1363" s="35" t="str">
        <f t="shared" si="45"/>
        <v/>
      </c>
    </row>
    <row r="1364" spans="29:30" x14ac:dyDescent="0.25">
      <c r="AC1364" s="33">
        <f t="shared" si="44"/>
        <v>1362</v>
      </c>
      <c r="AD1364" s="35" t="str">
        <f t="shared" si="45"/>
        <v/>
      </c>
    </row>
    <row r="1365" spans="29:30" x14ac:dyDescent="0.25">
      <c r="AC1365" s="33">
        <f t="shared" si="44"/>
        <v>1363</v>
      </c>
      <c r="AD1365" s="35" t="str">
        <f t="shared" si="45"/>
        <v/>
      </c>
    </row>
    <row r="1366" spans="29:30" x14ac:dyDescent="0.25">
      <c r="AC1366" s="33">
        <f t="shared" si="44"/>
        <v>1364</v>
      </c>
      <c r="AD1366" s="35" t="str">
        <f t="shared" si="45"/>
        <v/>
      </c>
    </row>
    <row r="1367" spans="29:30" x14ac:dyDescent="0.25">
      <c r="AC1367" s="33">
        <f t="shared" si="44"/>
        <v>1365</v>
      </c>
      <c r="AD1367" s="35" t="str">
        <f t="shared" si="45"/>
        <v/>
      </c>
    </row>
    <row r="1368" spans="29:30" x14ac:dyDescent="0.25">
      <c r="AC1368" s="33">
        <f t="shared" si="44"/>
        <v>1366</v>
      </c>
      <c r="AD1368" s="35" t="str">
        <f t="shared" si="45"/>
        <v/>
      </c>
    </row>
    <row r="1369" spans="29:30" x14ac:dyDescent="0.25">
      <c r="AC1369" s="33">
        <f t="shared" si="44"/>
        <v>1367</v>
      </c>
      <c r="AD1369" s="35" t="str">
        <f t="shared" si="45"/>
        <v/>
      </c>
    </row>
    <row r="1370" spans="29:30" x14ac:dyDescent="0.25">
      <c r="AC1370" s="33">
        <f t="shared" si="44"/>
        <v>1368</v>
      </c>
      <c r="AD1370" s="35" t="str">
        <f t="shared" si="45"/>
        <v/>
      </c>
    </row>
    <row r="1371" spans="29:30" x14ac:dyDescent="0.25">
      <c r="AC1371" s="33">
        <f t="shared" si="44"/>
        <v>1369</v>
      </c>
      <c r="AD1371" s="35" t="str">
        <f t="shared" si="45"/>
        <v/>
      </c>
    </row>
    <row r="1372" spans="29:30" x14ac:dyDescent="0.25">
      <c r="AC1372" s="33">
        <f t="shared" si="44"/>
        <v>1370</v>
      </c>
      <c r="AD1372" s="35" t="str">
        <f t="shared" si="45"/>
        <v/>
      </c>
    </row>
    <row r="1373" spans="29:30" x14ac:dyDescent="0.25">
      <c r="AC1373" s="33">
        <f t="shared" si="44"/>
        <v>1371</v>
      </c>
      <c r="AD1373" s="35" t="str">
        <f t="shared" si="45"/>
        <v/>
      </c>
    </row>
    <row r="1374" spans="29:30" x14ac:dyDescent="0.25">
      <c r="AC1374" s="33">
        <f t="shared" si="44"/>
        <v>1372</v>
      </c>
      <c r="AD1374" s="35" t="str">
        <f t="shared" si="45"/>
        <v/>
      </c>
    </row>
    <row r="1375" spans="29:30" x14ac:dyDescent="0.25">
      <c r="AC1375" s="33">
        <f t="shared" si="44"/>
        <v>1373</v>
      </c>
      <c r="AD1375" s="35" t="str">
        <f t="shared" si="45"/>
        <v/>
      </c>
    </row>
    <row r="1376" spans="29:30" x14ac:dyDescent="0.25">
      <c r="AC1376" s="33">
        <f t="shared" si="44"/>
        <v>1374</v>
      </c>
      <c r="AD1376" s="35" t="str">
        <f t="shared" si="45"/>
        <v/>
      </c>
    </row>
    <row r="1377" spans="29:30" x14ac:dyDescent="0.25">
      <c r="AC1377" s="33">
        <f t="shared" si="44"/>
        <v>1375</v>
      </c>
      <c r="AD1377" s="35" t="str">
        <f t="shared" si="45"/>
        <v/>
      </c>
    </row>
    <row r="1378" spans="29:30" x14ac:dyDescent="0.25">
      <c r="AC1378" s="33">
        <f t="shared" si="44"/>
        <v>1376</v>
      </c>
      <c r="AD1378" s="35" t="str">
        <f t="shared" si="45"/>
        <v/>
      </c>
    </row>
    <row r="1379" spans="29:30" x14ac:dyDescent="0.25">
      <c r="AC1379" s="33">
        <f t="shared" si="44"/>
        <v>1377</v>
      </c>
      <c r="AD1379" s="35" t="str">
        <f t="shared" si="45"/>
        <v/>
      </c>
    </row>
    <row r="1380" spans="29:30" x14ac:dyDescent="0.25">
      <c r="AC1380" s="33">
        <f t="shared" si="44"/>
        <v>1378</v>
      </c>
      <c r="AD1380" s="35" t="str">
        <f t="shared" si="45"/>
        <v/>
      </c>
    </row>
    <row r="1381" spans="29:30" x14ac:dyDescent="0.25">
      <c r="AC1381" s="33">
        <f t="shared" si="44"/>
        <v>1379</v>
      </c>
      <c r="AD1381" s="35" t="str">
        <f t="shared" si="45"/>
        <v/>
      </c>
    </row>
    <row r="1382" spans="29:30" x14ac:dyDescent="0.25">
      <c r="AC1382" s="33">
        <f t="shared" si="44"/>
        <v>1380</v>
      </c>
      <c r="AD1382" s="35" t="str">
        <f t="shared" si="45"/>
        <v/>
      </c>
    </row>
    <row r="1383" spans="29:30" x14ac:dyDescent="0.25">
      <c r="AC1383" s="33">
        <f t="shared" si="44"/>
        <v>1381</v>
      </c>
      <c r="AD1383" s="35" t="str">
        <f t="shared" si="45"/>
        <v/>
      </c>
    </row>
    <row r="1384" spans="29:30" x14ac:dyDescent="0.25">
      <c r="AC1384" s="33">
        <f t="shared" si="44"/>
        <v>1382</v>
      </c>
      <c r="AD1384" s="35" t="str">
        <f t="shared" si="45"/>
        <v/>
      </c>
    </row>
    <row r="1385" spans="29:30" x14ac:dyDescent="0.25">
      <c r="AC1385" s="33">
        <f t="shared" si="44"/>
        <v>1383</v>
      </c>
      <c r="AD1385" s="35" t="str">
        <f t="shared" si="45"/>
        <v/>
      </c>
    </row>
    <row r="1386" spans="29:30" x14ac:dyDescent="0.25">
      <c r="AC1386" s="33">
        <f t="shared" si="44"/>
        <v>1384</v>
      </c>
      <c r="AD1386" s="35" t="str">
        <f t="shared" si="45"/>
        <v/>
      </c>
    </row>
    <row r="1387" spans="29:30" x14ac:dyDescent="0.25">
      <c r="AC1387" s="33">
        <f t="shared" si="44"/>
        <v>1385</v>
      </c>
      <c r="AD1387" s="35" t="str">
        <f t="shared" si="45"/>
        <v/>
      </c>
    </row>
    <row r="1388" spans="29:30" x14ac:dyDescent="0.25">
      <c r="AC1388" s="33">
        <f t="shared" si="44"/>
        <v>1386</v>
      </c>
      <c r="AD1388" s="35" t="str">
        <f t="shared" si="45"/>
        <v/>
      </c>
    </row>
    <row r="1389" spans="29:30" x14ac:dyDescent="0.25">
      <c r="AC1389" s="33">
        <f t="shared" si="44"/>
        <v>1387</v>
      </c>
      <c r="AD1389" s="35" t="str">
        <f t="shared" si="45"/>
        <v/>
      </c>
    </row>
    <row r="1390" spans="29:30" x14ac:dyDescent="0.25">
      <c r="AC1390" s="33">
        <f t="shared" si="44"/>
        <v>1388</v>
      </c>
      <c r="AD1390" s="35" t="str">
        <f t="shared" si="45"/>
        <v/>
      </c>
    </row>
    <row r="1391" spans="29:30" x14ac:dyDescent="0.25">
      <c r="AC1391" s="33">
        <f t="shared" si="44"/>
        <v>1389</v>
      </c>
      <c r="AD1391" s="35" t="str">
        <f t="shared" si="45"/>
        <v/>
      </c>
    </row>
    <row r="1392" spans="29:30" x14ac:dyDescent="0.25">
      <c r="AC1392" s="33">
        <f t="shared" si="44"/>
        <v>1390</v>
      </c>
      <c r="AD1392" s="35" t="str">
        <f t="shared" si="45"/>
        <v/>
      </c>
    </row>
    <row r="1393" spans="29:30" x14ac:dyDescent="0.25">
      <c r="AC1393" s="33">
        <f t="shared" si="44"/>
        <v>1391</v>
      </c>
      <c r="AD1393" s="35" t="str">
        <f t="shared" si="45"/>
        <v/>
      </c>
    </row>
    <row r="1394" spans="29:30" x14ac:dyDescent="0.25">
      <c r="AC1394" s="33">
        <f t="shared" si="44"/>
        <v>1392</v>
      </c>
      <c r="AD1394" s="35" t="str">
        <f t="shared" si="45"/>
        <v/>
      </c>
    </row>
    <row r="1395" spans="29:30" x14ac:dyDescent="0.25">
      <c r="AC1395" s="33">
        <f t="shared" si="44"/>
        <v>1393</v>
      </c>
      <c r="AD1395" s="35" t="str">
        <f t="shared" si="45"/>
        <v/>
      </c>
    </row>
    <row r="1396" spans="29:30" x14ac:dyDescent="0.25">
      <c r="AC1396" s="33">
        <f t="shared" si="44"/>
        <v>1394</v>
      </c>
      <c r="AD1396" s="35" t="str">
        <f t="shared" si="45"/>
        <v/>
      </c>
    </row>
    <row r="1397" spans="29:30" x14ac:dyDescent="0.25">
      <c r="AC1397" s="33">
        <f t="shared" si="44"/>
        <v>1395</v>
      </c>
      <c r="AD1397" s="35" t="str">
        <f t="shared" si="45"/>
        <v/>
      </c>
    </row>
    <row r="1398" spans="29:30" x14ac:dyDescent="0.25">
      <c r="AC1398" s="33">
        <f t="shared" si="44"/>
        <v>1396</v>
      </c>
      <c r="AD1398" s="35" t="str">
        <f t="shared" si="45"/>
        <v/>
      </c>
    </row>
    <row r="1399" spans="29:30" x14ac:dyDescent="0.25">
      <c r="AC1399" s="33">
        <f t="shared" si="44"/>
        <v>1397</v>
      </c>
      <c r="AD1399" s="35" t="str">
        <f t="shared" si="45"/>
        <v/>
      </c>
    </row>
    <row r="1400" spans="29:30" x14ac:dyDescent="0.25">
      <c r="AC1400" s="33">
        <f t="shared" si="44"/>
        <v>1398</v>
      </c>
      <c r="AD1400" s="35" t="str">
        <f t="shared" si="45"/>
        <v/>
      </c>
    </row>
    <row r="1401" spans="29:30" x14ac:dyDescent="0.25">
      <c r="AC1401" s="33">
        <f t="shared" si="44"/>
        <v>1399</v>
      </c>
      <c r="AD1401" s="35" t="str">
        <f t="shared" si="45"/>
        <v/>
      </c>
    </row>
    <row r="1402" spans="29:30" x14ac:dyDescent="0.25">
      <c r="AC1402" s="33">
        <f t="shared" si="44"/>
        <v>1400</v>
      </c>
      <c r="AD1402" s="35" t="str">
        <f t="shared" si="45"/>
        <v/>
      </c>
    </row>
    <row r="1403" spans="29:30" x14ac:dyDescent="0.25">
      <c r="AC1403" s="33">
        <f t="shared" ref="AC1403:AC1466" si="46">AC1402+1</f>
        <v>1401</v>
      </c>
      <c r="AD1403" s="35" t="str">
        <f t="shared" si="45"/>
        <v/>
      </c>
    </row>
    <row r="1404" spans="29:30" x14ac:dyDescent="0.25">
      <c r="AC1404" s="33">
        <f t="shared" si="46"/>
        <v>1402</v>
      </c>
      <c r="AD1404" s="35" t="str">
        <f t="shared" si="45"/>
        <v/>
      </c>
    </row>
    <row r="1405" spans="29:30" x14ac:dyDescent="0.25">
      <c r="AC1405" s="33">
        <f t="shared" si="46"/>
        <v>1403</v>
      </c>
      <c r="AD1405" s="35" t="str">
        <f t="shared" si="45"/>
        <v/>
      </c>
    </row>
    <row r="1406" spans="29:30" x14ac:dyDescent="0.25">
      <c r="AC1406" s="33">
        <f t="shared" si="46"/>
        <v>1404</v>
      </c>
      <c r="AD1406" s="35" t="str">
        <f t="shared" si="45"/>
        <v/>
      </c>
    </row>
    <row r="1407" spans="29:30" x14ac:dyDescent="0.25">
      <c r="AC1407" s="33">
        <f t="shared" si="46"/>
        <v>1405</v>
      </c>
      <c r="AD1407" s="35" t="str">
        <f t="shared" si="45"/>
        <v/>
      </c>
    </row>
    <row r="1408" spans="29:30" x14ac:dyDescent="0.25">
      <c r="AC1408" s="33">
        <f t="shared" si="46"/>
        <v>1406</v>
      </c>
      <c r="AD1408" s="35" t="str">
        <f t="shared" si="45"/>
        <v/>
      </c>
    </row>
    <row r="1409" spans="29:30" x14ac:dyDescent="0.25">
      <c r="AC1409" s="33">
        <f t="shared" si="46"/>
        <v>1407</v>
      </c>
      <c r="AD1409" s="35" t="str">
        <f t="shared" si="45"/>
        <v/>
      </c>
    </row>
    <row r="1410" spans="29:30" x14ac:dyDescent="0.25">
      <c r="AC1410" s="33">
        <f t="shared" si="46"/>
        <v>1408</v>
      </c>
      <c r="AD1410" s="35" t="str">
        <f t="shared" si="45"/>
        <v/>
      </c>
    </row>
    <row r="1411" spans="29:30" x14ac:dyDescent="0.25">
      <c r="AC1411" s="33">
        <f t="shared" si="46"/>
        <v>1409</v>
      </c>
      <c r="AD1411" s="35" t="str">
        <f t="shared" si="45"/>
        <v/>
      </c>
    </row>
    <row r="1412" spans="29:30" x14ac:dyDescent="0.25">
      <c r="AC1412" s="33">
        <f t="shared" si="46"/>
        <v>1410</v>
      </c>
      <c r="AD1412" s="35" t="str">
        <f t="shared" si="45"/>
        <v/>
      </c>
    </row>
    <row r="1413" spans="29:30" x14ac:dyDescent="0.25">
      <c r="AC1413" s="33">
        <f t="shared" si="46"/>
        <v>1411</v>
      </c>
      <c r="AD1413" s="35" t="str">
        <f t="shared" si="45"/>
        <v/>
      </c>
    </row>
    <row r="1414" spans="29:30" x14ac:dyDescent="0.25">
      <c r="AC1414" s="33">
        <f t="shared" si="46"/>
        <v>1412</v>
      </c>
      <c r="AD1414" s="35" t="str">
        <f t="shared" si="45"/>
        <v/>
      </c>
    </row>
    <row r="1415" spans="29:30" x14ac:dyDescent="0.25">
      <c r="AC1415" s="33">
        <f t="shared" si="46"/>
        <v>1413</v>
      </c>
      <c r="AD1415" s="35" t="str">
        <f t="shared" si="45"/>
        <v/>
      </c>
    </row>
    <row r="1416" spans="29:30" x14ac:dyDescent="0.25">
      <c r="AC1416" s="33">
        <f t="shared" si="46"/>
        <v>1414</v>
      </c>
      <c r="AD1416" s="35" t="str">
        <f t="shared" ref="AD1416:AD1479" si="47">IF(AD1415&gt;AD$2,"",EOMONTH(AD1415,1))</f>
        <v/>
      </c>
    </row>
    <row r="1417" spans="29:30" x14ac:dyDescent="0.25">
      <c r="AC1417" s="33">
        <f t="shared" si="46"/>
        <v>1415</v>
      </c>
      <c r="AD1417" s="35" t="str">
        <f t="shared" si="47"/>
        <v/>
      </c>
    </row>
    <row r="1418" spans="29:30" x14ac:dyDescent="0.25">
      <c r="AC1418" s="33">
        <f t="shared" si="46"/>
        <v>1416</v>
      </c>
      <c r="AD1418" s="35" t="str">
        <f t="shared" si="47"/>
        <v/>
      </c>
    </row>
    <row r="1419" spans="29:30" x14ac:dyDescent="0.25">
      <c r="AC1419" s="33">
        <f t="shared" si="46"/>
        <v>1417</v>
      </c>
      <c r="AD1419" s="35" t="str">
        <f t="shared" si="47"/>
        <v/>
      </c>
    </row>
    <row r="1420" spans="29:30" x14ac:dyDescent="0.25">
      <c r="AC1420" s="33">
        <f t="shared" si="46"/>
        <v>1418</v>
      </c>
      <c r="AD1420" s="35" t="str">
        <f t="shared" si="47"/>
        <v/>
      </c>
    </row>
    <row r="1421" spans="29:30" x14ac:dyDescent="0.25">
      <c r="AC1421" s="33">
        <f t="shared" si="46"/>
        <v>1419</v>
      </c>
      <c r="AD1421" s="35" t="str">
        <f t="shared" si="47"/>
        <v/>
      </c>
    </row>
    <row r="1422" spans="29:30" x14ac:dyDescent="0.25">
      <c r="AC1422" s="33">
        <f t="shared" si="46"/>
        <v>1420</v>
      </c>
      <c r="AD1422" s="35" t="str">
        <f t="shared" si="47"/>
        <v/>
      </c>
    </row>
    <row r="1423" spans="29:30" x14ac:dyDescent="0.25">
      <c r="AC1423" s="33">
        <f t="shared" si="46"/>
        <v>1421</v>
      </c>
      <c r="AD1423" s="35" t="str">
        <f t="shared" si="47"/>
        <v/>
      </c>
    </row>
    <row r="1424" spans="29:30" x14ac:dyDescent="0.25">
      <c r="AC1424" s="33">
        <f t="shared" si="46"/>
        <v>1422</v>
      </c>
      <c r="AD1424" s="35" t="str">
        <f t="shared" si="47"/>
        <v/>
      </c>
    </row>
    <row r="1425" spans="29:30" x14ac:dyDescent="0.25">
      <c r="AC1425" s="33">
        <f t="shared" si="46"/>
        <v>1423</v>
      </c>
      <c r="AD1425" s="35" t="str">
        <f t="shared" si="47"/>
        <v/>
      </c>
    </row>
    <row r="1426" spans="29:30" x14ac:dyDescent="0.25">
      <c r="AC1426" s="33">
        <f t="shared" si="46"/>
        <v>1424</v>
      </c>
      <c r="AD1426" s="35" t="str">
        <f t="shared" si="47"/>
        <v/>
      </c>
    </row>
    <row r="1427" spans="29:30" x14ac:dyDescent="0.25">
      <c r="AC1427" s="33">
        <f t="shared" si="46"/>
        <v>1425</v>
      </c>
      <c r="AD1427" s="35" t="str">
        <f t="shared" si="47"/>
        <v/>
      </c>
    </row>
    <row r="1428" spans="29:30" x14ac:dyDescent="0.25">
      <c r="AC1428" s="33">
        <f t="shared" si="46"/>
        <v>1426</v>
      </c>
      <c r="AD1428" s="35" t="str">
        <f t="shared" si="47"/>
        <v/>
      </c>
    </row>
    <row r="1429" spans="29:30" x14ac:dyDescent="0.25">
      <c r="AC1429" s="33">
        <f t="shared" si="46"/>
        <v>1427</v>
      </c>
      <c r="AD1429" s="35" t="str">
        <f t="shared" si="47"/>
        <v/>
      </c>
    </row>
    <row r="1430" spans="29:30" x14ac:dyDescent="0.25">
      <c r="AC1430" s="33">
        <f t="shared" si="46"/>
        <v>1428</v>
      </c>
      <c r="AD1430" s="35" t="str">
        <f t="shared" si="47"/>
        <v/>
      </c>
    </row>
    <row r="1431" spans="29:30" x14ac:dyDescent="0.25">
      <c r="AC1431" s="33">
        <f t="shared" si="46"/>
        <v>1429</v>
      </c>
      <c r="AD1431" s="35" t="str">
        <f t="shared" si="47"/>
        <v/>
      </c>
    </row>
    <row r="1432" spans="29:30" x14ac:dyDescent="0.25">
      <c r="AC1432" s="33">
        <f t="shared" si="46"/>
        <v>1430</v>
      </c>
      <c r="AD1432" s="35" t="str">
        <f t="shared" si="47"/>
        <v/>
      </c>
    </row>
    <row r="1433" spans="29:30" x14ac:dyDescent="0.25">
      <c r="AC1433" s="33">
        <f t="shared" si="46"/>
        <v>1431</v>
      </c>
      <c r="AD1433" s="35" t="str">
        <f t="shared" si="47"/>
        <v/>
      </c>
    </row>
    <row r="1434" spans="29:30" x14ac:dyDescent="0.25">
      <c r="AC1434" s="33">
        <f t="shared" si="46"/>
        <v>1432</v>
      </c>
      <c r="AD1434" s="35" t="str">
        <f t="shared" si="47"/>
        <v/>
      </c>
    </row>
    <row r="1435" spans="29:30" x14ac:dyDescent="0.25">
      <c r="AC1435" s="33">
        <f t="shared" si="46"/>
        <v>1433</v>
      </c>
      <c r="AD1435" s="35" t="str">
        <f t="shared" si="47"/>
        <v/>
      </c>
    </row>
    <row r="1436" spans="29:30" x14ac:dyDescent="0.25">
      <c r="AC1436" s="33">
        <f t="shared" si="46"/>
        <v>1434</v>
      </c>
      <c r="AD1436" s="35" t="str">
        <f t="shared" si="47"/>
        <v/>
      </c>
    </row>
    <row r="1437" spans="29:30" x14ac:dyDescent="0.25">
      <c r="AC1437" s="33">
        <f t="shared" si="46"/>
        <v>1435</v>
      </c>
      <c r="AD1437" s="35" t="str">
        <f t="shared" si="47"/>
        <v/>
      </c>
    </row>
    <row r="1438" spans="29:30" x14ac:dyDescent="0.25">
      <c r="AC1438" s="33">
        <f t="shared" si="46"/>
        <v>1436</v>
      </c>
      <c r="AD1438" s="35" t="str">
        <f t="shared" si="47"/>
        <v/>
      </c>
    </row>
    <row r="1439" spans="29:30" x14ac:dyDescent="0.25">
      <c r="AC1439" s="33">
        <f t="shared" si="46"/>
        <v>1437</v>
      </c>
      <c r="AD1439" s="35" t="str">
        <f t="shared" si="47"/>
        <v/>
      </c>
    </row>
    <row r="1440" spans="29:30" x14ac:dyDescent="0.25">
      <c r="AC1440" s="33">
        <f t="shared" si="46"/>
        <v>1438</v>
      </c>
      <c r="AD1440" s="35" t="str">
        <f t="shared" si="47"/>
        <v/>
      </c>
    </row>
    <row r="1441" spans="29:30" x14ac:dyDescent="0.25">
      <c r="AC1441" s="33">
        <f t="shared" si="46"/>
        <v>1439</v>
      </c>
      <c r="AD1441" s="35" t="str">
        <f t="shared" si="47"/>
        <v/>
      </c>
    </row>
    <row r="1442" spans="29:30" x14ac:dyDescent="0.25">
      <c r="AC1442" s="33">
        <f t="shared" si="46"/>
        <v>1440</v>
      </c>
      <c r="AD1442" s="35" t="str">
        <f t="shared" si="47"/>
        <v/>
      </c>
    </row>
    <row r="1443" spans="29:30" x14ac:dyDescent="0.25">
      <c r="AC1443" s="33">
        <f t="shared" si="46"/>
        <v>1441</v>
      </c>
      <c r="AD1443" s="35" t="str">
        <f t="shared" si="47"/>
        <v/>
      </c>
    </row>
    <row r="1444" spans="29:30" x14ac:dyDescent="0.25">
      <c r="AC1444" s="33">
        <f t="shared" si="46"/>
        <v>1442</v>
      </c>
      <c r="AD1444" s="35" t="str">
        <f t="shared" si="47"/>
        <v/>
      </c>
    </row>
    <row r="1445" spans="29:30" x14ac:dyDescent="0.25">
      <c r="AC1445" s="33">
        <f t="shared" si="46"/>
        <v>1443</v>
      </c>
      <c r="AD1445" s="35" t="str">
        <f t="shared" si="47"/>
        <v/>
      </c>
    </row>
    <row r="1446" spans="29:30" x14ac:dyDescent="0.25">
      <c r="AC1446" s="33">
        <f t="shared" si="46"/>
        <v>1444</v>
      </c>
      <c r="AD1446" s="35" t="str">
        <f t="shared" si="47"/>
        <v/>
      </c>
    </row>
    <row r="1447" spans="29:30" x14ac:dyDescent="0.25">
      <c r="AC1447" s="33">
        <f t="shared" si="46"/>
        <v>1445</v>
      </c>
      <c r="AD1447" s="35" t="str">
        <f t="shared" si="47"/>
        <v/>
      </c>
    </row>
    <row r="1448" spans="29:30" x14ac:dyDescent="0.25">
      <c r="AC1448" s="33">
        <f t="shared" si="46"/>
        <v>1446</v>
      </c>
      <c r="AD1448" s="35" t="str">
        <f t="shared" si="47"/>
        <v/>
      </c>
    </row>
    <row r="1449" spans="29:30" x14ac:dyDescent="0.25">
      <c r="AC1449" s="33">
        <f t="shared" si="46"/>
        <v>1447</v>
      </c>
      <c r="AD1449" s="35" t="str">
        <f t="shared" si="47"/>
        <v/>
      </c>
    </row>
    <row r="1450" spans="29:30" x14ac:dyDescent="0.25">
      <c r="AC1450" s="33">
        <f t="shared" si="46"/>
        <v>1448</v>
      </c>
      <c r="AD1450" s="35" t="str">
        <f t="shared" si="47"/>
        <v/>
      </c>
    </row>
    <row r="1451" spans="29:30" x14ac:dyDescent="0.25">
      <c r="AC1451" s="33">
        <f t="shared" si="46"/>
        <v>1449</v>
      </c>
      <c r="AD1451" s="35" t="str">
        <f t="shared" si="47"/>
        <v/>
      </c>
    </row>
    <row r="1452" spans="29:30" x14ac:dyDescent="0.25">
      <c r="AC1452" s="33">
        <f t="shared" si="46"/>
        <v>1450</v>
      </c>
      <c r="AD1452" s="35" t="str">
        <f t="shared" si="47"/>
        <v/>
      </c>
    </row>
    <row r="1453" spans="29:30" x14ac:dyDescent="0.25">
      <c r="AC1453" s="33">
        <f t="shared" si="46"/>
        <v>1451</v>
      </c>
      <c r="AD1453" s="35" t="str">
        <f t="shared" si="47"/>
        <v/>
      </c>
    </row>
    <row r="1454" spans="29:30" x14ac:dyDescent="0.25">
      <c r="AC1454" s="33">
        <f t="shared" si="46"/>
        <v>1452</v>
      </c>
      <c r="AD1454" s="35" t="str">
        <f t="shared" si="47"/>
        <v/>
      </c>
    </row>
    <row r="1455" spans="29:30" x14ac:dyDescent="0.25">
      <c r="AC1455" s="33">
        <f t="shared" si="46"/>
        <v>1453</v>
      </c>
      <c r="AD1455" s="35" t="str">
        <f t="shared" si="47"/>
        <v/>
      </c>
    </row>
    <row r="1456" spans="29:30" x14ac:dyDescent="0.25">
      <c r="AC1456" s="33">
        <f t="shared" si="46"/>
        <v>1454</v>
      </c>
      <c r="AD1456" s="35" t="str">
        <f t="shared" si="47"/>
        <v/>
      </c>
    </row>
    <row r="1457" spans="29:30" x14ac:dyDescent="0.25">
      <c r="AC1457" s="33">
        <f t="shared" si="46"/>
        <v>1455</v>
      </c>
      <c r="AD1457" s="35" t="str">
        <f t="shared" si="47"/>
        <v/>
      </c>
    </row>
    <row r="1458" spans="29:30" x14ac:dyDescent="0.25">
      <c r="AC1458" s="33">
        <f t="shared" si="46"/>
        <v>1456</v>
      </c>
      <c r="AD1458" s="35" t="str">
        <f t="shared" si="47"/>
        <v/>
      </c>
    </row>
    <row r="1459" spans="29:30" x14ac:dyDescent="0.25">
      <c r="AC1459" s="33">
        <f t="shared" si="46"/>
        <v>1457</v>
      </c>
      <c r="AD1459" s="35" t="str">
        <f t="shared" si="47"/>
        <v/>
      </c>
    </row>
    <row r="1460" spans="29:30" x14ac:dyDescent="0.25">
      <c r="AC1460" s="33">
        <f t="shared" si="46"/>
        <v>1458</v>
      </c>
      <c r="AD1460" s="35" t="str">
        <f t="shared" si="47"/>
        <v/>
      </c>
    </row>
    <row r="1461" spans="29:30" x14ac:dyDescent="0.25">
      <c r="AC1461" s="33">
        <f t="shared" si="46"/>
        <v>1459</v>
      </c>
      <c r="AD1461" s="35" t="str">
        <f t="shared" si="47"/>
        <v/>
      </c>
    </row>
    <row r="1462" spans="29:30" x14ac:dyDescent="0.25">
      <c r="AC1462" s="33">
        <f t="shared" si="46"/>
        <v>1460</v>
      </c>
      <c r="AD1462" s="35" t="str">
        <f t="shared" si="47"/>
        <v/>
      </c>
    </row>
    <row r="1463" spans="29:30" x14ac:dyDescent="0.25">
      <c r="AC1463" s="33">
        <f t="shared" si="46"/>
        <v>1461</v>
      </c>
      <c r="AD1463" s="35" t="str">
        <f t="shared" si="47"/>
        <v/>
      </c>
    </row>
    <row r="1464" spans="29:30" x14ac:dyDescent="0.25">
      <c r="AC1464" s="33">
        <f t="shared" si="46"/>
        <v>1462</v>
      </c>
      <c r="AD1464" s="35" t="str">
        <f t="shared" si="47"/>
        <v/>
      </c>
    </row>
    <row r="1465" spans="29:30" x14ac:dyDescent="0.25">
      <c r="AC1465" s="33">
        <f t="shared" si="46"/>
        <v>1463</v>
      </c>
      <c r="AD1465" s="35" t="str">
        <f t="shared" si="47"/>
        <v/>
      </c>
    </row>
    <row r="1466" spans="29:30" x14ac:dyDescent="0.25">
      <c r="AC1466" s="33">
        <f t="shared" si="46"/>
        <v>1464</v>
      </c>
      <c r="AD1466" s="35" t="str">
        <f t="shared" si="47"/>
        <v/>
      </c>
    </row>
    <row r="1467" spans="29:30" x14ac:dyDescent="0.25">
      <c r="AC1467" s="33">
        <f t="shared" ref="AC1467:AC1530" si="48">AC1466+1</f>
        <v>1465</v>
      </c>
      <c r="AD1467" s="35" t="str">
        <f t="shared" si="47"/>
        <v/>
      </c>
    </row>
    <row r="1468" spans="29:30" x14ac:dyDescent="0.25">
      <c r="AC1468" s="33">
        <f t="shared" si="48"/>
        <v>1466</v>
      </c>
      <c r="AD1468" s="35" t="str">
        <f t="shared" si="47"/>
        <v/>
      </c>
    </row>
    <row r="1469" spans="29:30" x14ac:dyDescent="0.25">
      <c r="AC1469" s="33">
        <f t="shared" si="48"/>
        <v>1467</v>
      </c>
      <c r="AD1469" s="35" t="str">
        <f t="shared" si="47"/>
        <v/>
      </c>
    </row>
    <row r="1470" spans="29:30" x14ac:dyDescent="0.25">
      <c r="AC1470" s="33">
        <f t="shared" si="48"/>
        <v>1468</v>
      </c>
      <c r="AD1470" s="35" t="str">
        <f t="shared" si="47"/>
        <v/>
      </c>
    </row>
    <row r="1471" spans="29:30" x14ac:dyDescent="0.25">
      <c r="AC1471" s="33">
        <f t="shared" si="48"/>
        <v>1469</v>
      </c>
      <c r="AD1471" s="35" t="str">
        <f t="shared" si="47"/>
        <v/>
      </c>
    </row>
    <row r="1472" spans="29:30" x14ac:dyDescent="0.25">
      <c r="AC1472" s="33">
        <f t="shared" si="48"/>
        <v>1470</v>
      </c>
      <c r="AD1472" s="35" t="str">
        <f t="shared" si="47"/>
        <v/>
      </c>
    </row>
    <row r="1473" spans="29:30" x14ac:dyDescent="0.25">
      <c r="AC1473" s="33">
        <f t="shared" si="48"/>
        <v>1471</v>
      </c>
      <c r="AD1473" s="35" t="str">
        <f t="shared" si="47"/>
        <v/>
      </c>
    </row>
    <row r="1474" spans="29:30" x14ac:dyDescent="0.25">
      <c r="AC1474" s="33">
        <f t="shared" si="48"/>
        <v>1472</v>
      </c>
      <c r="AD1474" s="35" t="str">
        <f t="shared" si="47"/>
        <v/>
      </c>
    </row>
    <row r="1475" spans="29:30" x14ac:dyDescent="0.25">
      <c r="AC1475" s="33">
        <f t="shared" si="48"/>
        <v>1473</v>
      </c>
      <c r="AD1475" s="35" t="str">
        <f t="shared" si="47"/>
        <v/>
      </c>
    </row>
    <row r="1476" spans="29:30" x14ac:dyDescent="0.25">
      <c r="AC1476" s="33">
        <f t="shared" si="48"/>
        <v>1474</v>
      </c>
      <c r="AD1476" s="35" t="str">
        <f t="shared" si="47"/>
        <v/>
      </c>
    </row>
    <row r="1477" spans="29:30" x14ac:dyDescent="0.25">
      <c r="AC1477" s="33">
        <f t="shared" si="48"/>
        <v>1475</v>
      </c>
      <c r="AD1477" s="35" t="str">
        <f t="shared" si="47"/>
        <v/>
      </c>
    </row>
    <row r="1478" spans="29:30" x14ac:dyDescent="0.25">
      <c r="AC1478" s="33">
        <f t="shared" si="48"/>
        <v>1476</v>
      </c>
      <c r="AD1478" s="35" t="str">
        <f t="shared" si="47"/>
        <v/>
      </c>
    </row>
    <row r="1479" spans="29:30" x14ac:dyDescent="0.25">
      <c r="AC1479" s="33">
        <f t="shared" si="48"/>
        <v>1477</v>
      </c>
      <c r="AD1479" s="35" t="str">
        <f t="shared" si="47"/>
        <v/>
      </c>
    </row>
    <row r="1480" spans="29:30" x14ac:dyDescent="0.25">
      <c r="AC1480" s="33">
        <f t="shared" si="48"/>
        <v>1478</v>
      </c>
      <c r="AD1480" s="35" t="str">
        <f t="shared" ref="AD1480:AD1543" si="49">IF(AD1479&gt;AD$2,"",EOMONTH(AD1479,1))</f>
        <v/>
      </c>
    </row>
    <row r="1481" spans="29:30" x14ac:dyDescent="0.25">
      <c r="AC1481" s="33">
        <f t="shared" si="48"/>
        <v>1479</v>
      </c>
      <c r="AD1481" s="35" t="str">
        <f t="shared" si="49"/>
        <v/>
      </c>
    </row>
    <row r="1482" spans="29:30" x14ac:dyDescent="0.25">
      <c r="AC1482" s="33">
        <f t="shared" si="48"/>
        <v>1480</v>
      </c>
      <c r="AD1482" s="35" t="str">
        <f t="shared" si="49"/>
        <v/>
      </c>
    </row>
    <row r="1483" spans="29:30" x14ac:dyDescent="0.25">
      <c r="AC1483" s="33">
        <f t="shared" si="48"/>
        <v>1481</v>
      </c>
      <c r="AD1483" s="35" t="str">
        <f t="shared" si="49"/>
        <v/>
      </c>
    </row>
    <row r="1484" spans="29:30" x14ac:dyDescent="0.25">
      <c r="AC1484" s="33">
        <f t="shared" si="48"/>
        <v>1482</v>
      </c>
      <c r="AD1484" s="35" t="str">
        <f t="shared" si="49"/>
        <v/>
      </c>
    </row>
    <row r="1485" spans="29:30" x14ac:dyDescent="0.25">
      <c r="AC1485" s="33">
        <f t="shared" si="48"/>
        <v>1483</v>
      </c>
      <c r="AD1485" s="35" t="str">
        <f t="shared" si="49"/>
        <v/>
      </c>
    </row>
    <row r="1486" spans="29:30" x14ac:dyDescent="0.25">
      <c r="AC1486" s="33">
        <f t="shared" si="48"/>
        <v>1484</v>
      </c>
      <c r="AD1486" s="35" t="str">
        <f t="shared" si="49"/>
        <v/>
      </c>
    </row>
    <row r="1487" spans="29:30" x14ac:dyDescent="0.25">
      <c r="AC1487" s="33">
        <f t="shared" si="48"/>
        <v>1485</v>
      </c>
      <c r="AD1487" s="35" t="str">
        <f t="shared" si="49"/>
        <v/>
      </c>
    </row>
    <row r="1488" spans="29:30" x14ac:dyDescent="0.25">
      <c r="AC1488" s="33">
        <f t="shared" si="48"/>
        <v>1486</v>
      </c>
      <c r="AD1488" s="35" t="str">
        <f t="shared" si="49"/>
        <v/>
      </c>
    </row>
    <row r="1489" spans="29:30" x14ac:dyDescent="0.25">
      <c r="AC1489" s="33">
        <f t="shared" si="48"/>
        <v>1487</v>
      </c>
      <c r="AD1489" s="35" t="str">
        <f t="shared" si="49"/>
        <v/>
      </c>
    </row>
    <row r="1490" spans="29:30" x14ac:dyDescent="0.25">
      <c r="AC1490" s="33">
        <f t="shared" si="48"/>
        <v>1488</v>
      </c>
      <c r="AD1490" s="35" t="str">
        <f t="shared" si="49"/>
        <v/>
      </c>
    </row>
    <row r="1491" spans="29:30" x14ac:dyDescent="0.25">
      <c r="AC1491" s="33">
        <f t="shared" si="48"/>
        <v>1489</v>
      </c>
      <c r="AD1491" s="35" t="str">
        <f t="shared" si="49"/>
        <v/>
      </c>
    </row>
    <row r="1492" spans="29:30" x14ac:dyDescent="0.25">
      <c r="AC1492" s="33">
        <f t="shared" si="48"/>
        <v>1490</v>
      </c>
      <c r="AD1492" s="35" t="str">
        <f t="shared" si="49"/>
        <v/>
      </c>
    </row>
    <row r="1493" spans="29:30" x14ac:dyDescent="0.25">
      <c r="AC1493" s="33">
        <f t="shared" si="48"/>
        <v>1491</v>
      </c>
      <c r="AD1493" s="35" t="str">
        <f t="shared" si="49"/>
        <v/>
      </c>
    </row>
    <row r="1494" spans="29:30" x14ac:dyDescent="0.25">
      <c r="AC1494" s="33">
        <f t="shared" si="48"/>
        <v>1492</v>
      </c>
      <c r="AD1494" s="35" t="str">
        <f t="shared" si="49"/>
        <v/>
      </c>
    </row>
    <row r="1495" spans="29:30" x14ac:dyDescent="0.25">
      <c r="AC1495" s="33">
        <f t="shared" si="48"/>
        <v>1493</v>
      </c>
      <c r="AD1495" s="35" t="str">
        <f t="shared" si="49"/>
        <v/>
      </c>
    </row>
    <row r="1496" spans="29:30" x14ac:dyDescent="0.25">
      <c r="AC1496" s="33">
        <f t="shared" si="48"/>
        <v>1494</v>
      </c>
      <c r="AD1496" s="35" t="str">
        <f t="shared" si="49"/>
        <v/>
      </c>
    </row>
    <row r="1497" spans="29:30" x14ac:dyDescent="0.25">
      <c r="AC1497" s="33">
        <f t="shared" si="48"/>
        <v>1495</v>
      </c>
      <c r="AD1497" s="35" t="str">
        <f t="shared" si="49"/>
        <v/>
      </c>
    </row>
    <row r="1498" spans="29:30" x14ac:dyDescent="0.25">
      <c r="AC1498" s="33">
        <f t="shared" si="48"/>
        <v>1496</v>
      </c>
      <c r="AD1498" s="35" t="str">
        <f t="shared" si="49"/>
        <v/>
      </c>
    </row>
    <row r="1499" spans="29:30" x14ac:dyDescent="0.25">
      <c r="AC1499" s="33">
        <f t="shared" si="48"/>
        <v>1497</v>
      </c>
      <c r="AD1499" s="35" t="str">
        <f t="shared" si="49"/>
        <v/>
      </c>
    </row>
    <row r="1500" spans="29:30" x14ac:dyDescent="0.25">
      <c r="AC1500" s="33">
        <f t="shared" si="48"/>
        <v>1498</v>
      </c>
      <c r="AD1500" s="35" t="str">
        <f t="shared" si="49"/>
        <v/>
      </c>
    </row>
    <row r="1501" spans="29:30" x14ac:dyDescent="0.25">
      <c r="AC1501" s="33">
        <f t="shared" si="48"/>
        <v>1499</v>
      </c>
      <c r="AD1501" s="35" t="str">
        <f t="shared" si="49"/>
        <v/>
      </c>
    </row>
    <row r="1502" spans="29:30" x14ac:dyDescent="0.25">
      <c r="AC1502" s="33">
        <f t="shared" si="48"/>
        <v>1500</v>
      </c>
      <c r="AD1502" s="35" t="str">
        <f t="shared" si="49"/>
        <v/>
      </c>
    </row>
    <row r="1503" spans="29:30" x14ac:dyDescent="0.25">
      <c r="AC1503" s="33">
        <f t="shared" si="48"/>
        <v>1501</v>
      </c>
      <c r="AD1503" s="35" t="str">
        <f t="shared" si="49"/>
        <v/>
      </c>
    </row>
    <row r="1504" spans="29:30" x14ac:dyDescent="0.25">
      <c r="AC1504" s="33">
        <f t="shared" si="48"/>
        <v>1502</v>
      </c>
      <c r="AD1504" s="35" t="str">
        <f t="shared" si="49"/>
        <v/>
      </c>
    </row>
    <row r="1505" spans="29:30" x14ac:dyDescent="0.25">
      <c r="AC1505" s="33">
        <f t="shared" si="48"/>
        <v>1503</v>
      </c>
      <c r="AD1505" s="35" t="str">
        <f t="shared" si="49"/>
        <v/>
      </c>
    </row>
    <row r="1506" spans="29:30" x14ac:dyDescent="0.25">
      <c r="AC1506" s="33">
        <f t="shared" si="48"/>
        <v>1504</v>
      </c>
      <c r="AD1506" s="35" t="str">
        <f t="shared" si="49"/>
        <v/>
      </c>
    </row>
    <row r="1507" spans="29:30" x14ac:dyDescent="0.25">
      <c r="AC1507" s="33">
        <f t="shared" si="48"/>
        <v>1505</v>
      </c>
      <c r="AD1507" s="35" t="str">
        <f t="shared" si="49"/>
        <v/>
      </c>
    </row>
    <row r="1508" spans="29:30" x14ac:dyDescent="0.25">
      <c r="AC1508" s="33">
        <f t="shared" si="48"/>
        <v>1506</v>
      </c>
      <c r="AD1508" s="35" t="str">
        <f t="shared" si="49"/>
        <v/>
      </c>
    </row>
    <row r="1509" spans="29:30" x14ac:dyDescent="0.25">
      <c r="AC1509" s="33">
        <f t="shared" si="48"/>
        <v>1507</v>
      </c>
      <c r="AD1509" s="35" t="str">
        <f t="shared" si="49"/>
        <v/>
      </c>
    </row>
    <row r="1510" spans="29:30" x14ac:dyDescent="0.25">
      <c r="AC1510" s="33">
        <f t="shared" si="48"/>
        <v>1508</v>
      </c>
      <c r="AD1510" s="35" t="str">
        <f t="shared" si="49"/>
        <v/>
      </c>
    </row>
    <row r="1511" spans="29:30" x14ac:dyDescent="0.25">
      <c r="AC1511" s="33">
        <f t="shared" si="48"/>
        <v>1509</v>
      </c>
      <c r="AD1511" s="35" t="str">
        <f t="shared" si="49"/>
        <v/>
      </c>
    </row>
    <row r="1512" spans="29:30" x14ac:dyDescent="0.25">
      <c r="AC1512" s="33">
        <f t="shared" si="48"/>
        <v>1510</v>
      </c>
      <c r="AD1512" s="35" t="str">
        <f t="shared" si="49"/>
        <v/>
      </c>
    </row>
    <row r="1513" spans="29:30" x14ac:dyDescent="0.25">
      <c r="AC1513" s="33">
        <f t="shared" si="48"/>
        <v>1511</v>
      </c>
      <c r="AD1513" s="35" t="str">
        <f t="shared" si="49"/>
        <v/>
      </c>
    </row>
    <row r="1514" spans="29:30" x14ac:dyDescent="0.25">
      <c r="AC1514" s="33">
        <f t="shared" si="48"/>
        <v>1512</v>
      </c>
      <c r="AD1514" s="35" t="str">
        <f t="shared" si="49"/>
        <v/>
      </c>
    </row>
    <row r="1515" spans="29:30" x14ac:dyDescent="0.25">
      <c r="AC1515" s="33">
        <f t="shared" si="48"/>
        <v>1513</v>
      </c>
      <c r="AD1515" s="35" t="str">
        <f t="shared" si="49"/>
        <v/>
      </c>
    </row>
    <row r="1516" spans="29:30" x14ac:dyDescent="0.25">
      <c r="AC1516" s="33">
        <f t="shared" si="48"/>
        <v>1514</v>
      </c>
      <c r="AD1516" s="35" t="str">
        <f t="shared" si="49"/>
        <v/>
      </c>
    </row>
    <row r="1517" spans="29:30" x14ac:dyDescent="0.25">
      <c r="AC1517" s="33">
        <f t="shared" si="48"/>
        <v>1515</v>
      </c>
      <c r="AD1517" s="35" t="str">
        <f t="shared" si="49"/>
        <v/>
      </c>
    </row>
    <row r="1518" spans="29:30" x14ac:dyDescent="0.25">
      <c r="AC1518" s="33">
        <f t="shared" si="48"/>
        <v>1516</v>
      </c>
      <c r="AD1518" s="35" t="str">
        <f t="shared" si="49"/>
        <v/>
      </c>
    </row>
    <row r="1519" spans="29:30" x14ac:dyDescent="0.25">
      <c r="AC1519" s="33">
        <f t="shared" si="48"/>
        <v>1517</v>
      </c>
      <c r="AD1519" s="35" t="str">
        <f t="shared" si="49"/>
        <v/>
      </c>
    </row>
    <row r="1520" spans="29:30" x14ac:dyDescent="0.25">
      <c r="AC1520" s="33">
        <f t="shared" si="48"/>
        <v>1518</v>
      </c>
      <c r="AD1520" s="35" t="str">
        <f t="shared" si="49"/>
        <v/>
      </c>
    </row>
    <row r="1521" spans="29:30" x14ac:dyDescent="0.25">
      <c r="AC1521" s="33">
        <f t="shared" si="48"/>
        <v>1519</v>
      </c>
      <c r="AD1521" s="35" t="str">
        <f t="shared" si="49"/>
        <v/>
      </c>
    </row>
    <row r="1522" spans="29:30" x14ac:dyDescent="0.25">
      <c r="AC1522" s="33">
        <f t="shared" si="48"/>
        <v>1520</v>
      </c>
      <c r="AD1522" s="35" t="str">
        <f t="shared" si="49"/>
        <v/>
      </c>
    </row>
    <row r="1523" spans="29:30" x14ac:dyDescent="0.25">
      <c r="AC1523" s="33">
        <f t="shared" si="48"/>
        <v>1521</v>
      </c>
      <c r="AD1523" s="35" t="str">
        <f t="shared" si="49"/>
        <v/>
      </c>
    </row>
    <row r="1524" spans="29:30" x14ac:dyDescent="0.25">
      <c r="AC1524" s="33">
        <f t="shared" si="48"/>
        <v>1522</v>
      </c>
      <c r="AD1524" s="35" t="str">
        <f t="shared" si="49"/>
        <v/>
      </c>
    </row>
    <row r="1525" spans="29:30" x14ac:dyDescent="0.25">
      <c r="AC1525" s="33">
        <f t="shared" si="48"/>
        <v>1523</v>
      </c>
      <c r="AD1525" s="35" t="str">
        <f t="shared" si="49"/>
        <v/>
      </c>
    </row>
    <row r="1526" spans="29:30" x14ac:dyDescent="0.25">
      <c r="AC1526" s="33">
        <f t="shared" si="48"/>
        <v>1524</v>
      </c>
      <c r="AD1526" s="35" t="str">
        <f t="shared" si="49"/>
        <v/>
      </c>
    </row>
    <row r="1527" spans="29:30" x14ac:dyDescent="0.25">
      <c r="AC1527" s="33">
        <f t="shared" si="48"/>
        <v>1525</v>
      </c>
      <c r="AD1527" s="35" t="str">
        <f t="shared" si="49"/>
        <v/>
      </c>
    </row>
    <row r="1528" spans="29:30" x14ac:dyDescent="0.25">
      <c r="AC1528" s="33">
        <f t="shared" si="48"/>
        <v>1526</v>
      </c>
      <c r="AD1528" s="35" t="str">
        <f t="shared" si="49"/>
        <v/>
      </c>
    </row>
    <row r="1529" spans="29:30" x14ac:dyDescent="0.25">
      <c r="AC1529" s="33">
        <f t="shared" si="48"/>
        <v>1527</v>
      </c>
      <c r="AD1529" s="35" t="str">
        <f t="shared" si="49"/>
        <v/>
      </c>
    </row>
    <row r="1530" spans="29:30" x14ac:dyDescent="0.25">
      <c r="AC1530" s="33">
        <f t="shared" si="48"/>
        <v>1528</v>
      </c>
      <c r="AD1530" s="35" t="str">
        <f t="shared" si="49"/>
        <v/>
      </c>
    </row>
    <row r="1531" spans="29:30" x14ac:dyDescent="0.25">
      <c r="AC1531" s="33">
        <f t="shared" ref="AC1531:AC1594" si="50">AC1530+1</f>
        <v>1529</v>
      </c>
      <c r="AD1531" s="35" t="str">
        <f t="shared" si="49"/>
        <v/>
      </c>
    </row>
    <row r="1532" spans="29:30" x14ac:dyDescent="0.25">
      <c r="AC1532" s="33">
        <f t="shared" si="50"/>
        <v>1530</v>
      </c>
      <c r="AD1532" s="35" t="str">
        <f t="shared" si="49"/>
        <v/>
      </c>
    </row>
    <row r="1533" spans="29:30" x14ac:dyDescent="0.25">
      <c r="AC1533" s="33">
        <f t="shared" si="50"/>
        <v>1531</v>
      </c>
      <c r="AD1533" s="35" t="str">
        <f t="shared" si="49"/>
        <v/>
      </c>
    </row>
    <row r="1534" spans="29:30" x14ac:dyDescent="0.25">
      <c r="AC1534" s="33">
        <f t="shared" si="50"/>
        <v>1532</v>
      </c>
      <c r="AD1534" s="35" t="str">
        <f t="shared" si="49"/>
        <v/>
      </c>
    </row>
    <row r="1535" spans="29:30" x14ac:dyDescent="0.25">
      <c r="AC1535" s="33">
        <f t="shared" si="50"/>
        <v>1533</v>
      </c>
      <c r="AD1535" s="35" t="str">
        <f t="shared" si="49"/>
        <v/>
      </c>
    </row>
    <row r="1536" spans="29:30" x14ac:dyDescent="0.25">
      <c r="AC1536" s="33">
        <f t="shared" si="50"/>
        <v>1534</v>
      </c>
      <c r="AD1536" s="35" t="str">
        <f t="shared" si="49"/>
        <v/>
      </c>
    </row>
    <row r="1537" spans="29:30" x14ac:dyDescent="0.25">
      <c r="AC1537" s="33">
        <f t="shared" si="50"/>
        <v>1535</v>
      </c>
      <c r="AD1537" s="35" t="str">
        <f t="shared" si="49"/>
        <v/>
      </c>
    </row>
    <row r="1538" spans="29:30" x14ac:dyDescent="0.25">
      <c r="AC1538" s="33">
        <f t="shared" si="50"/>
        <v>1536</v>
      </c>
      <c r="AD1538" s="35" t="str">
        <f t="shared" si="49"/>
        <v/>
      </c>
    </row>
    <row r="1539" spans="29:30" x14ac:dyDescent="0.25">
      <c r="AC1539" s="33">
        <f t="shared" si="50"/>
        <v>1537</v>
      </c>
      <c r="AD1539" s="35" t="str">
        <f t="shared" si="49"/>
        <v/>
      </c>
    </row>
    <row r="1540" spans="29:30" x14ac:dyDescent="0.25">
      <c r="AC1540" s="33">
        <f t="shared" si="50"/>
        <v>1538</v>
      </c>
      <c r="AD1540" s="35" t="str">
        <f t="shared" si="49"/>
        <v/>
      </c>
    </row>
    <row r="1541" spans="29:30" x14ac:dyDescent="0.25">
      <c r="AC1541" s="33">
        <f t="shared" si="50"/>
        <v>1539</v>
      </c>
      <c r="AD1541" s="35" t="str">
        <f t="shared" si="49"/>
        <v/>
      </c>
    </row>
    <row r="1542" spans="29:30" x14ac:dyDescent="0.25">
      <c r="AC1542" s="33">
        <f t="shared" si="50"/>
        <v>1540</v>
      </c>
      <c r="AD1542" s="35" t="str">
        <f t="shared" si="49"/>
        <v/>
      </c>
    </row>
    <row r="1543" spans="29:30" x14ac:dyDescent="0.25">
      <c r="AC1543" s="33">
        <f t="shared" si="50"/>
        <v>1541</v>
      </c>
      <c r="AD1543" s="35" t="str">
        <f t="shared" si="49"/>
        <v/>
      </c>
    </row>
    <row r="1544" spans="29:30" x14ac:dyDescent="0.25">
      <c r="AC1544" s="33">
        <f t="shared" si="50"/>
        <v>1542</v>
      </c>
      <c r="AD1544" s="35" t="str">
        <f t="shared" ref="AD1544:AD1607" si="51">IF(AD1543&gt;AD$2,"",EOMONTH(AD1543,1))</f>
        <v/>
      </c>
    </row>
    <row r="1545" spans="29:30" x14ac:dyDescent="0.25">
      <c r="AC1545" s="33">
        <f t="shared" si="50"/>
        <v>1543</v>
      </c>
      <c r="AD1545" s="35" t="str">
        <f t="shared" si="51"/>
        <v/>
      </c>
    </row>
    <row r="1546" spans="29:30" x14ac:dyDescent="0.25">
      <c r="AC1546" s="33">
        <f t="shared" si="50"/>
        <v>1544</v>
      </c>
      <c r="AD1546" s="35" t="str">
        <f t="shared" si="51"/>
        <v/>
      </c>
    </row>
    <row r="1547" spans="29:30" x14ac:dyDescent="0.25">
      <c r="AC1547" s="33">
        <f t="shared" si="50"/>
        <v>1545</v>
      </c>
      <c r="AD1547" s="35" t="str">
        <f t="shared" si="51"/>
        <v/>
      </c>
    </row>
    <row r="1548" spans="29:30" x14ac:dyDescent="0.25">
      <c r="AC1548" s="33">
        <f t="shared" si="50"/>
        <v>1546</v>
      </c>
      <c r="AD1548" s="35" t="str">
        <f t="shared" si="51"/>
        <v/>
      </c>
    </row>
    <row r="1549" spans="29:30" x14ac:dyDescent="0.25">
      <c r="AC1549" s="33">
        <f t="shared" si="50"/>
        <v>1547</v>
      </c>
      <c r="AD1549" s="35" t="str">
        <f t="shared" si="51"/>
        <v/>
      </c>
    </row>
    <row r="1550" spans="29:30" x14ac:dyDescent="0.25">
      <c r="AC1550" s="33">
        <f t="shared" si="50"/>
        <v>1548</v>
      </c>
      <c r="AD1550" s="35" t="str">
        <f t="shared" si="51"/>
        <v/>
      </c>
    </row>
    <row r="1551" spans="29:30" x14ac:dyDescent="0.25">
      <c r="AC1551" s="33">
        <f t="shared" si="50"/>
        <v>1549</v>
      </c>
      <c r="AD1551" s="35" t="str">
        <f t="shared" si="51"/>
        <v/>
      </c>
    </row>
    <row r="1552" spans="29:30" x14ac:dyDescent="0.25">
      <c r="AC1552" s="33">
        <f t="shared" si="50"/>
        <v>1550</v>
      </c>
      <c r="AD1552" s="35" t="str">
        <f t="shared" si="51"/>
        <v/>
      </c>
    </row>
    <row r="1553" spans="29:30" x14ac:dyDescent="0.25">
      <c r="AC1553" s="33">
        <f t="shared" si="50"/>
        <v>1551</v>
      </c>
      <c r="AD1553" s="35" t="str">
        <f t="shared" si="51"/>
        <v/>
      </c>
    </row>
    <row r="1554" spans="29:30" x14ac:dyDescent="0.25">
      <c r="AC1554" s="33">
        <f t="shared" si="50"/>
        <v>1552</v>
      </c>
      <c r="AD1554" s="35" t="str">
        <f t="shared" si="51"/>
        <v/>
      </c>
    </row>
    <row r="1555" spans="29:30" x14ac:dyDescent="0.25">
      <c r="AC1555" s="33">
        <f t="shared" si="50"/>
        <v>1553</v>
      </c>
      <c r="AD1555" s="35" t="str">
        <f t="shared" si="51"/>
        <v/>
      </c>
    </row>
    <row r="1556" spans="29:30" x14ac:dyDescent="0.25">
      <c r="AC1556" s="33">
        <f t="shared" si="50"/>
        <v>1554</v>
      </c>
      <c r="AD1556" s="35" t="str">
        <f t="shared" si="51"/>
        <v/>
      </c>
    </row>
    <row r="1557" spans="29:30" x14ac:dyDescent="0.25">
      <c r="AC1557" s="33">
        <f t="shared" si="50"/>
        <v>1555</v>
      </c>
      <c r="AD1557" s="35" t="str">
        <f t="shared" si="51"/>
        <v/>
      </c>
    </row>
    <row r="1558" spans="29:30" x14ac:dyDescent="0.25">
      <c r="AC1558" s="33">
        <f t="shared" si="50"/>
        <v>1556</v>
      </c>
      <c r="AD1558" s="35" t="str">
        <f t="shared" si="51"/>
        <v/>
      </c>
    </row>
    <row r="1559" spans="29:30" x14ac:dyDescent="0.25">
      <c r="AC1559" s="33">
        <f t="shared" si="50"/>
        <v>1557</v>
      </c>
      <c r="AD1559" s="35" t="str">
        <f t="shared" si="51"/>
        <v/>
      </c>
    </row>
    <row r="1560" spans="29:30" x14ac:dyDescent="0.25">
      <c r="AC1560" s="33">
        <f t="shared" si="50"/>
        <v>1558</v>
      </c>
      <c r="AD1560" s="35" t="str">
        <f t="shared" si="51"/>
        <v/>
      </c>
    </row>
    <row r="1561" spans="29:30" x14ac:dyDescent="0.25">
      <c r="AC1561" s="33">
        <f t="shared" si="50"/>
        <v>1559</v>
      </c>
      <c r="AD1561" s="35" t="str">
        <f t="shared" si="51"/>
        <v/>
      </c>
    </row>
    <row r="1562" spans="29:30" x14ac:dyDescent="0.25">
      <c r="AC1562" s="33">
        <f t="shared" si="50"/>
        <v>1560</v>
      </c>
      <c r="AD1562" s="35" t="str">
        <f t="shared" si="51"/>
        <v/>
      </c>
    </row>
    <row r="1563" spans="29:30" x14ac:dyDescent="0.25">
      <c r="AC1563" s="33">
        <f t="shared" si="50"/>
        <v>1561</v>
      </c>
      <c r="AD1563" s="35" t="str">
        <f t="shared" si="51"/>
        <v/>
      </c>
    </row>
    <row r="1564" spans="29:30" x14ac:dyDescent="0.25">
      <c r="AC1564" s="33">
        <f t="shared" si="50"/>
        <v>1562</v>
      </c>
      <c r="AD1564" s="35" t="str">
        <f t="shared" si="51"/>
        <v/>
      </c>
    </row>
    <row r="1565" spans="29:30" x14ac:dyDescent="0.25">
      <c r="AC1565" s="33">
        <f t="shared" si="50"/>
        <v>1563</v>
      </c>
      <c r="AD1565" s="35" t="str">
        <f t="shared" si="51"/>
        <v/>
      </c>
    </row>
    <row r="1566" spans="29:30" x14ac:dyDescent="0.25">
      <c r="AC1566" s="33">
        <f t="shared" si="50"/>
        <v>1564</v>
      </c>
      <c r="AD1566" s="35" t="str">
        <f t="shared" si="51"/>
        <v/>
      </c>
    </row>
    <row r="1567" spans="29:30" x14ac:dyDescent="0.25">
      <c r="AC1567" s="33">
        <f t="shared" si="50"/>
        <v>1565</v>
      </c>
      <c r="AD1567" s="35" t="str">
        <f t="shared" si="51"/>
        <v/>
      </c>
    </row>
    <row r="1568" spans="29:30" x14ac:dyDescent="0.25">
      <c r="AC1568" s="33">
        <f t="shared" si="50"/>
        <v>1566</v>
      </c>
      <c r="AD1568" s="35" t="str">
        <f t="shared" si="51"/>
        <v/>
      </c>
    </row>
    <row r="1569" spans="29:30" x14ac:dyDescent="0.25">
      <c r="AC1569" s="33">
        <f t="shared" si="50"/>
        <v>1567</v>
      </c>
      <c r="AD1569" s="35" t="str">
        <f t="shared" si="51"/>
        <v/>
      </c>
    </row>
    <row r="1570" spans="29:30" x14ac:dyDescent="0.25">
      <c r="AC1570" s="33">
        <f t="shared" si="50"/>
        <v>1568</v>
      </c>
      <c r="AD1570" s="35" t="str">
        <f t="shared" si="51"/>
        <v/>
      </c>
    </row>
    <row r="1571" spans="29:30" x14ac:dyDescent="0.25">
      <c r="AC1571" s="33">
        <f t="shared" si="50"/>
        <v>1569</v>
      </c>
      <c r="AD1571" s="35" t="str">
        <f t="shared" si="51"/>
        <v/>
      </c>
    </row>
    <row r="1572" spans="29:30" x14ac:dyDescent="0.25">
      <c r="AC1572" s="33">
        <f t="shared" si="50"/>
        <v>1570</v>
      </c>
      <c r="AD1572" s="35" t="str">
        <f t="shared" si="51"/>
        <v/>
      </c>
    </row>
    <row r="1573" spans="29:30" x14ac:dyDescent="0.25">
      <c r="AC1573" s="33">
        <f t="shared" si="50"/>
        <v>1571</v>
      </c>
      <c r="AD1573" s="35" t="str">
        <f t="shared" si="51"/>
        <v/>
      </c>
    </row>
    <row r="1574" spans="29:30" x14ac:dyDescent="0.25">
      <c r="AC1574" s="33">
        <f t="shared" si="50"/>
        <v>1572</v>
      </c>
      <c r="AD1574" s="35" t="str">
        <f t="shared" si="51"/>
        <v/>
      </c>
    </row>
    <row r="1575" spans="29:30" x14ac:dyDescent="0.25">
      <c r="AC1575" s="33">
        <f t="shared" si="50"/>
        <v>1573</v>
      </c>
      <c r="AD1575" s="35" t="str">
        <f t="shared" si="51"/>
        <v/>
      </c>
    </row>
    <row r="1576" spans="29:30" x14ac:dyDescent="0.25">
      <c r="AC1576" s="33">
        <f t="shared" si="50"/>
        <v>1574</v>
      </c>
      <c r="AD1576" s="35" t="str">
        <f t="shared" si="51"/>
        <v/>
      </c>
    </row>
    <row r="1577" spans="29:30" x14ac:dyDescent="0.25">
      <c r="AC1577" s="33">
        <f t="shared" si="50"/>
        <v>1575</v>
      </c>
      <c r="AD1577" s="35" t="str">
        <f t="shared" si="51"/>
        <v/>
      </c>
    </row>
    <row r="1578" spans="29:30" x14ac:dyDescent="0.25">
      <c r="AC1578" s="33">
        <f t="shared" si="50"/>
        <v>1576</v>
      </c>
      <c r="AD1578" s="35" t="str">
        <f t="shared" si="51"/>
        <v/>
      </c>
    </row>
    <row r="1579" spans="29:30" x14ac:dyDescent="0.25">
      <c r="AC1579" s="33">
        <f t="shared" si="50"/>
        <v>1577</v>
      </c>
      <c r="AD1579" s="35" t="str">
        <f t="shared" si="51"/>
        <v/>
      </c>
    </row>
    <row r="1580" spans="29:30" x14ac:dyDescent="0.25">
      <c r="AC1580" s="33">
        <f t="shared" si="50"/>
        <v>1578</v>
      </c>
      <c r="AD1580" s="35" t="str">
        <f t="shared" si="51"/>
        <v/>
      </c>
    </row>
    <row r="1581" spans="29:30" x14ac:dyDescent="0.25">
      <c r="AC1581" s="33">
        <f t="shared" si="50"/>
        <v>1579</v>
      </c>
      <c r="AD1581" s="35" t="str">
        <f t="shared" si="51"/>
        <v/>
      </c>
    </row>
    <row r="1582" spans="29:30" x14ac:dyDescent="0.25">
      <c r="AC1582" s="33">
        <f t="shared" si="50"/>
        <v>1580</v>
      </c>
      <c r="AD1582" s="35" t="str">
        <f t="shared" si="51"/>
        <v/>
      </c>
    </row>
    <row r="1583" spans="29:30" x14ac:dyDescent="0.25">
      <c r="AC1583" s="33">
        <f t="shared" si="50"/>
        <v>1581</v>
      </c>
      <c r="AD1583" s="35" t="str">
        <f t="shared" si="51"/>
        <v/>
      </c>
    </row>
    <row r="1584" spans="29:30" x14ac:dyDescent="0.25">
      <c r="AC1584" s="33">
        <f t="shared" si="50"/>
        <v>1582</v>
      </c>
      <c r="AD1584" s="35" t="str">
        <f t="shared" si="51"/>
        <v/>
      </c>
    </row>
    <row r="1585" spans="29:30" x14ac:dyDescent="0.25">
      <c r="AC1585" s="33">
        <f t="shared" si="50"/>
        <v>1583</v>
      </c>
      <c r="AD1585" s="35" t="str">
        <f t="shared" si="51"/>
        <v/>
      </c>
    </row>
    <row r="1586" spans="29:30" x14ac:dyDescent="0.25">
      <c r="AC1586" s="33">
        <f t="shared" si="50"/>
        <v>1584</v>
      </c>
      <c r="AD1586" s="35" t="str">
        <f t="shared" si="51"/>
        <v/>
      </c>
    </row>
    <row r="1587" spans="29:30" x14ac:dyDescent="0.25">
      <c r="AC1587" s="33">
        <f t="shared" si="50"/>
        <v>1585</v>
      </c>
      <c r="AD1587" s="35" t="str">
        <f t="shared" si="51"/>
        <v/>
      </c>
    </row>
    <row r="1588" spans="29:30" x14ac:dyDescent="0.25">
      <c r="AC1588" s="33">
        <f t="shared" si="50"/>
        <v>1586</v>
      </c>
      <c r="AD1588" s="35" t="str">
        <f t="shared" si="51"/>
        <v/>
      </c>
    </row>
    <row r="1589" spans="29:30" x14ac:dyDescent="0.25">
      <c r="AC1589" s="33">
        <f t="shared" si="50"/>
        <v>1587</v>
      </c>
      <c r="AD1589" s="35" t="str">
        <f t="shared" si="51"/>
        <v/>
      </c>
    </row>
    <row r="1590" spans="29:30" x14ac:dyDescent="0.25">
      <c r="AC1590" s="33">
        <f t="shared" si="50"/>
        <v>1588</v>
      </c>
      <c r="AD1590" s="35" t="str">
        <f t="shared" si="51"/>
        <v/>
      </c>
    </row>
    <row r="1591" spans="29:30" x14ac:dyDescent="0.25">
      <c r="AC1591" s="33">
        <f t="shared" si="50"/>
        <v>1589</v>
      </c>
      <c r="AD1591" s="35" t="str">
        <f t="shared" si="51"/>
        <v/>
      </c>
    </row>
    <row r="1592" spans="29:30" x14ac:dyDescent="0.25">
      <c r="AC1592" s="33">
        <f t="shared" si="50"/>
        <v>1590</v>
      </c>
      <c r="AD1592" s="35" t="str">
        <f t="shared" si="51"/>
        <v/>
      </c>
    </row>
    <row r="1593" spans="29:30" x14ac:dyDescent="0.25">
      <c r="AC1593" s="33">
        <f t="shared" si="50"/>
        <v>1591</v>
      </c>
      <c r="AD1593" s="35" t="str">
        <f t="shared" si="51"/>
        <v/>
      </c>
    </row>
    <row r="1594" spans="29:30" x14ac:dyDescent="0.25">
      <c r="AC1594" s="33">
        <f t="shared" si="50"/>
        <v>1592</v>
      </c>
      <c r="AD1594" s="35" t="str">
        <f t="shared" si="51"/>
        <v/>
      </c>
    </row>
    <row r="1595" spans="29:30" x14ac:dyDescent="0.25">
      <c r="AC1595" s="33">
        <f t="shared" ref="AC1595:AC1658" si="52">AC1594+1</f>
        <v>1593</v>
      </c>
      <c r="AD1595" s="35" t="str">
        <f t="shared" si="51"/>
        <v/>
      </c>
    </row>
    <row r="1596" spans="29:30" x14ac:dyDescent="0.25">
      <c r="AC1596" s="33">
        <f t="shared" si="52"/>
        <v>1594</v>
      </c>
      <c r="AD1596" s="35" t="str">
        <f t="shared" si="51"/>
        <v/>
      </c>
    </row>
    <row r="1597" spans="29:30" x14ac:dyDescent="0.25">
      <c r="AC1597" s="33">
        <f t="shared" si="52"/>
        <v>1595</v>
      </c>
      <c r="AD1597" s="35" t="str">
        <f t="shared" si="51"/>
        <v/>
      </c>
    </row>
    <row r="1598" spans="29:30" x14ac:dyDescent="0.25">
      <c r="AC1598" s="33">
        <f t="shared" si="52"/>
        <v>1596</v>
      </c>
      <c r="AD1598" s="35" t="str">
        <f t="shared" si="51"/>
        <v/>
      </c>
    </row>
    <row r="1599" spans="29:30" x14ac:dyDescent="0.25">
      <c r="AC1599" s="33">
        <f t="shared" si="52"/>
        <v>1597</v>
      </c>
      <c r="AD1599" s="35" t="str">
        <f t="shared" si="51"/>
        <v/>
      </c>
    </row>
    <row r="1600" spans="29:30" x14ac:dyDescent="0.25">
      <c r="AC1600" s="33">
        <f t="shared" si="52"/>
        <v>1598</v>
      </c>
      <c r="AD1600" s="35" t="str">
        <f t="shared" si="51"/>
        <v/>
      </c>
    </row>
    <row r="1601" spans="29:30" x14ac:dyDescent="0.25">
      <c r="AC1601" s="33">
        <f t="shared" si="52"/>
        <v>1599</v>
      </c>
      <c r="AD1601" s="35" t="str">
        <f t="shared" si="51"/>
        <v/>
      </c>
    </row>
    <row r="1602" spans="29:30" x14ac:dyDescent="0.25">
      <c r="AC1602" s="33">
        <f t="shared" si="52"/>
        <v>1600</v>
      </c>
      <c r="AD1602" s="35" t="str">
        <f t="shared" si="51"/>
        <v/>
      </c>
    </row>
    <row r="1603" spans="29:30" x14ac:dyDescent="0.25">
      <c r="AC1603" s="33">
        <f t="shared" si="52"/>
        <v>1601</v>
      </c>
      <c r="AD1603" s="35" t="str">
        <f t="shared" si="51"/>
        <v/>
      </c>
    </row>
    <row r="1604" spans="29:30" x14ac:dyDescent="0.25">
      <c r="AC1604" s="33">
        <f t="shared" si="52"/>
        <v>1602</v>
      </c>
      <c r="AD1604" s="35" t="str">
        <f t="shared" si="51"/>
        <v/>
      </c>
    </row>
    <row r="1605" spans="29:30" x14ac:dyDescent="0.25">
      <c r="AC1605" s="33">
        <f t="shared" si="52"/>
        <v>1603</v>
      </c>
      <c r="AD1605" s="35" t="str">
        <f t="shared" si="51"/>
        <v/>
      </c>
    </row>
    <row r="1606" spans="29:30" x14ac:dyDescent="0.25">
      <c r="AC1606" s="33">
        <f t="shared" si="52"/>
        <v>1604</v>
      </c>
      <c r="AD1606" s="35" t="str">
        <f t="shared" si="51"/>
        <v/>
      </c>
    </row>
    <row r="1607" spans="29:30" x14ac:dyDescent="0.25">
      <c r="AC1607" s="33">
        <f t="shared" si="52"/>
        <v>1605</v>
      </c>
      <c r="AD1607" s="35" t="str">
        <f t="shared" si="51"/>
        <v/>
      </c>
    </row>
    <row r="1608" spans="29:30" x14ac:dyDescent="0.25">
      <c r="AC1608" s="33">
        <f t="shared" si="52"/>
        <v>1606</v>
      </c>
      <c r="AD1608" s="35" t="str">
        <f t="shared" ref="AD1608:AD1671" si="53">IF(AD1607&gt;AD$2,"",EOMONTH(AD1607,1))</f>
        <v/>
      </c>
    </row>
    <row r="1609" spans="29:30" x14ac:dyDescent="0.25">
      <c r="AC1609" s="33">
        <f t="shared" si="52"/>
        <v>1607</v>
      </c>
      <c r="AD1609" s="35" t="str">
        <f t="shared" si="53"/>
        <v/>
      </c>
    </row>
    <row r="1610" spans="29:30" x14ac:dyDescent="0.25">
      <c r="AC1610" s="33">
        <f t="shared" si="52"/>
        <v>1608</v>
      </c>
      <c r="AD1610" s="35" t="str">
        <f t="shared" si="53"/>
        <v/>
      </c>
    </row>
    <row r="1611" spans="29:30" x14ac:dyDescent="0.25">
      <c r="AC1611" s="33">
        <f t="shared" si="52"/>
        <v>1609</v>
      </c>
      <c r="AD1611" s="35" t="str">
        <f t="shared" si="53"/>
        <v/>
      </c>
    </row>
    <row r="1612" spans="29:30" x14ac:dyDescent="0.25">
      <c r="AC1612" s="33">
        <f t="shared" si="52"/>
        <v>1610</v>
      </c>
      <c r="AD1612" s="35" t="str">
        <f t="shared" si="53"/>
        <v/>
      </c>
    </row>
    <row r="1613" spans="29:30" x14ac:dyDescent="0.25">
      <c r="AC1613" s="33">
        <f t="shared" si="52"/>
        <v>1611</v>
      </c>
      <c r="AD1613" s="35" t="str">
        <f t="shared" si="53"/>
        <v/>
      </c>
    </row>
    <row r="1614" spans="29:30" x14ac:dyDescent="0.25">
      <c r="AC1614" s="33">
        <f t="shared" si="52"/>
        <v>1612</v>
      </c>
      <c r="AD1614" s="35" t="str">
        <f t="shared" si="53"/>
        <v/>
      </c>
    </row>
    <row r="1615" spans="29:30" x14ac:dyDescent="0.25">
      <c r="AC1615" s="33">
        <f t="shared" si="52"/>
        <v>1613</v>
      </c>
      <c r="AD1615" s="35" t="str">
        <f t="shared" si="53"/>
        <v/>
      </c>
    </row>
    <row r="1616" spans="29:30" x14ac:dyDescent="0.25">
      <c r="AC1616" s="33">
        <f t="shared" si="52"/>
        <v>1614</v>
      </c>
      <c r="AD1616" s="35" t="str">
        <f t="shared" si="53"/>
        <v/>
      </c>
    </row>
    <row r="1617" spans="29:30" x14ac:dyDescent="0.25">
      <c r="AC1617" s="33">
        <f t="shared" si="52"/>
        <v>1615</v>
      </c>
      <c r="AD1617" s="35" t="str">
        <f t="shared" si="53"/>
        <v/>
      </c>
    </row>
    <row r="1618" spans="29:30" x14ac:dyDescent="0.25">
      <c r="AC1618" s="33">
        <f t="shared" si="52"/>
        <v>1616</v>
      </c>
      <c r="AD1618" s="35" t="str">
        <f t="shared" si="53"/>
        <v/>
      </c>
    </row>
    <row r="1619" spans="29:30" x14ac:dyDescent="0.25">
      <c r="AC1619" s="33">
        <f t="shared" si="52"/>
        <v>1617</v>
      </c>
      <c r="AD1619" s="35" t="str">
        <f t="shared" si="53"/>
        <v/>
      </c>
    </row>
    <row r="1620" spans="29:30" x14ac:dyDescent="0.25">
      <c r="AC1620" s="33">
        <f t="shared" si="52"/>
        <v>1618</v>
      </c>
      <c r="AD1620" s="35" t="str">
        <f t="shared" si="53"/>
        <v/>
      </c>
    </row>
    <row r="1621" spans="29:30" x14ac:dyDescent="0.25">
      <c r="AC1621" s="33">
        <f t="shared" si="52"/>
        <v>1619</v>
      </c>
      <c r="AD1621" s="35" t="str">
        <f t="shared" si="53"/>
        <v/>
      </c>
    </row>
    <row r="1622" spans="29:30" x14ac:dyDescent="0.25">
      <c r="AC1622" s="33">
        <f t="shared" si="52"/>
        <v>1620</v>
      </c>
      <c r="AD1622" s="35" t="str">
        <f t="shared" si="53"/>
        <v/>
      </c>
    </row>
    <row r="1623" spans="29:30" x14ac:dyDescent="0.25">
      <c r="AC1623" s="33">
        <f t="shared" si="52"/>
        <v>1621</v>
      </c>
      <c r="AD1623" s="35" t="str">
        <f t="shared" si="53"/>
        <v/>
      </c>
    </row>
    <row r="1624" spans="29:30" x14ac:dyDescent="0.25">
      <c r="AC1624" s="33">
        <f t="shared" si="52"/>
        <v>1622</v>
      </c>
      <c r="AD1624" s="35" t="str">
        <f t="shared" si="53"/>
        <v/>
      </c>
    </row>
    <row r="1625" spans="29:30" x14ac:dyDescent="0.25">
      <c r="AC1625" s="33">
        <f t="shared" si="52"/>
        <v>1623</v>
      </c>
      <c r="AD1625" s="35" t="str">
        <f t="shared" si="53"/>
        <v/>
      </c>
    </row>
    <row r="1626" spans="29:30" x14ac:dyDescent="0.25">
      <c r="AC1626" s="33">
        <f t="shared" si="52"/>
        <v>1624</v>
      </c>
      <c r="AD1626" s="35" t="str">
        <f t="shared" si="53"/>
        <v/>
      </c>
    </row>
    <row r="1627" spans="29:30" x14ac:dyDescent="0.25">
      <c r="AC1627" s="33">
        <f t="shared" si="52"/>
        <v>1625</v>
      </c>
      <c r="AD1627" s="35" t="str">
        <f t="shared" si="53"/>
        <v/>
      </c>
    </row>
    <row r="1628" spans="29:30" x14ac:dyDescent="0.25">
      <c r="AC1628" s="33">
        <f t="shared" si="52"/>
        <v>1626</v>
      </c>
      <c r="AD1628" s="35" t="str">
        <f t="shared" si="53"/>
        <v/>
      </c>
    </row>
    <row r="1629" spans="29:30" x14ac:dyDescent="0.25">
      <c r="AC1629" s="33">
        <f t="shared" si="52"/>
        <v>1627</v>
      </c>
      <c r="AD1629" s="35" t="str">
        <f t="shared" si="53"/>
        <v/>
      </c>
    </row>
    <row r="1630" spans="29:30" x14ac:dyDescent="0.25">
      <c r="AC1630" s="33">
        <f t="shared" si="52"/>
        <v>1628</v>
      </c>
      <c r="AD1630" s="35" t="str">
        <f t="shared" si="53"/>
        <v/>
      </c>
    </row>
    <row r="1631" spans="29:30" x14ac:dyDescent="0.25">
      <c r="AC1631" s="33">
        <f t="shared" si="52"/>
        <v>1629</v>
      </c>
      <c r="AD1631" s="35" t="str">
        <f t="shared" si="53"/>
        <v/>
      </c>
    </row>
    <row r="1632" spans="29:30" x14ac:dyDescent="0.25">
      <c r="AC1632" s="33">
        <f t="shared" si="52"/>
        <v>1630</v>
      </c>
      <c r="AD1632" s="35" t="str">
        <f t="shared" si="53"/>
        <v/>
      </c>
    </row>
    <row r="1633" spans="29:30" x14ac:dyDescent="0.25">
      <c r="AC1633" s="33">
        <f t="shared" si="52"/>
        <v>1631</v>
      </c>
      <c r="AD1633" s="35" t="str">
        <f t="shared" si="53"/>
        <v/>
      </c>
    </row>
    <row r="1634" spans="29:30" x14ac:dyDescent="0.25">
      <c r="AC1634" s="33">
        <f t="shared" si="52"/>
        <v>1632</v>
      </c>
      <c r="AD1634" s="35" t="str">
        <f t="shared" si="53"/>
        <v/>
      </c>
    </row>
    <row r="1635" spans="29:30" x14ac:dyDescent="0.25">
      <c r="AC1635" s="33">
        <f t="shared" si="52"/>
        <v>1633</v>
      </c>
      <c r="AD1635" s="35" t="str">
        <f t="shared" si="53"/>
        <v/>
      </c>
    </row>
    <row r="1636" spans="29:30" x14ac:dyDescent="0.25">
      <c r="AC1636" s="33">
        <f t="shared" si="52"/>
        <v>1634</v>
      </c>
      <c r="AD1636" s="35" t="str">
        <f t="shared" si="53"/>
        <v/>
      </c>
    </row>
    <row r="1637" spans="29:30" x14ac:dyDescent="0.25">
      <c r="AC1637" s="33">
        <f t="shared" si="52"/>
        <v>1635</v>
      </c>
      <c r="AD1637" s="35" t="str">
        <f t="shared" si="53"/>
        <v/>
      </c>
    </row>
    <row r="1638" spans="29:30" x14ac:dyDescent="0.25">
      <c r="AC1638" s="33">
        <f t="shared" si="52"/>
        <v>1636</v>
      </c>
      <c r="AD1638" s="35" t="str">
        <f t="shared" si="53"/>
        <v/>
      </c>
    </row>
    <row r="1639" spans="29:30" x14ac:dyDescent="0.25">
      <c r="AC1639" s="33">
        <f t="shared" si="52"/>
        <v>1637</v>
      </c>
      <c r="AD1639" s="35" t="str">
        <f t="shared" si="53"/>
        <v/>
      </c>
    </row>
    <row r="1640" spans="29:30" x14ac:dyDescent="0.25">
      <c r="AC1640" s="33">
        <f t="shared" si="52"/>
        <v>1638</v>
      </c>
      <c r="AD1640" s="35" t="str">
        <f t="shared" si="53"/>
        <v/>
      </c>
    </row>
    <row r="1641" spans="29:30" x14ac:dyDescent="0.25">
      <c r="AC1641" s="33">
        <f t="shared" si="52"/>
        <v>1639</v>
      </c>
      <c r="AD1641" s="35" t="str">
        <f t="shared" si="53"/>
        <v/>
      </c>
    </row>
    <row r="1642" spans="29:30" x14ac:dyDescent="0.25">
      <c r="AC1642" s="33">
        <f t="shared" si="52"/>
        <v>1640</v>
      </c>
      <c r="AD1642" s="35" t="str">
        <f t="shared" si="53"/>
        <v/>
      </c>
    </row>
    <row r="1643" spans="29:30" x14ac:dyDescent="0.25">
      <c r="AC1643" s="33">
        <f t="shared" si="52"/>
        <v>1641</v>
      </c>
      <c r="AD1643" s="35" t="str">
        <f t="shared" si="53"/>
        <v/>
      </c>
    </row>
    <row r="1644" spans="29:30" x14ac:dyDescent="0.25">
      <c r="AC1644" s="33">
        <f t="shared" si="52"/>
        <v>1642</v>
      </c>
      <c r="AD1644" s="35" t="str">
        <f t="shared" si="53"/>
        <v/>
      </c>
    </row>
    <row r="1645" spans="29:30" x14ac:dyDescent="0.25">
      <c r="AC1645" s="33">
        <f t="shared" si="52"/>
        <v>1643</v>
      </c>
      <c r="AD1645" s="35" t="str">
        <f t="shared" si="53"/>
        <v/>
      </c>
    </row>
    <row r="1646" spans="29:30" x14ac:dyDescent="0.25">
      <c r="AC1646" s="33">
        <f t="shared" si="52"/>
        <v>1644</v>
      </c>
      <c r="AD1646" s="35" t="str">
        <f t="shared" si="53"/>
        <v/>
      </c>
    </row>
    <row r="1647" spans="29:30" x14ac:dyDescent="0.25">
      <c r="AC1647" s="33">
        <f t="shared" si="52"/>
        <v>1645</v>
      </c>
      <c r="AD1647" s="35" t="str">
        <f t="shared" si="53"/>
        <v/>
      </c>
    </row>
    <row r="1648" spans="29:30" x14ac:dyDescent="0.25">
      <c r="AC1648" s="33">
        <f t="shared" si="52"/>
        <v>1646</v>
      </c>
      <c r="AD1648" s="35" t="str">
        <f t="shared" si="53"/>
        <v/>
      </c>
    </row>
    <row r="1649" spans="29:30" x14ac:dyDescent="0.25">
      <c r="AC1649" s="33">
        <f t="shared" si="52"/>
        <v>1647</v>
      </c>
      <c r="AD1649" s="35" t="str">
        <f t="shared" si="53"/>
        <v/>
      </c>
    </row>
    <row r="1650" spans="29:30" x14ac:dyDescent="0.25">
      <c r="AC1650" s="33">
        <f t="shared" si="52"/>
        <v>1648</v>
      </c>
      <c r="AD1650" s="35" t="str">
        <f t="shared" si="53"/>
        <v/>
      </c>
    </row>
    <row r="1651" spans="29:30" x14ac:dyDescent="0.25">
      <c r="AC1651" s="33">
        <f t="shared" si="52"/>
        <v>1649</v>
      </c>
      <c r="AD1651" s="35" t="str">
        <f t="shared" si="53"/>
        <v/>
      </c>
    </row>
    <row r="1652" spans="29:30" x14ac:dyDescent="0.25">
      <c r="AC1652" s="33">
        <f t="shared" si="52"/>
        <v>1650</v>
      </c>
      <c r="AD1652" s="35" t="str">
        <f t="shared" si="53"/>
        <v/>
      </c>
    </row>
    <row r="1653" spans="29:30" x14ac:dyDescent="0.25">
      <c r="AC1653" s="33">
        <f t="shared" si="52"/>
        <v>1651</v>
      </c>
      <c r="AD1653" s="35" t="str">
        <f t="shared" si="53"/>
        <v/>
      </c>
    </row>
    <row r="1654" spans="29:30" x14ac:dyDescent="0.25">
      <c r="AC1654" s="33">
        <f t="shared" si="52"/>
        <v>1652</v>
      </c>
      <c r="AD1654" s="35" t="str">
        <f t="shared" si="53"/>
        <v/>
      </c>
    </row>
    <row r="1655" spans="29:30" x14ac:dyDescent="0.25">
      <c r="AC1655" s="33">
        <f t="shared" si="52"/>
        <v>1653</v>
      </c>
      <c r="AD1655" s="35" t="str">
        <f t="shared" si="53"/>
        <v/>
      </c>
    </row>
    <row r="1656" spans="29:30" x14ac:dyDescent="0.25">
      <c r="AC1656" s="33">
        <f t="shared" si="52"/>
        <v>1654</v>
      </c>
      <c r="AD1656" s="35" t="str">
        <f t="shared" si="53"/>
        <v/>
      </c>
    </row>
    <row r="1657" spans="29:30" x14ac:dyDescent="0.25">
      <c r="AC1657" s="33">
        <f t="shared" si="52"/>
        <v>1655</v>
      </c>
      <c r="AD1657" s="35" t="str">
        <f t="shared" si="53"/>
        <v/>
      </c>
    </row>
    <row r="1658" spans="29:30" x14ac:dyDescent="0.25">
      <c r="AC1658" s="33">
        <f t="shared" si="52"/>
        <v>1656</v>
      </c>
      <c r="AD1658" s="35" t="str">
        <f t="shared" si="53"/>
        <v/>
      </c>
    </row>
    <row r="1659" spans="29:30" x14ac:dyDescent="0.25">
      <c r="AC1659" s="33">
        <f t="shared" ref="AC1659:AC1722" si="54">AC1658+1</f>
        <v>1657</v>
      </c>
      <c r="AD1659" s="35" t="str">
        <f t="shared" si="53"/>
        <v/>
      </c>
    </row>
    <row r="1660" spans="29:30" x14ac:dyDescent="0.25">
      <c r="AC1660" s="33">
        <f t="shared" si="54"/>
        <v>1658</v>
      </c>
      <c r="AD1660" s="35" t="str">
        <f t="shared" si="53"/>
        <v/>
      </c>
    </row>
    <row r="1661" spans="29:30" x14ac:dyDescent="0.25">
      <c r="AC1661" s="33">
        <f t="shared" si="54"/>
        <v>1659</v>
      </c>
      <c r="AD1661" s="35" t="str">
        <f t="shared" si="53"/>
        <v/>
      </c>
    </row>
    <row r="1662" spans="29:30" x14ac:dyDescent="0.25">
      <c r="AC1662" s="33">
        <f t="shared" si="54"/>
        <v>1660</v>
      </c>
      <c r="AD1662" s="35" t="str">
        <f t="shared" si="53"/>
        <v/>
      </c>
    </row>
    <row r="1663" spans="29:30" x14ac:dyDescent="0.25">
      <c r="AC1663" s="33">
        <f t="shared" si="54"/>
        <v>1661</v>
      </c>
      <c r="AD1663" s="35" t="str">
        <f t="shared" si="53"/>
        <v/>
      </c>
    </row>
    <row r="1664" spans="29:30" x14ac:dyDescent="0.25">
      <c r="AC1664" s="33">
        <f t="shared" si="54"/>
        <v>1662</v>
      </c>
      <c r="AD1664" s="35" t="str">
        <f t="shared" si="53"/>
        <v/>
      </c>
    </row>
    <row r="1665" spans="29:30" x14ac:dyDescent="0.25">
      <c r="AC1665" s="33">
        <f t="shared" si="54"/>
        <v>1663</v>
      </c>
      <c r="AD1665" s="35" t="str">
        <f t="shared" si="53"/>
        <v/>
      </c>
    </row>
    <row r="1666" spans="29:30" x14ac:dyDescent="0.25">
      <c r="AC1666" s="33">
        <f t="shared" si="54"/>
        <v>1664</v>
      </c>
      <c r="AD1666" s="35" t="str">
        <f t="shared" si="53"/>
        <v/>
      </c>
    </row>
    <row r="1667" spans="29:30" x14ac:dyDescent="0.25">
      <c r="AC1667" s="33">
        <f t="shared" si="54"/>
        <v>1665</v>
      </c>
      <c r="AD1667" s="35" t="str">
        <f t="shared" si="53"/>
        <v/>
      </c>
    </row>
    <row r="1668" spans="29:30" x14ac:dyDescent="0.25">
      <c r="AC1668" s="33">
        <f t="shared" si="54"/>
        <v>1666</v>
      </c>
      <c r="AD1668" s="35" t="str">
        <f t="shared" si="53"/>
        <v/>
      </c>
    </row>
    <row r="1669" spans="29:30" x14ac:dyDescent="0.25">
      <c r="AC1669" s="33">
        <f t="shared" si="54"/>
        <v>1667</v>
      </c>
      <c r="AD1669" s="35" t="str">
        <f t="shared" si="53"/>
        <v/>
      </c>
    </row>
    <row r="1670" spans="29:30" x14ac:dyDescent="0.25">
      <c r="AC1670" s="33">
        <f t="shared" si="54"/>
        <v>1668</v>
      </c>
      <c r="AD1670" s="35" t="str">
        <f t="shared" si="53"/>
        <v/>
      </c>
    </row>
    <row r="1671" spans="29:30" x14ac:dyDescent="0.25">
      <c r="AC1671" s="33">
        <f t="shared" si="54"/>
        <v>1669</v>
      </c>
      <c r="AD1671" s="35" t="str">
        <f t="shared" si="53"/>
        <v/>
      </c>
    </row>
    <row r="1672" spans="29:30" x14ac:dyDescent="0.25">
      <c r="AC1672" s="33">
        <f t="shared" si="54"/>
        <v>1670</v>
      </c>
      <c r="AD1672" s="35" t="str">
        <f t="shared" ref="AD1672:AD1735" si="55">IF(AD1671&gt;AD$2,"",EOMONTH(AD1671,1))</f>
        <v/>
      </c>
    </row>
    <row r="1673" spans="29:30" x14ac:dyDescent="0.25">
      <c r="AC1673" s="33">
        <f t="shared" si="54"/>
        <v>1671</v>
      </c>
      <c r="AD1673" s="35" t="str">
        <f t="shared" si="55"/>
        <v/>
      </c>
    </row>
    <row r="1674" spans="29:30" x14ac:dyDescent="0.25">
      <c r="AC1674" s="33">
        <f t="shared" si="54"/>
        <v>1672</v>
      </c>
      <c r="AD1674" s="35" t="str">
        <f t="shared" si="55"/>
        <v/>
      </c>
    </row>
    <row r="1675" spans="29:30" x14ac:dyDescent="0.25">
      <c r="AC1675" s="33">
        <f t="shared" si="54"/>
        <v>1673</v>
      </c>
      <c r="AD1675" s="35" t="str">
        <f t="shared" si="55"/>
        <v/>
      </c>
    </row>
    <row r="1676" spans="29:30" x14ac:dyDescent="0.25">
      <c r="AC1676" s="33">
        <f t="shared" si="54"/>
        <v>1674</v>
      </c>
      <c r="AD1676" s="35" t="str">
        <f t="shared" si="55"/>
        <v/>
      </c>
    </row>
    <row r="1677" spans="29:30" x14ac:dyDescent="0.25">
      <c r="AC1677" s="33">
        <f t="shared" si="54"/>
        <v>1675</v>
      </c>
      <c r="AD1677" s="35" t="str">
        <f t="shared" si="55"/>
        <v/>
      </c>
    </row>
    <row r="1678" spans="29:30" x14ac:dyDescent="0.25">
      <c r="AC1678" s="33">
        <f t="shared" si="54"/>
        <v>1676</v>
      </c>
      <c r="AD1678" s="35" t="str">
        <f t="shared" si="55"/>
        <v/>
      </c>
    </row>
    <row r="1679" spans="29:30" x14ac:dyDescent="0.25">
      <c r="AC1679" s="33">
        <f t="shared" si="54"/>
        <v>1677</v>
      </c>
      <c r="AD1679" s="35" t="str">
        <f t="shared" si="55"/>
        <v/>
      </c>
    </row>
    <row r="1680" spans="29:30" x14ac:dyDescent="0.25">
      <c r="AC1680" s="33">
        <f t="shared" si="54"/>
        <v>1678</v>
      </c>
      <c r="AD1680" s="35" t="str">
        <f t="shared" si="55"/>
        <v/>
      </c>
    </row>
    <row r="1681" spans="29:30" x14ac:dyDescent="0.25">
      <c r="AC1681" s="33">
        <f t="shared" si="54"/>
        <v>1679</v>
      </c>
      <c r="AD1681" s="35" t="str">
        <f t="shared" si="55"/>
        <v/>
      </c>
    </row>
    <row r="1682" spans="29:30" x14ac:dyDescent="0.25">
      <c r="AC1682" s="33">
        <f t="shared" si="54"/>
        <v>1680</v>
      </c>
      <c r="AD1682" s="35" t="str">
        <f t="shared" si="55"/>
        <v/>
      </c>
    </row>
    <row r="1683" spans="29:30" x14ac:dyDescent="0.25">
      <c r="AC1683" s="33">
        <f t="shared" si="54"/>
        <v>1681</v>
      </c>
      <c r="AD1683" s="35" t="str">
        <f t="shared" si="55"/>
        <v/>
      </c>
    </row>
    <row r="1684" spans="29:30" x14ac:dyDescent="0.25">
      <c r="AC1684" s="33">
        <f t="shared" si="54"/>
        <v>1682</v>
      </c>
      <c r="AD1684" s="35" t="str">
        <f t="shared" si="55"/>
        <v/>
      </c>
    </row>
    <row r="1685" spans="29:30" x14ac:dyDescent="0.25">
      <c r="AC1685" s="33">
        <f t="shared" si="54"/>
        <v>1683</v>
      </c>
      <c r="AD1685" s="35" t="str">
        <f t="shared" si="55"/>
        <v/>
      </c>
    </row>
    <row r="1686" spans="29:30" x14ac:dyDescent="0.25">
      <c r="AC1686" s="33">
        <f t="shared" si="54"/>
        <v>1684</v>
      </c>
      <c r="AD1686" s="35" t="str">
        <f t="shared" si="55"/>
        <v/>
      </c>
    </row>
    <row r="1687" spans="29:30" x14ac:dyDescent="0.25">
      <c r="AC1687" s="33">
        <f t="shared" si="54"/>
        <v>1685</v>
      </c>
      <c r="AD1687" s="35" t="str">
        <f t="shared" si="55"/>
        <v/>
      </c>
    </row>
    <row r="1688" spans="29:30" x14ac:dyDescent="0.25">
      <c r="AC1688" s="33">
        <f t="shared" si="54"/>
        <v>1686</v>
      </c>
      <c r="AD1688" s="35" t="str">
        <f t="shared" si="55"/>
        <v/>
      </c>
    </row>
    <row r="1689" spans="29:30" x14ac:dyDescent="0.25">
      <c r="AC1689" s="33">
        <f t="shared" si="54"/>
        <v>1687</v>
      </c>
      <c r="AD1689" s="35" t="str">
        <f t="shared" si="55"/>
        <v/>
      </c>
    </row>
    <row r="1690" spans="29:30" x14ac:dyDescent="0.25">
      <c r="AC1690" s="33">
        <f t="shared" si="54"/>
        <v>1688</v>
      </c>
      <c r="AD1690" s="35" t="str">
        <f t="shared" si="55"/>
        <v/>
      </c>
    </row>
    <row r="1691" spans="29:30" x14ac:dyDescent="0.25">
      <c r="AC1691" s="33">
        <f t="shared" si="54"/>
        <v>1689</v>
      </c>
      <c r="AD1691" s="35" t="str">
        <f t="shared" si="55"/>
        <v/>
      </c>
    </row>
    <row r="1692" spans="29:30" x14ac:dyDescent="0.25">
      <c r="AC1692" s="33">
        <f t="shared" si="54"/>
        <v>1690</v>
      </c>
      <c r="AD1692" s="35" t="str">
        <f t="shared" si="55"/>
        <v/>
      </c>
    </row>
    <row r="1693" spans="29:30" x14ac:dyDescent="0.25">
      <c r="AC1693" s="33">
        <f t="shared" si="54"/>
        <v>1691</v>
      </c>
      <c r="AD1693" s="35" t="str">
        <f t="shared" si="55"/>
        <v/>
      </c>
    </row>
    <row r="1694" spans="29:30" x14ac:dyDescent="0.25">
      <c r="AC1694" s="33">
        <f t="shared" si="54"/>
        <v>1692</v>
      </c>
      <c r="AD1694" s="35" t="str">
        <f t="shared" si="55"/>
        <v/>
      </c>
    </row>
    <row r="1695" spans="29:30" x14ac:dyDescent="0.25">
      <c r="AC1695" s="33">
        <f t="shared" si="54"/>
        <v>1693</v>
      </c>
      <c r="AD1695" s="35" t="str">
        <f t="shared" si="55"/>
        <v/>
      </c>
    </row>
    <row r="1696" spans="29:30" x14ac:dyDescent="0.25">
      <c r="AC1696" s="33">
        <f t="shared" si="54"/>
        <v>1694</v>
      </c>
      <c r="AD1696" s="35" t="str">
        <f t="shared" si="55"/>
        <v/>
      </c>
    </row>
    <row r="1697" spans="29:30" x14ac:dyDescent="0.25">
      <c r="AC1697" s="33">
        <f t="shared" si="54"/>
        <v>1695</v>
      </c>
      <c r="AD1697" s="35" t="str">
        <f t="shared" si="55"/>
        <v/>
      </c>
    </row>
    <row r="1698" spans="29:30" x14ac:dyDescent="0.25">
      <c r="AC1698" s="33">
        <f t="shared" si="54"/>
        <v>1696</v>
      </c>
      <c r="AD1698" s="35" t="str">
        <f t="shared" si="55"/>
        <v/>
      </c>
    </row>
    <row r="1699" spans="29:30" x14ac:dyDescent="0.25">
      <c r="AC1699" s="33">
        <f t="shared" si="54"/>
        <v>1697</v>
      </c>
      <c r="AD1699" s="35" t="str">
        <f t="shared" si="55"/>
        <v/>
      </c>
    </row>
    <row r="1700" spans="29:30" x14ac:dyDescent="0.25">
      <c r="AC1700" s="33">
        <f t="shared" si="54"/>
        <v>1698</v>
      </c>
      <c r="AD1700" s="35" t="str">
        <f t="shared" si="55"/>
        <v/>
      </c>
    </row>
    <row r="1701" spans="29:30" x14ac:dyDescent="0.25">
      <c r="AC1701" s="33">
        <f t="shared" si="54"/>
        <v>1699</v>
      </c>
      <c r="AD1701" s="35" t="str">
        <f t="shared" si="55"/>
        <v/>
      </c>
    </row>
    <row r="1702" spans="29:30" x14ac:dyDescent="0.25">
      <c r="AC1702" s="33">
        <f t="shared" si="54"/>
        <v>1700</v>
      </c>
      <c r="AD1702" s="35" t="str">
        <f t="shared" si="55"/>
        <v/>
      </c>
    </row>
    <row r="1703" spans="29:30" x14ac:dyDescent="0.25">
      <c r="AC1703" s="33">
        <f t="shared" si="54"/>
        <v>1701</v>
      </c>
      <c r="AD1703" s="35" t="str">
        <f t="shared" si="55"/>
        <v/>
      </c>
    </row>
    <row r="1704" spans="29:30" x14ac:dyDescent="0.25">
      <c r="AC1704" s="33">
        <f t="shared" si="54"/>
        <v>1702</v>
      </c>
      <c r="AD1704" s="35" t="str">
        <f t="shared" si="55"/>
        <v/>
      </c>
    </row>
    <row r="1705" spans="29:30" x14ac:dyDescent="0.25">
      <c r="AC1705" s="33">
        <f t="shared" si="54"/>
        <v>1703</v>
      </c>
      <c r="AD1705" s="35" t="str">
        <f t="shared" si="55"/>
        <v/>
      </c>
    </row>
    <row r="1706" spans="29:30" x14ac:dyDescent="0.25">
      <c r="AC1706" s="33">
        <f t="shared" si="54"/>
        <v>1704</v>
      </c>
      <c r="AD1706" s="35" t="str">
        <f t="shared" si="55"/>
        <v/>
      </c>
    </row>
    <row r="1707" spans="29:30" x14ac:dyDescent="0.25">
      <c r="AC1707" s="33">
        <f t="shared" si="54"/>
        <v>1705</v>
      </c>
      <c r="AD1707" s="35" t="str">
        <f t="shared" si="55"/>
        <v/>
      </c>
    </row>
    <row r="1708" spans="29:30" x14ac:dyDescent="0.25">
      <c r="AC1708" s="33">
        <f t="shared" si="54"/>
        <v>1706</v>
      </c>
      <c r="AD1708" s="35" t="str">
        <f t="shared" si="55"/>
        <v/>
      </c>
    </row>
    <row r="1709" spans="29:30" x14ac:dyDescent="0.25">
      <c r="AC1709" s="33">
        <f t="shared" si="54"/>
        <v>1707</v>
      </c>
      <c r="AD1709" s="35" t="str">
        <f t="shared" si="55"/>
        <v/>
      </c>
    </row>
    <row r="1710" spans="29:30" x14ac:dyDescent="0.25">
      <c r="AC1710" s="33">
        <f t="shared" si="54"/>
        <v>1708</v>
      </c>
      <c r="AD1710" s="35" t="str">
        <f t="shared" si="55"/>
        <v/>
      </c>
    </row>
    <row r="1711" spans="29:30" x14ac:dyDescent="0.25">
      <c r="AC1711" s="33">
        <f t="shared" si="54"/>
        <v>1709</v>
      </c>
      <c r="AD1711" s="35" t="str">
        <f t="shared" si="55"/>
        <v/>
      </c>
    </row>
    <row r="1712" spans="29:30" x14ac:dyDescent="0.25">
      <c r="AC1712" s="33">
        <f t="shared" si="54"/>
        <v>1710</v>
      </c>
      <c r="AD1712" s="35" t="str">
        <f t="shared" si="55"/>
        <v/>
      </c>
    </row>
    <row r="1713" spans="29:30" x14ac:dyDescent="0.25">
      <c r="AC1713" s="33">
        <f t="shared" si="54"/>
        <v>1711</v>
      </c>
      <c r="AD1713" s="35" t="str">
        <f t="shared" si="55"/>
        <v/>
      </c>
    </row>
    <row r="1714" spans="29:30" x14ac:dyDescent="0.25">
      <c r="AC1714" s="33">
        <f t="shared" si="54"/>
        <v>1712</v>
      </c>
      <c r="AD1714" s="35" t="str">
        <f t="shared" si="55"/>
        <v/>
      </c>
    </row>
    <row r="1715" spans="29:30" x14ac:dyDescent="0.25">
      <c r="AC1715" s="33">
        <f t="shared" si="54"/>
        <v>1713</v>
      </c>
      <c r="AD1715" s="35" t="str">
        <f t="shared" si="55"/>
        <v/>
      </c>
    </row>
    <row r="1716" spans="29:30" x14ac:dyDescent="0.25">
      <c r="AC1716" s="33">
        <f t="shared" si="54"/>
        <v>1714</v>
      </c>
      <c r="AD1716" s="35" t="str">
        <f t="shared" si="55"/>
        <v/>
      </c>
    </row>
    <row r="1717" spans="29:30" x14ac:dyDescent="0.25">
      <c r="AC1717" s="33">
        <f t="shared" si="54"/>
        <v>1715</v>
      </c>
      <c r="AD1717" s="35" t="str">
        <f t="shared" si="55"/>
        <v/>
      </c>
    </row>
    <row r="1718" spans="29:30" x14ac:dyDescent="0.25">
      <c r="AC1718" s="33">
        <f t="shared" si="54"/>
        <v>1716</v>
      </c>
      <c r="AD1718" s="35" t="str">
        <f t="shared" si="55"/>
        <v/>
      </c>
    </row>
    <row r="1719" spans="29:30" x14ac:dyDescent="0.25">
      <c r="AC1719" s="33">
        <f t="shared" si="54"/>
        <v>1717</v>
      </c>
      <c r="AD1719" s="35" t="str">
        <f t="shared" si="55"/>
        <v/>
      </c>
    </row>
    <row r="1720" spans="29:30" x14ac:dyDescent="0.25">
      <c r="AC1720" s="33">
        <f t="shared" si="54"/>
        <v>1718</v>
      </c>
      <c r="AD1720" s="35" t="str">
        <f t="shared" si="55"/>
        <v/>
      </c>
    </row>
    <row r="1721" spans="29:30" x14ac:dyDescent="0.25">
      <c r="AC1721" s="33">
        <f t="shared" si="54"/>
        <v>1719</v>
      </c>
      <c r="AD1721" s="35" t="str">
        <f t="shared" si="55"/>
        <v/>
      </c>
    </row>
    <row r="1722" spans="29:30" x14ac:dyDescent="0.25">
      <c r="AC1722" s="33">
        <f t="shared" si="54"/>
        <v>1720</v>
      </c>
      <c r="AD1722" s="35" t="str">
        <f t="shared" si="55"/>
        <v/>
      </c>
    </row>
    <row r="1723" spans="29:30" x14ac:dyDescent="0.25">
      <c r="AC1723" s="33">
        <f t="shared" ref="AC1723:AC1786" si="56">AC1722+1</f>
        <v>1721</v>
      </c>
      <c r="AD1723" s="35" t="str">
        <f t="shared" si="55"/>
        <v/>
      </c>
    </row>
    <row r="1724" spans="29:30" x14ac:dyDescent="0.25">
      <c r="AC1724" s="33">
        <f t="shared" si="56"/>
        <v>1722</v>
      </c>
      <c r="AD1724" s="35" t="str">
        <f t="shared" si="55"/>
        <v/>
      </c>
    </row>
    <row r="1725" spans="29:30" x14ac:dyDescent="0.25">
      <c r="AC1725" s="33">
        <f t="shared" si="56"/>
        <v>1723</v>
      </c>
      <c r="AD1725" s="35" t="str">
        <f t="shared" si="55"/>
        <v/>
      </c>
    </row>
    <row r="1726" spans="29:30" x14ac:dyDescent="0.25">
      <c r="AC1726" s="33">
        <f t="shared" si="56"/>
        <v>1724</v>
      </c>
      <c r="AD1726" s="35" t="str">
        <f t="shared" si="55"/>
        <v/>
      </c>
    </row>
    <row r="1727" spans="29:30" x14ac:dyDescent="0.25">
      <c r="AC1727" s="33">
        <f t="shared" si="56"/>
        <v>1725</v>
      </c>
      <c r="AD1727" s="35" t="str">
        <f t="shared" si="55"/>
        <v/>
      </c>
    </row>
    <row r="1728" spans="29:30" x14ac:dyDescent="0.25">
      <c r="AC1728" s="33">
        <f t="shared" si="56"/>
        <v>1726</v>
      </c>
      <c r="AD1728" s="35" t="str">
        <f t="shared" si="55"/>
        <v/>
      </c>
    </row>
    <row r="1729" spans="29:30" x14ac:dyDescent="0.25">
      <c r="AC1729" s="33">
        <f t="shared" si="56"/>
        <v>1727</v>
      </c>
      <c r="AD1729" s="35" t="str">
        <f t="shared" si="55"/>
        <v/>
      </c>
    </row>
    <row r="1730" spans="29:30" x14ac:dyDescent="0.25">
      <c r="AC1730" s="33">
        <f t="shared" si="56"/>
        <v>1728</v>
      </c>
      <c r="AD1730" s="35" t="str">
        <f t="shared" si="55"/>
        <v/>
      </c>
    </row>
    <row r="1731" spans="29:30" x14ac:dyDescent="0.25">
      <c r="AC1731" s="33">
        <f t="shared" si="56"/>
        <v>1729</v>
      </c>
      <c r="AD1731" s="35" t="str">
        <f t="shared" si="55"/>
        <v/>
      </c>
    </row>
    <row r="1732" spans="29:30" x14ac:dyDescent="0.25">
      <c r="AC1732" s="33">
        <f t="shared" si="56"/>
        <v>1730</v>
      </c>
      <c r="AD1732" s="35" t="str">
        <f t="shared" si="55"/>
        <v/>
      </c>
    </row>
    <row r="1733" spans="29:30" x14ac:dyDescent="0.25">
      <c r="AC1733" s="33">
        <f t="shared" si="56"/>
        <v>1731</v>
      </c>
      <c r="AD1733" s="35" t="str">
        <f t="shared" si="55"/>
        <v/>
      </c>
    </row>
    <row r="1734" spans="29:30" x14ac:dyDescent="0.25">
      <c r="AC1734" s="33">
        <f t="shared" si="56"/>
        <v>1732</v>
      </c>
      <c r="AD1734" s="35" t="str">
        <f t="shared" si="55"/>
        <v/>
      </c>
    </row>
    <row r="1735" spans="29:30" x14ac:dyDescent="0.25">
      <c r="AC1735" s="33">
        <f t="shared" si="56"/>
        <v>1733</v>
      </c>
      <c r="AD1735" s="35" t="str">
        <f t="shared" si="55"/>
        <v/>
      </c>
    </row>
    <row r="1736" spans="29:30" x14ac:dyDescent="0.25">
      <c r="AC1736" s="33">
        <f t="shared" si="56"/>
        <v>1734</v>
      </c>
      <c r="AD1736" s="35" t="str">
        <f t="shared" ref="AD1736:AD1799" si="57">IF(AD1735&gt;AD$2,"",EOMONTH(AD1735,1))</f>
        <v/>
      </c>
    </row>
    <row r="1737" spans="29:30" x14ac:dyDescent="0.25">
      <c r="AC1737" s="33">
        <f t="shared" si="56"/>
        <v>1735</v>
      </c>
      <c r="AD1737" s="35" t="str">
        <f t="shared" si="57"/>
        <v/>
      </c>
    </row>
    <row r="1738" spans="29:30" x14ac:dyDescent="0.25">
      <c r="AC1738" s="33">
        <f t="shared" si="56"/>
        <v>1736</v>
      </c>
      <c r="AD1738" s="35" t="str">
        <f t="shared" si="57"/>
        <v/>
      </c>
    </row>
    <row r="1739" spans="29:30" x14ac:dyDescent="0.25">
      <c r="AC1739" s="33">
        <f t="shared" si="56"/>
        <v>1737</v>
      </c>
      <c r="AD1739" s="35" t="str">
        <f t="shared" si="57"/>
        <v/>
      </c>
    </row>
    <row r="1740" spans="29:30" x14ac:dyDescent="0.25">
      <c r="AC1740" s="33">
        <f t="shared" si="56"/>
        <v>1738</v>
      </c>
      <c r="AD1740" s="35" t="str">
        <f t="shared" si="57"/>
        <v/>
      </c>
    </row>
    <row r="1741" spans="29:30" x14ac:dyDescent="0.25">
      <c r="AC1741" s="33">
        <f t="shared" si="56"/>
        <v>1739</v>
      </c>
      <c r="AD1741" s="35" t="str">
        <f t="shared" si="57"/>
        <v/>
      </c>
    </row>
    <row r="1742" spans="29:30" x14ac:dyDescent="0.25">
      <c r="AC1742" s="33">
        <f t="shared" si="56"/>
        <v>1740</v>
      </c>
      <c r="AD1742" s="35" t="str">
        <f t="shared" si="57"/>
        <v/>
      </c>
    </row>
    <row r="1743" spans="29:30" x14ac:dyDescent="0.25">
      <c r="AC1743" s="33">
        <f t="shared" si="56"/>
        <v>1741</v>
      </c>
      <c r="AD1743" s="35" t="str">
        <f t="shared" si="57"/>
        <v/>
      </c>
    </row>
    <row r="1744" spans="29:30" x14ac:dyDescent="0.25">
      <c r="AC1744" s="33">
        <f t="shared" si="56"/>
        <v>1742</v>
      </c>
      <c r="AD1744" s="35" t="str">
        <f t="shared" si="57"/>
        <v/>
      </c>
    </row>
    <row r="1745" spans="29:30" x14ac:dyDescent="0.25">
      <c r="AC1745" s="33">
        <f t="shared" si="56"/>
        <v>1743</v>
      </c>
      <c r="AD1745" s="35" t="str">
        <f t="shared" si="57"/>
        <v/>
      </c>
    </row>
    <row r="1746" spans="29:30" x14ac:dyDescent="0.25">
      <c r="AC1746" s="33">
        <f t="shared" si="56"/>
        <v>1744</v>
      </c>
      <c r="AD1746" s="35" t="str">
        <f t="shared" si="57"/>
        <v/>
      </c>
    </row>
    <row r="1747" spans="29:30" x14ac:dyDescent="0.25">
      <c r="AC1747" s="33">
        <f t="shared" si="56"/>
        <v>1745</v>
      </c>
      <c r="AD1747" s="35" t="str">
        <f t="shared" si="57"/>
        <v/>
      </c>
    </row>
    <row r="1748" spans="29:30" x14ac:dyDescent="0.25">
      <c r="AC1748" s="33">
        <f t="shared" si="56"/>
        <v>1746</v>
      </c>
      <c r="AD1748" s="35" t="str">
        <f t="shared" si="57"/>
        <v/>
      </c>
    </row>
    <row r="1749" spans="29:30" x14ac:dyDescent="0.25">
      <c r="AC1749" s="33">
        <f t="shared" si="56"/>
        <v>1747</v>
      </c>
      <c r="AD1749" s="35" t="str">
        <f t="shared" si="57"/>
        <v/>
      </c>
    </row>
    <row r="1750" spans="29:30" x14ac:dyDescent="0.25">
      <c r="AC1750" s="33">
        <f t="shared" si="56"/>
        <v>1748</v>
      </c>
      <c r="AD1750" s="35" t="str">
        <f t="shared" si="57"/>
        <v/>
      </c>
    </row>
    <row r="1751" spans="29:30" x14ac:dyDescent="0.25">
      <c r="AC1751" s="33">
        <f t="shared" si="56"/>
        <v>1749</v>
      </c>
      <c r="AD1751" s="35" t="str">
        <f t="shared" si="57"/>
        <v/>
      </c>
    </row>
    <row r="1752" spans="29:30" x14ac:dyDescent="0.25">
      <c r="AC1752" s="33">
        <f t="shared" si="56"/>
        <v>1750</v>
      </c>
      <c r="AD1752" s="35" t="str">
        <f t="shared" si="57"/>
        <v/>
      </c>
    </row>
    <row r="1753" spans="29:30" x14ac:dyDescent="0.25">
      <c r="AC1753" s="33">
        <f t="shared" si="56"/>
        <v>1751</v>
      </c>
      <c r="AD1753" s="35" t="str">
        <f t="shared" si="57"/>
        <v/>
      </c>
    </row>
    <row r="1754" spans="29:30" x14ac:dyDescent="0.25">
      <c r="AC1754" s="33">
        <f t="shared" si="56"/>
        <v>1752</v>
      </c>
      <c r="AD1754" s="35" t="str">
        <f t="shared" si="57"/>
        <v/>
      </c>
    </row>
    <row r="1755" spans="29:30" x14ac:dyDescent="0.25">
      <c r="AC1755" s="33">
        <f t="shared" si="56"/>
        <v>1753</v>
      </c>
      <c r="AD1755" s="35" t="str">
        <f t="shared" si="57"/>
        <v/>
      </c>
    </row>
    <row r="1756" spans="29:30" x14ac:dyDescent="0.25">
      <c r="AC1756" s="33">
        <f t="shared" si="56"/>
        <v>1754</v>
      </c>
      <c r="AD1756" s="35" t="str">
        <f t="shared" si="57"/>
        <v/>
      </c>
    </row>
    <row r="1757" spans="29:30" x14ac:dyDescent="0.25">
      <c r="AC1757" s="33">
        <f t="shared" si="56"/>
        <v>1755</v>
      </c>
      <c r="AD1757" s="35" t="str">
        <f t="shared" si="57"/>
        <v/>
      </c>
    </row>
    <row r="1758" spans="29:30" x14ac:dyDescent="0.25">
      <c r="AC1758" s="33">
        <f t="shared" si="56"/>
        <v>1756</v>
      </c>
      <c r="AD1758" s="35" t="str">
        <f t="shared" si="57"/>
        <v/>
      </c>
    </row>
    <row r="1759" spans="29:30" x14ac:dyDescent="0.25">
      <c r="AC1759" s="33">
        <f t="shared" si="56"/>
        <v>1757</v>
      </c>
      <c r="AD1759" s="35" t="str">
        <f t="shared" si="57"/>
        <v/>
      </c>
    </row>
    <row r="1760" spans="29:30" x14ac:dyDescent="0.25">
      <c r="AC1760" s="33">
        <f t="shared" si="56"/>
        <v>1758</v>
      </c>
      <c r="AD1760" s="35" t="str">
        <f t="shared" si="57"/>
        <v/>
      </c>
    </row>
    <row r="1761" spans="29:30" x14ac:dyDescent="0.25">
      <c r="AC1761" s="33">
        <f t="shared" si="56"/>
        <v>1759</v>
      </c>
      <c r="AD1761" s="35" t="str">
        <f t="shared" si="57"/>
        <v/>
      </c>
    </row>
    <row r="1762" spans="29:30" x14ac:dyDescent="0.25">
      <c r="AC1762" s="33">
        <f t="shared" si="56"/>
        <v>1760</v>
      </c>
      <c r="AD1762" s="35" t="str">
        <f t="shared" si="57"/>
        <v/>
      </c>
    </row>
    <row r="1763" spans="29:30" x14ac:dyDescent="0.25">
      <c r="AC1763" s="33">
        <f t="shared" si="56"/>
        <v>1761</v>
      </c>
      <c r="AD1763" s="35" t="str">
        <f t="shared" si="57"/>
        <v/>
      </c>
    </row>
    <row r="1764" spans="29:30" x14ac:dyDescent="0.25">
      <c r="AC1764" s="33">
        <f t="shared" si="56"/>
        <v>1762</v>
      </c>
      <c r="AD1764" s="35" t="str">
        <f t="shared" si="57"/>
        <v/>
      </c>
    </row>
    <row r="1765" spans="29:30" x14ac:dyDescent="0.25">
      <c r="AC1765" s="33">
        <f t="shared" si="56"/>
        <v>1763</v>
      </c>
      <c r="AD1765" s="35" t="str">
        <f t="shared" si="57"/>
        <v/>
      </c>
    </row>
    <row r="1766" spans="29:30" x14ac:dyDescent="0.25">
      <c r="AC1766" s="33">
        <f t="shared" si="56"/>
        <v>1764</v>
      </c>
      <c r="AD1766" s="35" t="str">
        <f t="shared" si="57"/>
        <v/>
      </c>
    </row>
    <row r="1767" spans="29:30" x14ac:dyDescent="0.25">
      <c r="AC1767" s="33">
        <f t="shared" si="56"/>
        <v>1765</v>
      </c>
      <c r="AD1767" s="35" t="str">
        <f t="shared" si="57"/>
        <v/>
      </c>
    </row>
    <row r="1768" spans="29:30" x14ac:dyDescent="0.25">
      <c r="AC1768" s="33">
        <f t="shared" si="56"/>
        <v>1766</v>
      </c>
      <c r="AD1768" s="35" t="str">
        <f t="shared" si="57"/>
        <v/>
      </c>
    </row>
    <row r="1769" spans="29:30" x14ac:dyDescent="0.25">
      <c r="AC1769" s="33">
        <f t="shared" si="56"/>
        <v>1767</v>
      </c>
      <c r="AD1769" s="35" t="str">
        <f t="shared" si="57"/>
        <v/>
      </c>
    </row>
    <row r="1770" spans="29:30" x14ac:dyDescent="0.25">
      <c r="AC1770" s="33">
        <f t="shared" si="56"/>
        <v>1768</v>
      </c>
      <c r="AD1770" s="35" t="str">
        <f t="shared" si="57"/>
        <v/>
      </c>
    </row>
    <row r="1771" spans="29:30" x14ac:dyDescent="0.25">
      <c r="AC1771" s="33">
        <f t="shared" si="56"/>
        <v>1769</v>
      </c>
      <c r="AD1771" s="35" t="str">
        <f t="shared" si="57"/>
        <v/>
      </c>
    </row>
    <row r="1772" spans="29:30" x14ac:dyDescent="0.25">
      <c r="AC1772" s="33">
        <f t="shared" si="56"/>
        <v>1770</v>
      </c>
      <c r="AD1772" s="35" t="str">
        <f t="shared" si="57"/>
        <v/>
      </c>
    </row>
    <row r="1773" spans="29:30" x14ac:dyDescent="0.25">
      <c r="AC1773" s="33">
        <f t="shared" si="56"/>
        <v>1771</v>
      </c>
      <c r="AD1773" s="35" t="str">
        <f t="shared" si="57"/>
        <v/>
      </c>
    </row>
    <row r="1774" spans="29:30" x14ac:dyDescent="0.25">
      <c r="AC1774" s="33">
        <f t="shared" si="56"/>
        <v>1772</v>
      </c>
      <c r="AD1774" s="35" t="str">
        <f t="shared" si="57"/>
        <v/>
      </c>
    </row>
    <row r="1775" spans="29:30" x14ac:dyDescent="0.25">
      <c r="AC1775" s="33">
        <f t="shared" si="56"/>
        <v>1773</v>
      </c>
      <c r="AD1775" s="35" t="str">
        <f t="shared" si="57"/>
        <v/>
      </c>
    </row>
    <row r="1776" spans="29:30" x14ac:dyDescent="0.25">
      <c r="AC1776" s="33">
        <f t="shared" si="56"/>
        <v>1774</v>
      </c>
      <c r="AD1776" s="35" t="str">
        <f t="shared" si="57"/>
        <v/>
      </c>
    </row>
    <row r="1777" spans="29:30" x14ac:dyDescent="0.25">
      <c r="AC1777" s="33">
        <f t="shared" si="56"/>
        <v>1775</v>
      </c>
      <c r="AD1777" s="35" t="str">
        <f t="shared" si="57"/>
        <v/>
      </c>
    </row>
    <row r="1778" spans="29:30" x14ac:dyDescent="0.25">
      <c r="AC1778" s="33">
        <f t="shared" si="56"/>
        <v>1776</v>
      </c>
      <c r="AD1778" s="35" t="str">
        <f t="shared" si="57"/>
        <v/>
      </c>
    </row>
    <row r="1779" spans="29:30" x14ac:dyDescent="0.25">
      <c r="AC1779" s="33">
        <f t="shared" si="56"/>
        <v>1777</v>
      </c>
      <c r="AD1779" s="35" t="str">
        <f t="shared" si="57"/>
        <v/>
      </c>
    </row>
    <row r="1780" spans="29:30" x14ac:dyDescent="0.25">
      <c r="AC1780" s="33">
        <f t="shared" si="56"/>
        <v>1778</v>
      </c>
      <c r="AD1780" s="35" t="str">
        <f t="shared" si="57"/>
        <v/>
      </c>
    </row>
    <row r="1781" spans="29:30" x14ac:dyDescent="0.25">
      <c r="AC1781" s="33">
        <f t="shared" si="56"/>
        <v>1779</v>
      </c>
      <c r="AD1781" s="35" t="str">
        <f t="shared" si="57"/>
        <v/>
      </c>
    </row>
    <row r="1782" spans="29:30" x14ac:dyDescent="0.25">
      <c r="AC1782" s="33">
        <f t="shared" si="56"/>
        <v>1780</v>
      </c>
      <c r="AD1782" s="35" t="str">
        <f t="shared" si="57"/>
        <v/>
      </c>
    </row>
    <row r="1783" spans="29:30" x14ac:dyDescent="0.25">
      <c r="AC1783" s="33">
        <f t="shared" si="56"/>
        <v>1781</v>
      </c>
      <c r="AD1783" s="35" t="str">
        <f t="shared" si="57"/>
        <v/>
      </c>
    </row>
    <row r="1784" spans="29:30" x14ac:dyDescent="0.25">
      <c r="AC1784" s="33">
        <f t="shared" si="56"/>
        <v>1782</v>
      </c>
      <c r="AD1784" s="35" t="str">
        <f t="shared" si="57"/>
        <v/>
      </c>
    </row>
    <row r="1785" spans="29:30" x14ac:dyDescent="0.25">
      <c r="AC1785" s="33">
        <f t="shared" si="56"/>
        <v>1783</v>
      </c>
      <c r="AD1785" s="35" t="str">
        <f t="shared" si="57"/>
        <v/>
      </c>
    </row>
    <row r="1786" spans="29:30" x14ac:dyDescent="0.25">
      <c r="AC1786" s="33">
        <f t="shared" si="56"/>
        <v>1784</v>
      </c>
      <c r="AD1786" s="35" t="str">
        <f t="shared" si="57"/>
        <v/>
      </c>
    </row>
    <row r="1787" spans="29:30" x14ac:dyDescent="0.25">
      <c r="AC1787" s="33">
        <f t="shared" ref="AC1787:AC1850" si="58">AC1786+1</f>
        <v>1785</v>
      </c>
      <c r="AD1787" s="35" t="str">
        <f t="shared" si="57"/>
        <v/>
      </c>
    </row>
    <row r="1788" spans="29:30" x14ac:dyDescent="0.25">
      <c r="AC1788" s="33">
        <f t="shared" si="58"/>
        <v>1786</v>
      </c>
      <c r="AD1788" s="35" t="str">
        <f t="shared" si="57"/>
        <v/>
      </c>
    </row>
    <row r="1789" spans="29:30" x14ac:dyDescent="0.25">
      <c r="AC1789" s="33">
        <f t="shared" si="58"/>
        <v>1787</v>
      </c>
      <c r="AD1789" s="35" t="str">
        <f t="shared" si="57"/>
        <v/>
      </c>
    </row>
    <row r="1790" spans="29:30" x14ac:dyDescent="0.25">
      <c r="AC1790" s="33">
        <f t="shared" si="58"/>
        <v>1788</v>
      </c>
      <c r="AD1790" s="35" t="str">
        <f t="shared" si="57"/>
        <v/>
      </c>
    </row>
    <row r="1791" spans="29:30" x14ac:dyDescent="0.25">
      <c r="AC1791" s="33">
        <f t="shared" si="58"/>
        <v>1789</v>
      </c>
      <c r="AD1791" s="35" t="str">
        <f t="shared" si="57"/>
        <v/>
      </c>
    </row>
    <row r="1792" spans="29:30" x14ac:dyDescent="0.25">
      <c r="AC1792" s="33">
        <f t="shared" si="58"/>
        <v>1790</v>
      </c>
      <c r="AD1792" s="35" t="str">
        <f t="shared" si="57"/>
        <v/>
      </c>
    </row>
    <row r="1793" spans="29:30" x14ac:dyDescent="0.25">
      <c r="AC1793" s="33">
        <f t="shared" si="58"/>
        <v>1791</v>
      </c>
      <c r="AD1793" s="35" t="str">
        <f t="shared" si="57"/>
        <v/>
      </c>
    </row>
    <row r="1794" spans="29:30" x14ac:dyDescent="0.25">
      <c r="AC1794" s="33">
        <f t="shared" si="58"/>
        <v>1792</v>
      </c>
      <c r="AD1794" s="35" t="str">
        <f t="shared" si="57"/>
        <v/>
      </c>
    </row>
    <row r="1795" spans="29:30" x14ac:dyDescent="0.25">
      <c r="AC1795" s="33">
        <f t="shared" si="58"/>
        <v>1793</v>
      </c>
      <c r="AD1795" s="35" t="str">
        <f t="shared" si="57"/>
        <v/>
      </c>
    </row>
    <row r="1796" spans="29:30" x14ac:dyDescent="0.25">
      <c r="AC1796" s="33">
        <f t="shared" si="58"/>
        <v>1794</v>
      </c>
      <c r="AD1796" s="35" t="str">
        <f t="shared" si="57"/>
        <v/>
      </c>
    </row>
    <row r="1797" spans="29:30" x14ac:dyDescent="0.25">
      <c r="AC1797" s="33">
        <f t="shared" si="58"/>
        <v>1795</v>
      </c>
      <c r="AD1797" s="35" t="str">
        <f t="shared" si="57"/>
        <v/>
      </c>
    </row>
    <row r="1798" spans="29:30" x14ac:dyDescent="0.25">
      <c r="AC1798" s="33">
        <f t="shared" si="58"/>
        <v>1796</v>
      </c>
      <c r="AD1798" s="35" t="str">
        <f t="shared" si="57"/>
        <v/>
      </c>
    </row>
    <row r="1799" spans="29:30" x14ac:dyDescent="0.25">
      <c r="AC1799" s="33">
        <f t="shared" si="58"/>
        <v>1797</v>
      </c>
      <c r="AD1799" s="35" t="str">
        <f t="shared" si="57"/>
        <v/>
      </c>
    </row>
    <row r="1800" spans="29:30" x14ac:dyDescent="0.25">
      <c r="AC1800" s="33">
        <f t="shared" si="58"/>
        <v>1798</v>
      </c>
      <c r="AD1800" s="35" t="str">
        <f t="shared" ref="AD1800:AD1863" si="59">IF(AD1799&gt;AD$2,"",EOMONTH(AD1799,1))</f>
        <v/>
      </c>
    </row>
    <row r="1801" spans="29:30" x14ac:dyDescent="0.25">
      <c r="AC1801" s="33">
        <f t="shared" si="58"/>
        <v>1799</v>
      </c>
      <c r="AD1801" s="35" t="str">
        <f t="shared" si="59"/>
        <v/>
      </c>
    </row>
    <row r="1802" spans="29:30" x14ac:dyDescent="0.25">
      <c r="AC1802" s="33">
        <f t="shared" si="58"/>
        <v>1800</v>
      </c>
      <c r="AD1802" s="35" t="str">
        <f t="shared" si="59"/>
        <v/>
      </c>
    </row>
    <row r="1803" spans="29:30" x14ac:dyDescent="0.25">
      <c r="AC1803" s="33">
        <f t="shared" si="58"/>
        <v>1801</v>
      </c>
      <c r="AD1803" s="35" t="str">
        <f t="shared" si="59"/>
        <v/>
      </c>
    </row>
    <row r="1804" spans="29:30" x14ac:dyDescent="0.25">
      <c r="AC1804" s="33">
        <f t="shared" si="58"/>
        <v>1802</v>
      </c>
      <c r="AD1804" s="35" t="str">
        <f t="shared" si="59"/>
        <v/>
      </c>
    </row>
    <row r="1805" spans="29:30" x14ac:dyDescent="0.25">
      <c r="AC1805" s="33">
        <f t="shared" si="58"/>
        <v>1803</v>
      </c>
      <c r="AD1805" s="35" t="str">
        <f t="shared" si="59"/>
        <v/>
      </c>
    </row>
    <row r="1806" spans="29:30" x14ac:dyDescent="0.25">
      <c r="AC1806" s="33">
        <f t="shared" si="58"/>
        <v>1804</v>
      </c>
      <c r="AD1806" s="35" t="str">
        <f t="shared" si="59"/>
        <v/>
      </c>
    </row>
    <row r="1807" spans="29:30" x14ac:dyDescent="0.25">
      <c r="AC1807" s="33">
        <f t="shared" si="58"/>
        <v>1805</v>
      </c>
      <c r="AD1807" s="35" t="str">
        <f t="shared" si="59"/>
        <v/>
      </c>
    </row>
    <row r="1808" spans="29:30" x14ac:dyDescent="0.25">
      <c r="AC1808" s="33">
        <f t="shared" si="58"/>
        <v>1806</v>
      </c>
      <c r="AD1808" s="35" t="str">
        <f t="shared" si="59"/>
        <v/>
      </c>
    </row>
    <row r="1809" spans="29:30" x14ac:dyDescent="0.25">
      <c r="AC1809" s="33">
        <f t="shared" si="58"/>
        <v>1807</v>
      </c>
      <c r="AD1809" s="35" t="str">
        <f t="shared" si="59"/>
        <v/>
      </c>
    </row>
    <row r="1810" spans="29:30" x14ac:dyDescent="0.25">
      <c r="AC1810" s="33">
        <f t="shared" si="58"/>
        <v>1808</v>
      </c>
      <c r="AD1810" s="35" t="str">
        <f t="shared" si="59"/>
        <v/>
      </c>
    </row>
    <row r="1811" spans="29:30" x14ac:dyDescent="0.25">
      <c r="AC1811" s="33">
        <f t="shared" si="58"/>
        <v>1809</v>
      </c>
      <c r="AD1811" s="35" t="str">
        <f t="shared" si="59"/>
        <v/>
      </c>
    </row>
    <row r="1812" spans="29:30" x14ac:dyDescent="0.25">
      <c r="AC1812" s="33">
        <f t="shared" si="58"/>
        <v>1810</v>
      </c>
      <c r="AD1812" s="35" t="str">
        <f t="shared" si="59"/>
        <v/>
      </c>
    </row>
    <row r="1813" spans="29:30" x14ac:dyDescent="0.25">
      <c r="AC1813" s="33">
        <f t="shared" si="58"/>
        <v>1811</v>
      </c>
      <c r="AD1813" s="35" t="str">
        <f t="shared" si="59"/>
        <v/>
      </c>
    </row>
    <row r="1814" spans="29:30" x14ac:dyDescent="0.25">
      <c r="AC1814" s="33">
        <f t="shared" si="58"/>
        <v>1812</v>
      </c>
      <c r="AD1814" s="35" t="str">
        <f t="shared" si="59"/>
        <v/>
      </c>
    </row>
    <row r="1815" spans="29:30" x14ac:dyDescent="0.25">
      <c r="AC1815" s="33">
        <f t="shared" si="58"/>
        <v>1813</v>
      </c>
      <c r="AD1815" s="35" t="str">
        <f t="shared" si="59"/>
        <v/>
      </c>
    </row>
    <row r="1816" spans="29:30" x14ac:dyDescent="0.25">
      <c r="AC1816" s="33">
        <f t="shared" si="58"/>
        <v>1814</v>
      </c>
      <c r="AD1816" s="35" t="str">
        <f t="shared" si="59"/>
        <v/>
      </c>
    </row>
    <row r="1817" spans="29:30" x14ac:dyDescent="0.25">
      <c r="AC1817" s="33">
        <f t="shared" si="58"/>
        <v>1815</v>
      </c>
      <c r="AD1817" s="35" t="str">
        <f t="shared" si="59"/>
        <v/>
      </c>
    </row>
    <row r="1818" spans="29:30" x14ac:dyDescent="0.25">
      <c r="AC1818" s="33">
        <f t="shared" si="58"/>
        <v>1816</v>
      </c>
      <c r="AD1818" s="35" t="str">
        <f t="shared" si="59"/>
        <v/>
      </c>
    </row>
    <row r="1819" spans="29:30" x14ac:dyDescent="0.25">
      <c r="AC1819" s="33">
        <f t="shared" si="58"/>
        <v>1817</v>
      </c>
      <c r="AD1819" s="35" t="str">
        <f t="shared" si="59"/>
        <v/>
      </c>
    </row>
    <row r="1820" spans="29:30" x14ac:dyDescent="0.25">
      <c r="AC1820" s="33">
        <f t="shared" si="58"/>
        <v>1818</v>
      </c>
      <c r="AD1820" s="35" t="str">
        <f t="shared" si="59"/>
        <v/>
      </c>
    </row>
    <row r="1821" spans="29:30" x14ac:dyDescent="0.25">
      <c r="AC1821" s="33">
        <f t="shared" si="58"/>
        <v>1819</v>
      </c>
      <c r="AD1821" s="35" t="str">
        <f t="shared" si="59"/>
        <v/>
      </c>
    </row>
    <row r="1822" spans="29:30" x14ac:dyDescent="0.25">
      <c r="AC1822" s="33">
        <f t="shared" si="58"/>
        <v>1820</v>
      </c>
      <c r="AD1822" s="35" t="str">
        <f t="shared" si="59"/>
        <v/>
      </c>
    </row>
    <row r="1823" spans="29:30" x14ac:dyDescent="0.25">
      <c r="AC1823" s="33">
        <f t="shared" si="58"/>
        <v>1821</v>
      </c>
      <c r="AD1823" s="35" t="str">
        <f t="shared" si="59"/>
        <v/>
      </c>
    </row>
    <row r="1824" spans="29:30" x14ac:dyDescent="0.25">
      <c r="AC1824" s="33">
        <f t="shared" si="58"/>
        <v>1822</v>
      </c>
      <c r="AD1824" s="35" t="str">
        <f t="shared" si="59"/>
        <v/>
      </c>
    </row>
    <row r="1825" spans="29:30" x14ac:dyDescent="0.25">
      <c r="AC1825" s="33">
        <f t="shared" si="58"/>
        <v>1823</v>
      </c>
      <c r="AD1825" s="35" t="str">
        <f t="shared" si="59"/>
        <v/>
      </c>
    </row>
    <row r="1826" spans="29:30" x14ac:dyDescent="0.25">
      <c r="AC1826" s="33">
        <f t="shared" si="58"/>
        <v>1824</v>
      </c>
      <c r="AD1826" s="35" t="str">
        <f t="shared" si="59"/>
        <v/>
      </c>
    </row>
    <row r="1827" spans="29:30" x14ac:dyDescent="0.25">
      <c r="AC1827" s="33">
        <f t="shared" si="58"/>
        <v>1825</v>
      </c>
      <c r="AD1827" s="35" t="str">
        <f t="shared" si="59"/>
        <v/>
      </c>
    </row>
    <row r="1828" spans="29:30" x14ac:dyDescent="0.25">
      <c r="AC1828" s="33">
        <f t="shared" si="58"/>
        <v>1826</v>
      </c>
      <c r="AD1828" s="35" t="str">
        <f t="shared" si="59"/>
        <v/>
      </c>
    </row>
    <row r="1829" spans="29:30" x14ac:dyDescent="0.25">
      <c r="AC1829" s="33">
        <f t="shared" si="58"/>
        <v>1827</v>
      </c>
      <c r="AD1829" s="35" t="str">
        <f t="shared" si="59"/>
        <v/>
      </c>
    </row>
    <row r="1830" spans="29:30" x14ac:dyDescent="0.25">
      <c r="AC1830" s="33">
        <f t="shared" si="58"/>
        <v>1828</v>
      </c>
      <c r="AD1830" s="35" t="str">
        <f t="shared" si="59"/>
        <v/>
      </c>
    </row>
    <row r="1831" spans="29:30" x14ac:dyDescent="0.25">
      <c r="AC1831" s="33">
        <f t="shared" si="58"/>
        <v>1829</v>
      </c>
      <c r="AD1831" s="35" t="str">
        <f t="shared" si="59"/>
        <v/>
      </c>
    </row>
    <row r="1832" spans="29:30" x14ac:dyDescent="0.25">
      <c r="AC1832" s="33">
        <f t="shared" si="58"/>
        <v>1830</v>
      </c>
      <c r="AD1832" s="35" t="str">
        <f t="shared" si="59"/>
        <v/>
      </c>
    </row>
    <row r="1833" spans="29:30" x14ac:dyDescent="0.25">
      <c r="AC1833" s="33">
        <f t="shared" si="58"/>
        <v>1831</v>
      </c>
      <c r="AD1833" s="35" t="str">
        <f t="shared" si="59"/>
        <v/>
      </c>
    </row>
    <row r="1834" spans="29:30" x14ac:dyDescent="0.25">
      <c r="AC1834" s="33">
        <f t="shared" si="58"/>
        <v>1832</v>
      </c>
      <c r="AD1834" s="35" t="str">
        <f t="shared" si="59"/>
        <v/>
      </c>
    </row>
    <row r="1835" spans="29:30" x14ac:dyDescent="0.25">
      <c r="AC1835" s="33">
        <f t="shared" si="58"/>
        <v>1833</v>
      </c>
      <c r="AD1835" s="35" t="str">
        <f t="shared" si="59"/>
        <v/>
      </c>
    </row>
    <row r="1836" spans="29:30" x14ac:dyDescent="0.25">
      <c r="AC1836" s="33">
        <f t="shared" si="58"/>
        <v>1834</v>
      </c>
      <c r="AD1836" s="35" t="str">
        <f t="shared" si="59"/>
        <v/>
      </c>
    </row>
    <row r="1837" spans="29:30" x14ac:dyDescent="0.25">
      <c r="AC1837" s="33">
        <f t="shared" si="58"/>
        <v>1835</v>
      </c>
      <c r="AD1837" s="35" t="str">
        <f t="shared" si="59"/>
        <v/>
      </c>
    </row>
    <row r="1838" spans="29:30" x14ac:dyDescent="0.25">
      <c r="AC1838" s="33">
        <f t="shared" si="58"/>
        <v>1836</v>
      </c>
      <c r="AD1838" s="35" t="str">
        <f t="shared" si="59"/>
        <v/>
      </c>
    </row>
    <row r="1839" spans="29:30" x14ac:dyDescent="0.25">
      <c r="AC1839" s="33">
        <f t="shared" si="58"/>
        <v>1837</v>
      </c>
      <c r="AD1839" s="35" t="str">
        <f t="shared" si="59"/>
        <v/>
      </c>
    </row>
    <row r="1840" spans="29:30" x14ac:dyDescent="0.25">
      <c r="AC1840" s="33">
        <f t="shared" si="58"/>
        <v>1838</v>
      </c>
      <c r="AD1840" s="35" t="str">
        <f t="shared" si="59"/>
        <v/>
      </c>
    </row>
    <row r="1841" spans="29:30" x14ac:dyDescent="0.25">
      <c r="AC1841" s="33">
        <f t="shared" si="58"/>
        <v>1839</v>
      </c>
      <c r="AD1841" s="35" t="str">
        <f t="shared" si="59"/>
        <v/>
      </c>
    </row>
    <row r="1842" spans="29:30" x14ac:dyDescent="0.25">
      <c r="AC1842" s="33">
        <f t="shared" si="58"/>
        <v>1840</v>
      </c>
      <c r="AD1842" s="35" t="str">
        <f t="shared" si="59"/>
        <v/>
      </c>
    </row>
    <row r="1843" spans="29:30" x14ac:dyDescent="0.25">
      <c r="AC1843" s="33">
        <f t="shared" si="58"/>
        <v>1841</v>
      </c>
      <c r="AD1843" s="35" t="str">
        <f t="shared" si="59"/>
        <v/>
      </c>
    </row>
    <row r="1844" spans="29:30" x14ac:dyDescent="0.25">
      <c r="AC1844" s="33">
        <f t="shared" si="58"/>
        <v>1842</v>
      </c>
      <c r="AD1844" s="35" t="str">
        <f t="shared" si="59"/>
        <v/>
      </c>
    </row>
    <row r="1845" spans="29:30" x14ac:dyDescent="0.25">
      <c r="AC1845" s="33">
        <f t="shared" si="58"/>
        <v>1843</v>
      </c>
      <c r="AD1845" s="35" t="str">
        <f t="shared" si="59"/>
        <v/>
      </c>
    </row>
    <row r="1846" spans="29:30" x14ac:dyDescent="0.25">
      <c r="AC1846" s="33">
        <f t="shared" si="58"/>
        <v>1844</v>
      </c>
      <c r="AD1846" s="35" t="str">
        <f t="shared" si="59"/>
        <v/>
      </c>
    </row>
    <row r="1847" spans="29:30" x14ac:dyDescent="0.25">
      <c r="AC1847" s="33">
        <f t="shared" si="58"/>
        <v>1845</v>
      </c>
      <c r="AD1847" s="35" t="str">
        <f t="shared" si="59"/>
        <v/>
      </c>
    </row>
    <row r="1848" spans="29:30" x14ac:dyDescent="0.25">
      <c r="AC1848" s="33">
        <f t="shared" si="58"/>
        <v>1846</v>
      </c>
      <c r="AD1848" s="35" t="str">
        <f t="shared" si="59"/>
        <v/>
      </c>
    </row>
    <row r="1849" spans="29:30" x14ac:dyDescent="0.25">
      <c r="AC1849" s="33">
        <f t="shared" si="58"/>
        <v>1847</v>
      </c>
      <c r="AD1849" s="35" t="str">
        <f t="shared" si="59"/>
        <v/>
      </c>
    </row>
    <row r="1850" spans="29:30" x14ac:dyDescent="0.25">
      <c r="AC1850" s="33">
        <f t="shared" si="58"/>
        <v>1848</v>
      </c>
      <c r="AD1850" s="35" t="str">
        <f t="shared" si="59"/>
        <v/>
      </c>
    </row>
    <row r="1851" spans="29:30" x14ac:dyDescent="0.25">
      <c r="AC1851" s="33">
        <f t="shared" ref="AC1851:AC1914" si="60">AC1850+1</f>
        <v>1849</v>
      </c>
      <c r="AD1851" s="35" t="str">
        <f t="shared" si="59"/>
        <v/>
      </c>
    </row>
    <row r="1852" spans="29:30" x14ac:dyDescent="0.25">
      <c r="AC1852" s="33">
        <f t="shared" si="60"/>
        <v>1850</v>
      </c>
      <c r="AD1852" s="35" t="str">
        <f t="shared" si="59"/>
        <v/>
      </c>
    </row>
    <row r="1853" spans="29:30" x14ac:dyDescent="0.25">
      <c r="AC1853" s="33">
        <f t="shared" si="60"/>
        <v>1851</v>
      </c>
      <c r="AD1853" s="35" t="str">
        <f t="shared" si="59"/>
        <v/>
      </c>
    </row>
    <row r="1854" spans="29:30" x14ac:dyDescent="0.25">
      <c r="AC1854" s="33">
        <f t="shared" si="60"/>
        <v>1852</v>
      </c>
      <c r="AD1854" s="35" t="str">
        <f t="shared" si="59"/>
        <v/>
      </c>
    </row>
    <row r="1855" spans="29:30" x14ac:dyDescent="0.25">
      <c r="AC1855" s="33">
        <f t="shared" si="60"/>
        <v>1853</v>
      </c>
      <c r="AD1855" s="35" t="str">
        <f t="shared" si="59"/>
        <v/>
      </c>
    </row>
    <row r="1856" spans="29:30" x14ac:dyDescent="0.25">
      <c r="AC1856" s="33">
        <f t="shared" si="60"/>
        <v>1854</v>
      </c>
      <c r="AD1856" s="35" t="str">
        <f t="shared" si="59"/>
        <v/>
      </c>
    </row>
    <row r="1857" spans="29:30" x14ac:dyDescent="0.25">
      <c r="AC1857" s="33">
        <f t="shared" si="60"/>
        <v>1855</v>
      </c>
      <c r="AD1857" s="35" t="str">
        <f t="shared" si="59"/>
        <v/>
      </c>
    </row>
    <row r="1858" spans="29:30" x14ac:dyDescent="0.25">
      <c r="AC1858" s="33">
        <f t="shared" si="60"/>
        <v>1856</v>
      </c>
      <c r="AD1858" s="35" t="str">
        <f t="shared" si="59"/>
        <v/>
      </c>
    </row>
    <row r="1859" spans="29:30" x14ac:dyDescent="0.25">
      <c r="AC1859" s="33">
        <f t="shared" si="60"/>
        <v>1857</v>
      </c>
      <c r="AD1859" s="35" t="str">
        <f t="shared" si="59"/>
        <v/>
      </c>
    </row>
    <row r="1860" spans="29:30" x14ac:dyDescent="0.25">
      <c r="AC1860" s="33">
        <f t="shared" si="60"/>
        <v>1858</v>
      </c>
      <c r="AD1860" s="35" t="str">
        <f t="shared" si="59"/>
        <v/>
      </c>
    </row>
    <row r="1861" spans="29:30" x14ac:dyDescent="0.25">
      <c r="AC1861" s="33">
        <f t="shared" si="60"/>
        <v>1859</v>
      </c>
      <c r="AD1861" s="35" t="str">
        <f t="shared" si="59"/>
        <v/>
      </c>
    </row>
    <row r="1862" spans="29:30" x14ac:dyDescent="0.25">
      <c r="AC1862" s="33">
        <f t="shared" si="60"/>
        <v>1860</v>
      </c>
      <c r="AD1862" s="35" t="str">
        <f t="shared" si="59"/>
        <v/>
      </c>
    </row>
    <row r="1863" spans="29:30" x14ac:dyDescent="0.25">
      <c r="AC1863" s="33">
        <f t="shared" si="60"/>
        <v>1861</v>
      </c>
      <c r="AD1863" s="35" t="str">
        <f t="shared" si="59"/>
        <v/>
      </c>
    </row>
    <row r="1864" spans="29:30" x14ac:dyDescent="0.25">
      <c r="AC1864" s="33">
        <f t="shared" si="60"/>
        <v>1862</v>
      </c>
      <c r="AD1864" s="35" t="str">
        <f t="shared" ref="AD1864:AD1927" si="61">IF(AD1863&gt;AD$2,"",EOMONTH(AD1863,1))</f>
        <v/>
      </c>
    </row>
    <row r="1865" spans="29:30" x14ac:dyDescent="0.25">
      <c r="AC1865" s="33">
        <f t="shared" si="60"/>
        <v>1863</v>
      </c>
      <c r="AD1865" s="35" t="str">
        <f t="shared" si="61"/>
        <v/>
      </c>
    </row>
    <row r="1866" spans="29:30" x14ac:dyDescent="0.25">
      <c r="AC1866" s="33">
        <f t="shared" si="60"/>
        <v>1864</v>
      </c>
      <c r="AD1866" s="35" t="str">
        <f t="shared" si="61"/>
        <v/>
      </c>
    </row>
    <row r="1867" spans="29:30" x14ac:dyDescent="0.25">
      <c r="AC1867" s="33">
        <f t="shared" si="60"/>
        <v>1865</v>
      </c>
      <c r="AD1867" s="35" t="str">
        <f t="shared" si="61"/>
        <v/>
      </c>
    </row>
    <row r="1868" spans="29:30" x14ac:dyDescent="0.25">
      <c r="AC1868" s="33">
        <f t="shared" si="60"/>
        <v>1866</v>
      </c>
      <c r="AD1868" s="35" t="str">
        <f t="shared" si="61"/>
        <v/>
      </c>
    </row>
    <row r="1869" spans="29:30" x14ac:dyDescent="0.25">
      <c r="AC1869" s="33">
        <f t="shared" si="60"/>
        <v>1867</v>
      </c>
      <c r="AD1869" s="35" t="str">
        <f t="shared" si="61"/>
        <v/>
      </c>
    </row>
    <row r="1870" spans="29:30" x14ac:dyDescent="0.25">
      <c r="AC1870" s="33">
        <f t="shared" si="60"/>
        <v>1868</v>
      </c>
      <c r="AD1870" s="35" t="str">
        <f t="shared" si="61"/>
        <v/>
      </c>
    </row>
    <row r="1871" spans="29:30" x14ac:dyDescent="0.25">
      <c r="AC1871" s="33">
        <f t="shared" si="60"/>
        <v>1869</v>
      </c>
      <c r="AD1871" s="35" t="str">
        <f t="shared" si="61"/>
        <v/>
      </c>
    </row>
    <row r="1872" spans="29:30" x14ac:dyDescent="0.25">
      <c r="AC1872" s="33">
        <f t="shared" si="60"/>
        <v>1870</v>
      </c>
      <c r="AD1872" s="35" t="str">
        <f t="shared" si="61"/>
        <v/>
      </c>
    </row>
    <row r="1873" spans="29:30" x14ac:dyDescent="0.25">
      <c r="AC1873" s="33">
        <f t="shared" si="60"/>
        <v>1871</v>
      </c>
      <c r="AD1873" s="35" t="str">
        <f t="shared" si="61"/>
        <v/>
      </c>
    </row>
    <row r="1874" spans="29:30" x14ac:dyDescent="0.25">
      <c r="AC1874" s="33">
        <f t="shared" si="60"/>
        <v>1872</v>
      </c>
      <c r="AD1874" s="35" t="str">
        <f t="shared" si="61"/>
        <v/>
      </c>
    </row>
    <row r="1875" spans="29:30" x14ac:dyDescent="0.25">
      <c r="AC1875" s="33">
        <f t="shared" si="60"/>
        <v>1873</v>
      </c>
      <c r="AD1875" s="35" t="str">
        <f t="shared" si="61"/>
        <v/>
      </c>
    </row>
    <row r="1876" spans="29:30" x14ac:dyDescent="0.25">
      <c r="AC1876" s="33">
        <f t="shared" si="60"/>
        <v>1874</v>
      </c>
      <c r="AD1876" s="35" t="str">
        <f t="shared" si="61"/>
        <v/>
      </c>
    </row>
    <row r="1877" spans="29:30" x14ac:dyDescent="0.25">
      <c r="AC1877" s="33">
        <f t="shared" si="60"/>
        <v>1875</v>
      </c>
      <c r="AD1877" s="35" t="str">
        <f t="shared" si="61"/>
        <v/>
      </c>
    </row>
    <row r="1878" spans="29:30" x14ac:dyDescent="0.25">
      <c r="AC1878" s="33">
        <f t="shared" si="60"/>
        <v>1876</v>
      </c>
      <c r="AD1878" s="35" t="str">
        <f t="shared" si="61"/>
        <v/>
      </c>
    </row>
    <row r="1879" spans="29:30" x14ac:dyDescent="0.25">
      <c r="AC1879" s="33">
        <f t="shared" si="60"/>
        <v>1877</v>
      </c>
      <c r="AD1879" s="35" t="str">
        <f t="shared" si="61"/>
        <v/>
      </c>
    </row>
    <row r="1880" spans="29:30" x14ac:dyDescent="0.25">
      <c r="AC1880" s="33">
        <f t="shared" si="60"/>
        <v>1878</v>
      </c>
      <c r="AD1880" s="35" t="str">
        <f t="shared" si="61"/>
        <v/>
      </c>
    </row>
    <row r="1881" spans="29:30" x14ac:dyDescent="0.25">
      <c r="AC1881" s="33">
        <f t="shared" si="60"/>
        <v>1879</v>
      </c>
      <c r="AD1881" s="35" t="str">
        <f t="shared" si="61"/>
        <v/>
      </c>
    </row>
    <row r="1882" spans="29:30" x14ac:dyDescent="0.25">
      <c r="AC1882" s="33">
        <f t="shared" si="60"/>
        <v>1880</v>
      </c>
      <c r="AD1882" s="35" t="str">
        <f t="shared" si="61"/>
        <v/>
      </c>
    </row>
    <row r="1883" spans="29:30" x14ac:dyDescent="0.25">
      <c r="AC1883" s="33">
        <f t="shared" si="60"/>
        <v>1881</v>
      </c>
      <c r="AD1883" s="35" t="str">
        <f t="shared" si="61"/>
        <v/>
      </c>
    </row>
    <row r="1884" spans="29:30" x14ac:dyDescent="0.25">
      <c r="AC1884" s="33">
        <f t="shared" si="60"/>
        <v>1882</v>
      </c>
      <c r="AD1884" s="35" t="str">
        <f t="shared" si="61"/>
        <v/>
      </c>
    </row>
    <row r="1885" spans="29:30" x14ac:dyDescent="0.25">
      <c r="AC1885" s="33">
        <f t="shared" si="60"/>
        <v>1883</v>
      </c>
      <c r="AD1885" s="35" t="str">
        <f t="shared" si="61"/>
        <v/>
      </c>
    </row>
    <row r="1886" spans="29:30" x14ac:dyDescent="0.25">
      <c r="AC1886" s="33">
        <f t="shared" si="60"/>
        <v>1884</v>
      </c>
      <c r="AD1886" s="35" t="str">
        <f t="shared" si="61"/>
        <v/>
      </c>
    </row>
    <row r="1887" spans="29:30" x14ac:dyDescent="0.25">
      <c r="AC1887" s="33">
        <f t="shared" si="60"/>
        <v>1885</v>
      </c>
      <c r="AD1887" s="35" t="str">
        <f t="shared" si="61"/>
        <v/>
      </c>
    </row>
    <row r="1888" spans="29:30" x14ac:dyDescent="0.25">
      <c r="AC1888" s="33">
        <f t="shared" si="60"/>
        <v>1886</v>
      </c>
      <c r="AD1888" s="35" t="str">
        <f t="shared" si="61"/>
        <v/>
      </c>
    </row>
    <row r="1889" spans="29:30" x14ac:dyDescent="0.25">
      <c r="AC1889" s="33">
        <f t="shared" si="60"/>
        <v>1887</v>
      </c>
      <c r="AD1889" s="35" t="str">
        <f t="shared" si="61"/>
        <v/>
      </c>
    </row>
    <row r="1890" spans="29:30" x14ac:dyDescent="0.25">
      <c r="AC1890" s="33">
        <f t="shared" si="60"/>
        <v>1888</v>
      </c>
      <c r="AD1890" s="35" t="str">
        <f t="shared" si="61"/>
        <v/>
      </c>
    </row>
    <row r="1891" spans="29:30" x14ac:dyDescent="0.25">
      <c r="AC1891" s="33">
        <f t="shared" si="60"/>
        <v>1889</v>
      </c>
      <c r="AD1891" s="35" t="str">
        <f t="shared" si="61"/>
        <v/>
      </c>
    </row>
    <row r="1892" spans="29:30" x14ac:dyDescent="0.25">
      <c r="AC1892" s="33">
        <f t="shared" si="60"/>
        <v>1890</v>
      </c>
      <c r="AD1892" s="35" t="str">
        <f t="shared" si="61"/>
        <v/>
      </c>
    </row>
    <row r="1893" spans="29:30" x14ac:dyDescent="0.25">
      <c r="AC1893" s="33">
        <f t="shared" si="60"/>
        <v>1891</v>
      </c>
      <c r="AD1893" s="35" t="str">
        <f t="shared" si="61"/>
        <v/>
      </c>
    </row>
    <row r="1894" spans="29:30" x14ac:dyDescent="0.25">
      <c r="AC1894" s="33">
        <f t="shared" si="60"/>
        <v>1892</v>
      </c>
      <c r="AD1894" s="35" t="str">
        <f t="shared" si="61"/>
        <v/>
      </c>
    </row>
    <row r="1895" spans="29:30" x14ac:dyDescent="0.25">
      <c r="AC1895" s="33">
        <f t="shared" si="60"/>
        <v>1893</v>
      </c>
      <c r="AD1895" s="35" t="str">
        <f t="shared" si="61"/>
        <v/>
      </c>
    </row>
    <row r="1896" spans="29:30" x14ac:dyDescent="0.25">
      <c r="AC1896" s="33">
        <f t="shared" si="60"/>
        <v>1894</v>
      </c>
      <c r="AD1896" s="35" t="str">
        <f t="shared" si="61"/>
        <v/>
      </c>
    </row>
    <row r="1897" spans="29:30" x14ac:dyDescent="0.25">
      <c r="AC1897" s="33">
        <f t="shared" si="60"/>
        <v>1895</v>
      </c>
      <c r="AD1897" s="35" t="str">
        <f t="shared" si="61"/>
        <v/>
      </c>
    </row>
    <row r="1898" spans="29:30" x14ac:dyDescent="0.25">
      <c r="AC1898" s="33">
        <f t="shared" si="60"/>
        <v>1896</v>
      </c>
      <c r="AD1898" s="35" t="str">
        <f t="shared" si="61"/>
        <v/>
      </c>
    </row>
    <row r="1899" spans="29:30" x14ac:dyDescent="0.25">
      <c r="AC1899" s="33">
        <f t="shared" si="60"/>
        <v>1897</v>
      </c>
      <c r="AD1899" s="35" t="str">
        <f t="shared" si="61"/>
        <v/>
      </c>
    </row>
    <row r="1900" spans="29:30" x14ac:dyDescent="0.25">
      <c r="AC1900" s="33">
        <f t="shared" si="60"/>
        <v>1898</v>
      </c>
      <c r="AD1900" s="35" t="str">
        <f t="shared" si="61"/>
        <v/>
      </c>
    </row>
    <row r="1901" spans="29:30" x14ac:dyDescent="0.25">
      <c r="AC1901" s="33">
        <f t="shared" si="60"/>
        <v>1899</v>
      </c>
      <c r="AD1901" s="35" t="str">
        <f t="shared" si="61"/>
        <v/>
      </c>
    </row>
    <row r="1902" spans="29:30" x14ac:dyDescent="0.25">
      <c r="AC1902" s="33">
        <f t="shared" si="60"/>
        <v>1900</v>
      </c>
      <c r="AD1902" s="35" t="str">
        <f t="shared" si="61"/>
        <v/>
      </c>
    </row>
    <row r="1903" spans="29:30" x14ac:dyDescent="0.25">
      <c r="AC1903" s="33">
        <f t="shared" si="60"/>
        <v>1901</v>
      </c>
      <c r="AD1903" s="35" t="str">
        <f t="shared" si="61"/>
        <v/>
      </c>
    </row>
    <row r="1904" spans="29:30" x14ac:dyDescent="0.25">
      <c r="AC1904" s="33">
        <f t="shared" si="60"/>
        <v>1902</v>
      </c>
      <c r="AD1904" s="35" t="str">
        <f t="shared" si="61"/>
        <v/>
      </c>
    </row>
    <row r="1905" spans="29:30" x14ac:dyDescent="0.25">
      <c r="AC1905" s="33">
        <f t="shared" si="60"/>
        <v>1903</v>
      </c>
      <c r="AD1905" s="35" t="str">
        <f t="shared" si="61"/>
        <v/>
      </c>
    </row>
    <row r="1906" spans="29:30" x14ac:dyDescent="0.25">
      <c r="AC1906" s="33">
        <f t="shared" si="60"/>
        <v>1904</v>
      </c>
      <c r="AD1906" s="35" t="str">
        <f t="shared" si="61"/>
        <v/>
      </c>
    </row>
    <row r="1907" spans="29:30" x14ac:dyDescent="0.25">
      <c r="AC1907" s="33">
        <f t="shared" si="60"/>
        <v>1905</v>
      </c>
      <c r="AD1907" s="35" t="str">
        <f t="shared" si="61"/>
        <v/>
      </c>
    </row>
    <row r="1908" spans="29:30" x14ac:dyDescent="0.25">
      <c r="AC1908" s="33">
        <f t="shared" si="60"/>
        <v>1906</v>
      </c>
      <c r="AD1908" s="35" t="str">
        <f t="shared" si="61"/>
        <v/>
      </c>
    </row>
    <row r="1909" spans="29:30" x14ac:dyDescent="0.25">
      <c r="AC1909" s="33">
        <f t="shared" si="60"/>
        <v>1907</v>
      </c>
      <c r="AD1909" s="35" t="str">
        <f t="shared" si="61"/>
        <v/>
      </c>
    </row>
    <row r="1910" spans="29:30" x14ac:dyDescent="0.25">
      <c r="AC1910" s="33">
        <f t="shared" si="60"/>
        <v>1908</v>
      </c>
      <c r="AD1910" s="35" t="str">
        <f t="shared" si="61"/>
        <v/>
      </c>
    </row>
    <row r="1911" spans="29:30" x14ac:dyDescent="0.25">
      <c r="AC1911" s="33">
        <f t="shared" si="60"/>
        <v>1909</v>
      </c>
      <c r="AD1911" s="35" t="str">
        <f t="shared" si="61"/>
        <v/>
      </c>
    </row>
    <row r="1912" spans="29:30" x14ac:dyDescent="0.25">
      <c r="AC1912" s="33">
        <f t="shared" si="60"/>
        <v>1910</v>
      </c>
      <c r="AD1912" s="35" t="str">
        <f t="shared" si="61"/>
        <v/>
      </c>
    </row>
    <row r="1913" spans="29:30" x14ac:dyDescent="0.25">
      <c r="AC1913" s="33">
        <f t="shared" si="60"/>
        <v>1911</v>
      </c>
      <c r="AD1913" s="35" t="str">
        <f t="shared" si="61"/>
        <v/>
      </c>
    </row>
    <row r="1914" spans="29:30" x14ac:dyDescent="0.25">
      <c r="AC1914" s="33">
        <f t="shared" si="60"/>
        <v>1912</v>
      </c>
      <c r="AD1914" s="35" t="str">
        <f t="shared" si="61"/>
        <v/>
      </c>
    </row>
    <row r="1915" spans="29:30" x14ac:dyDescent="0.25">
      <c r="AC1915" s="33">
        <f t="shared" ref="AC1915:AC1978" si="62">AC1914+1</f>
        <v>1913</v>
      </c>
      <c r="AD1915" s="35" t="str">
        <f t="shared" si="61"/>
        <v/>
      </c>
    </row>
    <row r="1916" spans="29:30" x14ac:dyDescent="0.25">
      <c r="AC1916" s="33">
        <f t="shared" si="62"/>
        <v>1914</v>
      </c>
      <c r="AD1916" s="35" t="str">
        <f t="shared" si="61"/>
        <v/>
      </c>
    </row>
    <row r="1917" spans="29:30" x14ac:dyDescent="0.25">
      <c r="AC1917" s="33">
        <f t="shared" si="62"/>
        <v>1915</v>
      </c>
      <c r="AD1917" s="35" t="str">
        <f t="shared" si="61"/>
        <v/>
      </c>
    </row>
    <row r="1918" spans="29:30" x14ac:dyDescent="0.25">
      <c r="AC1918" s="33">
        <f t="shared" si="62"/>
        <v>1916</v>
      </c>
      <c r="AD1918" s="35" t="str">
        <f t="shared" si="61"/>
        <v/>
      </c>
    </row>
    <row r="1919" spans="29:30" x14ac:dyDescent="0.25">
      <c r="AC1919" s="33">
        <f t="shared" si="62"/>
        <v>1917</v>
      </c>
      <c r="AD1919" s="35" t="str">
        <f t="shared" si="61"/>
        <v/>
      </c>
    </row>
    <row r="1920" spans="29:30" x14ac:dyDescent="0.25">
      <c r="AC1920" s="33">
        <f t="shared" si="62"/>
        <v>1918</v>
      </c>
      <c r="AD1920" s="35" t="str">
        <f t="shared" si="61"/>
        <v/>
      </c>
    </row>
    <row r="1921" spans="29:30" x14ac:dyDescent="0.25">
      <c r="AC1921" s="33">
        <f t="shared" si="62"/>
        <v>1919</v>
      </c>
      <c r="AD1921" s="35" t="str">
        <f t="shared" si="61"/>
        <v/>
      </c>
    </row>
    <row r="1922" spans="29:30" x14ac:dyDescent="0.25">
      <c r="AC1922" s="33">
        <f t="shared" si="62"/>
        <v>1920</v>
      </c>
      <c r="AD1922" s="35" t="str">
        <f t="shared" si="61"/>
        <v/>
      </c>
    </row>
    <row r="1923" spans="29:30" x14ac:dyDescent="0.25">
      <c r="AC1923" s="33">
        <f t="shared" si="62"/>
        <v>1921</v>
      </c>
      <c r="AD1923" s="35" t="str">
        <f t="shared" si="61"/>
        <v/>
      </c>
    </row>
    <row r="1924" spans="29:30" x14ac:dyDescent="0.25">
      <c r="AC1924" s="33">
        <f t="shared" si="62"/>
        <v>1922</v>
      </c>
      <c r="AD1924" s="35" t="str">
        <f t="shared" si="61"/>
        <v/>
      </c>
    </row>
    <row r="1925" spans="29:30" x14ac:dyDescent="0.25">
      <c r="AC1925" s="33">
        <f t="shared" si="62"/>
        <v>1923</v>
      </c>
      <c r="AD1925" s="35" t="str">
        <f t="shared" si="61"/>
        <v/>
      </c>
    </row>
    <row r="1926" spans="29:30" x14ac:dyDescent="0.25">
      <c r="AC1926" s="33">
        <f t="shared" si="62"/>
        <v>1924</v>
      </c>
      <c r="AD1926" s="35" t="str">
        <f t="shared" si="61"/>
        <v/>
      </c>
    </row>
    <row r="1927" spans="29:30" x14ac:dyDescent="0.25">
      <c r="AC1927" s="33">
        <f t="shared" si="62"/>
        <v>1925</v>
      </c>
      <c r="AD1927" s="35" t="str">
        <f t="shared" si="61"/>
        <v/>
      </c>
    </row>
    <row r="1928" spans="29:30" x14ac:dyDescent="0.25">
      <c r="AC1928" s="33">
        <f t="shared" si="62"/>
        <v>1926</v>
      </c>
      <c r="AD1928" s="35" t="str">
        <f t="shared" ref="AD1928:AD1991" si="63">IF(AD1927&gt;AD$2,"",EOMONTH(AD1927,1))</f>
        <v/>
      </c>
    </row>
    <row r="1929" spans="29:30" x14ac:dyDescent="0.25">
      <c r="AC1929" s="33">
        <f t="shared" si="62"/>
        <v>1927</v>
      </c>
      <c r="AD1929" s="35" t="str">
        <f t="shared" si="63"/>
        <v/>
      </c>
    </row>
    <row r="1930" spans="29:30" x14ac:dyDescent="0.25">
      <c r="AC1930" s="33">
        <f t="shared" si="62"/>
        <v>1928</v>
      </c>
      <c r="AD1930" s="35" t="str">
        <f t="shared" si="63"/>
        <v/>
      </c>
    </row>
    <row r="1931" spans="29:30" x14ac:dyDescent="0.25">
      <c r="AC1931" s="33">
        <f t="shared" si="62"/>
        <v>1929</v>
      </c>
      <c r="AD1931" s="35" t="str">
        <f t="shared" si="63"/>
        <v/>
      </c>
    </row>
    <row r="1932" spans="29:30" x14ac:dyDescent="0.25">
      <c r="AC1932" s="33">
        <f t="shared" si="62"/>
        <v>1930</v>
      </c>
      <c r="AD1932" s="35" t="str">
        <f t="shared" si="63"/>
        <v/>
      </c>
    </row>
    <row r="1933" spans="29:30" x14ac:dyDescent="0.25">
      <c r="AC1933" s="33">
        <f t="shared" si="62"/>
        <v>1931</v>
      </c>
      <c r="AD1933" s="35" t="str">
        <f t="shared" si="63"/>
        <v/>
      </c>
    </row>
    <row r="1934" spans="29:30" x14ac:dyDescent="0.25">
      <c r="AC1934" s="33">
        <f t="shared" si="62"/>
        <v>1932</v>
      </c>
      <c r="AD1934" s="35" t="str">
        <f t="shared" si="63"/>
        <v/>
      </c>
    </row>
    <row r="1935" spans="29:30" x14ac:dyDescent="0.25">
      <c r="AC1935" s="33">
        <f t="shared" si="62"/>
        <v>1933</v>
      </c>
      <c r="AD1935" s="35" t="str">
        <f t="shared" si="63"/>
        <v/>
      </c>
    </row>
    <row r="1936" spans="29:30" x14ac:dyDescent="0.25">
      <c r="AC1936" s="33">
        <f t="shared" si="62"/>
        <v>1934</v>
      </c>
      <c r="AD1936" s="35" t="str">
        <f t="shared" si="63"/>
        <v/>
      </c>
    </row>
    <row r="1937" spans="29:30" x14ac:dyDescent="0.25">
      <c r="AC1937" s="33">
        <f t="shared" si="62"/>
        <v>1935</v>
      </c>
      <c r="AD1937" s="35" t="str">
        <f t="shared" si="63"/>
        <v/>
      </c>
    </row>
    <row r="1938" spans="29:30" x14ac:dyDescent="0.25">
      <c r="AC1938" s="33">
        <f t="shared" si="62"/>
        <v>1936</v>
      </c>
      <c r="AD1938" s="35" t="str">
        <f t="shared" si="63"/>
        <v/>
      </c>
    </row>
    <row r="1939" spans="29:30" x14ac:dyDescent="0.25">
      <c r="AC1939" s="33">
        <f t="shared" si="62"/>
        <v>1937</v>
      </c>
      <c r="AD1939" s="35" t="str">
        <f t="shared" si="63"/>
        <v/>
      </c>
    </row>
    <row r="1940" spans="29:30" x14ac:dyDescent="0.25">
      <c r="AC1940" s="33">
        <f t="shared" si="62"/>
        <v>1938</v>
      </c>
      <c r="AD1940" s="35" t="str">
        <f t="shared" si="63"/>
        <v/>
      </c>
    </row>
    <row r="1941" spans="29:30" x14ac:dyDescent="0.25">
      <c r="AC1941" s="33">
        <f t="shared" si="62"/>
        <v>1939</v>
      </c>
      <c r="AD1941" s="35" t="str">
        <f t="shared" si="63"/>
        <v/>
      </c>
    </row>
    <row r="1942" spans="29:30" x14ac:dyDescent="0.25">
      <c r="AC1942" s="33">
        <f t="shared" si="62"/>
        <v>1940</v>
      </c>
      <c r="AD1942" s="35" t="str">
        <f t="shared" si="63"/>
        <v/>
      </c>
    </row>
    <row r="1943" spans="29:30" x14ac:dyDescent="0.25">
      <c r="AC1943" s="33">
        <f t="shared" si="62"/>
        <v>1941</v>
      </c>
      <c r="AD1943" s="35" t="str">
        <f t="shared" si="63"/>
        <v/>
      </c>
    </row>
    <row r="1944" spans="29:30" x14ac:dyDescent="0.25">
      <c r="AC1944" s="33">
        <f t="shared" si="62"/>
        <v>1942</v>
      </c>
      <c r="AD1944" s="35" t="str">
        <f t="shared" si="63"/>
        <v/>
      </c>
    </row>
    <row r="1945" spans="29:30" x14ac:dyDescent="0.25">
      <c r="AC1945" s="33">
        <f t="shared" si="62"/>
        <v>1943</v>
      </c>
      <c r="AD1945" s="35" t="str">
        <f t="shared" si="63"/>
        <v/>
      </c>
    </row>
    <row r="1946" spans="29:30" x14ac:dyDescent="0.25">
      <c r="AC1946" s="33">
        <f t="shared" si="62"/>
        <v>1944</v>
      </c>
      <c r="AD1946" s="35" t="str">
        <f t="shared" si="63"/>
        <v/>
      </c>
    </row>
    <row r="1947" spans="29:30" x14ac:dyDescent="0.25">
      <c r="AC1947" s="33">
        <f t="shared" si="62"/>
        <v>1945</v>
      </c>
      <c r="AD1947" s="35" t="str">
        <f t="shared" si="63"/>
        <v/>
      </c>
    </row>
    <row r="1948" spans="29:30" x14ac:dyDescent="0.25">
      <c r="AC1948" s="33">
        <f t="shared" si="62"/>
        <v>1946</v>
      </c>
      <c r="AD1948" s="35" t="str">
        <f t="shared" si="63"/>
        <v/>
      </c>
    </row>
    <row r="1949" spans="29:30" x14ac:dyDescent="0.25">
      <c r="AC1949" s="33">
        <f t="shared" si="62"/>
        <v>1947</v>
      </c>
      <c r="AD1949" s="35" t="str">
        <f t="shared" si="63"/>
        <v/>
      </c>
    </row>
    <row r="1950" spans="29:30" x14ac:dyDescent="0.25">
      <c r="AC1950" s="33">
        <f t="shared" si="62"/>
        <v>1948</v>
      </c>
      <c r="AD1950" s="35" t="str">
        <f t="shared" si="63"/>
        <v/>
      </c>
    </row>
    <row r="1951" spans="29:30" x14ac:dyDescent="0.25">
      <c r="AC1951" s="33">
        <f t="shared" si="62"/>
        <v>1949</v>
      </c>
      <c r="AD1951" s="35" t="str">
        <f t="shared" si="63"/>
        <v/>
      </c>
    </row>
    <row r="1952" spans="29:30" x14ac:dyDescent="0.25">
      <c r="AC1952" s="33">
        <f t="shared" si="62"/>
        <v>1950</v>
      </c>
      <c r="AD1952" s="35" t="str">
        <f t="shared" si="63"/>
        <v/>
      </c>
    </row>
    <row r="1953" spans="29:30" x14ac:dyDescent="0.25">
      <c r="AC1953" s="33">
        <f t="shared" si="62"/>
        <v>1951</v>
      </c>
      <c r="AD1953" s="35" t="str">
        <f t="shared" si="63"/>
        <v/>
      </c>
    </row>
    <row r="1954" spans="29:30" x14ac:dyDescent="0.25">
      <c r="AC1954" s="33">
        <f t="shared" si="62"/>
        <v>1952</v>
      </c>
      <c r="AD1954" s="35" t="str">
        <f t="shared" si="63"/>
        <v/>
      </c>
    </row>
    <row r="1955" spans="29:30" x14ac:dyDescent="0.25">
      <c r="AC1955" s="33">
        <f t="shared" si="62"/>
        <v>1953</v>
      </c>
      <c r="AD1955" s="35" t="str">
        <f t="shared" si="63"/>
        <v/>
      </c>
    </row>
    <row r="1956" spans="29:30" x14ac:dyDescent="0.25">
      <c r="AC1956" s="33">
        <f t="shared" si="62"/>
        <v>1954</v>
      </c>
      <c r="AD1956" s="35" t="str">
        <f t="shared" si="63"/>
        <v/>
      </c>
    </row>
    <row r="1957" spans="29:30" x14ac:dyDescent="0.25">
      <c r="AC1957" s="33">
        <f t="shared" si="62"/>
        <v>1955</v>
      </c>
      <c r="AD1957" s="35" t="str">
        <f t="shared" si="63"/>
        <v/>
      </c>
    </row>
    <row r="1958" spans="29:30" x14ac:dyDescent="0.25">
      <c r="AC1958" s="33">
        <f t="shared" si="62"/>
        <v>1956</v>
      </c>
      <c r="AD1958" s="35" t="str">
        <f t="shared" si="63"/>
        <v/>
      </c>
    </row>
    <row r="1959" spans="29:30" x14ac:dyDescent="0.25">
      <c r="AC1959" s="33">
        <f t="shared" si="62"/>
        <v>1957</v>
      </c>
      <c r="AD1959" s="35" t="str">
        <f t="shared" si="63"/>
        <v/>
      </c>
    </row>
    <row r="1960" spans="29:30" x14ac:dyDescent="0.25">
      <c r="AC1960" s="33">
        <f t="shared" si="62"/>
        <v>1958</v>
      </c>
      <c r="AD1960" s="35" t="str">
        <f t="shared" si="63"/>
        <v/>
      </c>
    </row>
    <row r="1961" spans="29:30" x14ac:dyDescent="0.25">
      <c r="AC1961" s="33">
        <f t="shared" si="62"/>
        <v>1959</v>
      </c>
      <c r="AD1961" s="35" t="str">
        <f t="shared" si="63"/>
        <v/>
      </c>
    </row>
    <row r="1962" spans="29:30" x14ac:dyDescent="0.25">
      <c r="AC1962" s="33">
        <f t="shared" si="62"/>
        <v>1960</v>
      </c>
      <c r="AD1962" s="35" t="str">
        <f t="shared" si="63"/>
        <v/>
      </c>
    </row>
    <row r="1963" spans="29:30" x14ac:dyDescent="0.25">
      <c r="AC1963" s="33">
        <f t="shared" si="62"/>
        <v>1961</v>
      </c>
      <c r="AD1963" s="35" t="str">
        <f t="shared" si="63"/>
        <v/>
      </c>
    </row>
    <row r="1964" spans="29:30" x14ac:dyDescent="0.25">
      <c r="AC1964" s="33">
        <f t="shared" si="62"/>
        <v>1962</v>
      </c>
      <c r="AD1964" s="35" t="str">
        <f t="shared" si="63"/>
        <v/>
      </c>
    </row>
    <row r="1965" spans="29:30" x14ac:dyDescent="0.25">
      <c r="AC1965" s="33">
        <f t="shared" si="62"/>
        <v>1963</v>
      </c>
      <c r="AD1965" s="35" t="str">
        <f t="shared" si="63"/>
        <v/>
      </c>
    </row>
    <row r="1966" spans="29:30" x14ac:dyDescent="0.25">
      <c r="AC1966" s="33">
        <f t="shared" si="62"/>
        <v>1964</v>
      </c>
      <c r="AD1966" s="35" t="str">
        <f t="shared" si="63"/>
        <v/>
      </c>
    </row>
    <row r="1967" spans="29:30" x14ac:dyDescent="0.25">
      <c r="AC1967" s="33">
        <f t="shared" si="62"/>
        <v>1965</v>
      </c>
      <c r="AD1967" s="35" t="str">
        <f t="shared" si="63"/>
        <v/>
      </c>
    </row>
    <row r="1968" spans="29:30" x14ac:dyDescent="0.25">
      <c r="AC1968" s="33">
        <f t="shared" si="62"/>
        <v>1966</v>
      </c>
      <c r="AD1968" s="35" t="str">
        <f t="shared" si="63"/>
        <v/>
      </c>
    </row>
    <row r="1969" spans="29:30" x14ac:dyDescent="0.25">
      <c r="AC1969" s="33">
        <f t="shared" si="62"/>
        <v>1967</v>
      </c>
      <c r="AD1969" s="35" t="str">
        <f t="shared" si="63"/>
        <v/>
      </c>
    </row>
    <row r="1970" spans="29:30" x14ac:dyDescent="0.25">
      <c r="AC1970" s="33">
        <f t="shared" si="62"/>
        <v>1968</v>
      </c>
      <c r="AD1970" s="35" t="str">
        <f t="shared" si="63"/>
        <v/>
      </c>
    </row>
    <row r="1971" spans="29:30" x14ac:dyDescent="0.25">
      <c r="AC1971" s="33">
        <f t="shared" si="62"/>
        <v>1969</v>
      </c>
      <c r="AD1971" s="35" t="str">
        <f t="shared" si="63"/>
        <v/>
      </c>
    </row>
    <row r="1972" spans="29:30" x14ac:dyDescent="0.25">
      <c r="AC1972" s="33">
        <f t="shared" si="62"/>
        <v>1970</v>
      </c>
      <c r="AD1972" s="35" t="str">
        <f t="shared" si="63"/>
        <v/>
      </c>
    </row>
    <row r="1973" spans="29:30" x14ac:dyDescent="0.25">
      <c r="AC1973" s="33">
        <f t="shared" si="62"/>
        <v>1971</v>
      </c>
      <c r="AD1973" s="35" t="str">
        <f t="shared" si="63"/>
        <v/>
      </c>
    </row>
    <row r="1974" spans="29:30" x14ac:dyDescent="0.25">
      <c r="AC1974" s="33">
        <f t="shared" si="62"/>
        <v>1972</v>
      </c>
      <c r="AD1974" s="35" t="str">
        <f t="shared" si="63"/>
        <v/>
      </c>
    </row>
    <row r="1975" spans="29:30" x14ac:dyDescent="0.25">
      <c r="AC1975" s="33">
        <f t="shared" si="62"/>
        <v>1973</v>
      </c>
      <c r="AD1975" s="35" t="str">
        <f t="shared" si="63"/>
        <v/>
      </c>
    </row>
    <row r="1976" spans="29:30" x14ac:dyDescent="0.25">
      <c r="AC1976" s="33">
        <f t="shared" si="62"/>
        <v>1974</v>
      </c>
      <c r="AD1976" s="35" t="str">
        <f t="shared" si="63"/>
        <v/>
      </c>
    </row>
    <row r="1977" spans="29:30" x14ac:dyDescent="0.25">
      <c r="AC1977" s="33">
        <f t="shared" si="62"/>
        <v>1975</v>
      </c>
      <c r="AD1977" s="35" t="str">
        <f t="shared" si="63"/>
        <v/>
      </c>
    </row>
    <row r="1978" spans="29:30" x14ac:dyDescent="0.25">
      <c r="AC1978" s="33">
        <f t="shared" si="62"/>
        <v>1976</v>
      </c>
      <c r="AD1978" s="35" t="str">
        <f t="shared" si="63"/>
        <v/>
      </c>
    </row>
    <row r="1979" spans="29:30" x14ac:dyDescent="0.25">
      <c r="AC1979" s="33">
        <f t="shared" ref="AC1979:AC2033" si="64">AC1978+1</f>
        <v>1977</v>
      </c>
      <c r="AD1979" s="35" t="str">
        <f t="shared" si="63"/>
        <v/>
      </c>
    </row>
    <row r="1980" spans="29:30" x14ac:dyDescent="0.25">
      <c r="AC1980" s="33">
        <f t="shared" si="64"/>
        <v>1978</v>
      </c>
      <c r="AD1980" s="35" t="str">
        <f t="shared" si="63"/>
        <v/>
      </c>
    </row>
    <row r="1981" spans="29:30" x14ac:dyDescent="0.25">
      <c r="AC1981" s="33">
        <f t="shared" si="64"/>
        <v>1979</v>
      </c>
      <c r="AD1981" s="35" t="str">
        <f t="shared" si="63"/>
        <v/>
      </c>
    </row>
    <row r="1982" spans="29:30" x14ac:dyDescent="0.25">
      <c r="AC1982" s="33">
        <f t="shared" si="64"/>
        <v>1980</v>
      </c>
      <c r="AD1982" s="35" t="str">
        <f t="shared" si="63"/>
        <v/>
      </c>
    </row>
    <row r="1983" spans="29:30" x14ac:dyDescent="0.25">
      <c r="AC1983" s="33">
        <f t="shared" si="64"/>
        <v>1981</v>
      </c>
      <c r="AD1983" s="35" t="str">
        <f t="shared" si="63"/>
        <v/>
      </c>
    </row>
    <row r="1984" spans="29:30" x14ac:dyDescent="0.25">
      <c r="AC1984" s="33">
        <f t="shared" si="64"/>
        <v>1982</v>
      </c>
      <c r="AD1984" s="35" t="str">
        <f t="shared" si="63"/>
        <v/>
      </c>
    </row>
    <row r="1985" spans="29:30" x14ac:dyDescent="0.25">
      <c r="AC1985" s="33">
        <f t="shared" si="64"/>
        <v>1983</v>
      </c>
      <c r="AD1985" s="35" t="str">
        <f t="shared" si="63"/>
        <v/>
      </c>
    </row>
    <row r="1986" spans="29:30" x14ac:dyDescent="0.25">
      <c r="AC1986" s="33">
        <f t="shared" si="64"/>
        <v>1984</v>
      </c>
      <c r="AD1986" s="35" t="str">
        <f t="shared" si="63"/>
        <v/>
      </c>
    </row>
    <row r="1987" spans="29:30" x14ac:dyDescent="0.25">
      <c r="AC1987" s="33">
        <f t="shared" si="64"/>
        <v>1985</v>
      </c>
      <c r="AD1987" s="35" t="str">
        <f t="shared" si="63"/>
        <v/>
      </c>
    </row>
    <row r="1988" spans="29:30" x14ac:dyDescent="0.25">
      <c r="AC1988" s="33">
        <f t="shared" si="64"/>
        <v>1986</v>
      </c>
      <c r="AD1988" s="35" t="str">
        <f t="shared" si="63"/>
        <v/>
      </c>
    </row>
    <row r="1989" spans="29:30" x14ac:dyDescent="0.25">
      <c r="AC1989" s="33">
        <f t="shared" si="64"/>
        <v>1987</v>
      </c>
      <c r="AD1989" s="35" t="str">
        <f t="shared" si="63"/>
        <v/>
      </c>
    </row>
    <row r="1990" spans="29:30" x14ac:dyDescent="0.25">
      <c r="AC1990" s="33">
        <f t="shared" si="64"/>
        <v>1988</v>
      </c>
      <c r="AD1990" s="35" t="str">
        <f t="shared" si="63"/>
        <v/>
      </c>
    </row>
    <row r="1991" spans="29:30" x14ac:dyDescent="0.25">
      <c r="AC1991" s="33">
        <f t="shared" si="64"/>
        <v>1989</v>
      </c>
      <c r="AD1991" s="35" t="str">
        <f t="shared" si="63"/>
        <v/>
      </c>
    </row>
    <row r="1992" spans="29:30" x14ac:dyDescent="0.25">
      <c r="AC1992" s="33">
        <f t="shared" si="64"/>
        <v>1990</v>
      </c>
      <c r="AD1992" s="35" t="str">
        <f t="shared" ref="AD1992:AD2033" si="65">IF(AD1991&gt;AD$2,"",EOMONTH(AD1991,1))</f>
        <v/>
      </c>
    </row>
    <row r="1993" spans="29:30" x14ac:dyDescent="0.25">
      <c r="AC1993" s="33">
        <f t="shared" si="64"/>
        <v>1991</v>
      </c>
      <c r="AD1993" s="35" t="str">
        <f t="shared" si="65"/>
        <v/>
      </c>
    </row>
    <row r="1994" spans="29:30" x14ac:dyDescent="0.25">
      <c r="AC1994" s="33">
        <f t="shared" si="64"/>
        <v>1992</v>
      </c>
      <c r="AD1994" s="35" t="str">
        <f t="shared" si="65"/>
        <v/>
      </c>
    </row>
    <row r="1995" spans="29:30" x14ac:dyDescent="0.25">
      <c r="AC1995" s="33">
        <f t="shared" si="64"/>
        <v>1993</v>
      </c>
      <c r="AD1995" s="35" t="str">
        <f t="shared" si="65"/>
        <v/>
      </c>
    </row>
    <row r="1996" spans="29:30" x14ac:dyDescent="0.25">
      <c r="AC1996" s="33">
        <f t="shared" si="64"/>
        <v>1994</v>
      </c>
      <c r="AD1996" s="35" t="str">
        <f t="shared" si="65"/>
        <v/>
      </c>
    </row>
    <row r="1997" spans="29:30" x14ac:dyDescent="0.25">
      <c r="AC1997" s="33">
        <f t="shared" si="64"/>
        <v>1995</v>
      </c>
      <c r="AD1997" s="35" t="str">
        <f t="shared" si="65"/>
        <v/>
      </c>
    </row>
    <row r="1998" spans="29:30" x14ac:dyDescent="0.25">
      <c r="AC1998" s="33">
        <f t="shared" si="64"/>
        <v>1996</v>
      </c>
      <c r="AD1998" s="35" t="str">
        <f t="shared" si="65"/>
        <v/>
      </c>
    </row>
    <row r="1999" spans="29:30" x14ac:dyDescent="0.25">
      <c r="AC1999" s="33">
        <f t="shared" si="64"/>
        <v>1997</v>
      </c>
      <c r="AD1999" s="35" t="str">
        <f t="shared" si="65"/>
        <v/>
      </c>
    </row>
    <row r="2000" spans="29:30" x14ac:dyDescent="0.25">
      <c r="AC2000" s="33">
        <f t="shared" si="64"/>
        <v>1998</v>
      </c>
      <c r="AD2000" s="35" t="str">
        <f t="shared" si="65"/>
        <v/>
      </c>
    </row>
    <row r="2001" spans="29:30" x14ac:dyDescent="0.25">
      <c r="AC2001" s="33">
        <f t="shared" si="64"/>
        <v>1999</v>
      </c>
      <c r="AD2001" s="35" t="str">
        <f t="shared" si="65"/>
        <v/>
      </c>
    </row>
    <row r="2002" spans="29:30" x14ac:dyDescent="0.25">
      <c r="AC2002" s="33">
        <f t="shared" si="64"/>
        <v>2000</v>
      </c>
      <c r="AD2002" s="35" t="str">
        <f t="shared" si="65"/>
        <v/>
      </c>
    </row>
    <row r="2003" spans="29:30" x14ac:dyDescent="0.25">
      <c r="AC2003" s="33">
        <f t="shared" si="64"/>
        <v>2001</v>
      </c>
      <c r="AD2003" s="35" t="str">
        <f t="shared" si="65"/>
        <v/>
      </c>
    </row>
    <row r="2004" spans="29:30" x14ac:dyDescent="0.25">
      <c r="AC2004" s="33">
        <f t="shared" si="64"/>
        <v>2002</v>
      </c>
      <c r="AD2004" s="35" t="str">
        <f t="shared" si="65"/>
        <v/>
      </c>
    </row>
    <row r="2005" spans="29:30" x14ac:dyDescent="0.25">
      <c r="AC2005" s="33">
        <f t="shared" si="64"/>
        <v>2003</v>
      </c>
      <c r="AD2005" s="35" t="str">
        <f t="shared" si="65"/>
        <v/>
      </c>
    </row>
    <row r="2006" spans="29:30" x14ac:dyDescent="0.25">
      <c r="AC2006" s="33">
        <f t="shared" si="64"/>
        <v>2004</v>
      </c>
      <c r="AD2006" s="35" t="str">
        <f t="shared" si="65"/>
        <v/>
      </c>
    </row>
    <row r="2007" spans="29:30" x14ac:dyDescent="0.25">
      <c r="AC2007" s="33">
        <f t="shared" si="64"/>
        <v>2005</v>
      </c>
      <c r="AD2007" s="35" t="str">
        <f t="shared" si="65"/>
        <v/>
      </c>
    </row>
    <row r="2008" spans="29:30" x14ac:dyDescent="0.25">
      <c r="AC2008" s="33">
        <f t="shared" si="64"/>
        <v>2006</v>
      </c>
      <c r="AD2008" s="35" t="str">
        <f t="shared" si="65"/>
        <v/>
      </c>
    </row>
    <row r="2009" spans="29:30" x14ac:dyDescent="0.25">
      <c r="AC2009" s="33">
        <f t="shared" si="64"/>
        <v>2007</v>
      </c>
      <c r="AD2009" s="35" t="str">
        <f t="shared" si="65"/>
        <v/>
      </c>
    </row>
    <row r="2010" spans="29:30" x14ac:dyDescent="0.25">
      <c r="AC2010" s="33">
        <f t="shared" si="64"/>
        <v>2008</v>
      </c>
      <c r="AD2010" s="35" t="str">
        <f t="shared" si="65"/>
        <v/>
      </c>
    </row>
    <row r="2011" spans="29:30" x14ac:dyDescent="0.25">
      <c r="AC2011" s="33">
        <f t="shared" si="64"/>
        <v>2009</v>
      </c>
      <c r="AD2011" s="35" t="str">
        <f t="shared" si="65"/>
        <v/>
      </c>
    </row>
    <row r="2012" spans="29:30" x14ac:dyDescent="0.25">
      <c r="AC2012" s="33">
        <f t="shared" si="64"/>
        <v>2010</v>
      </c>
      <c r="AD2012" s="35" t="str">
        <f t="shared" si="65"/>
        <v/>
      </c>
    </row>
    <row r="2013" spans="29:30" x14ac:dyDescent="0.25">
      <c r="AC2013" s="33">
        <f t="shared" si="64"/>
        <v>2011</v>
      </c>
      <c r="AD2013" s="35" t="str">
        <f t="shared" si="65"/>
        <v/>
      </c>
    </row>
    <row r="2014" spans="29:30" x14ac:dyDescent="0.25">
      <c r="AC2014" s="33">
        <f t="shared" si="64"/>
        <v>2012</v>
      </c>
      <c r="AD2014" s="35" t="str">
        <f t="shared" si="65"/>
        <v/>
      </c>
    </row>
    <row r="2015" spans="29:30" x14ac:dyDescent="0.25">
      <c r="AC2015" s="33">
        <f t="shared" si="64"/>
        <v>2013</v>
      </c>
      <c r="AD2015" s="35" t="str">
        <f t="shared" si="65"/>
        <v/>
      </c>
    </row>
    <row r="2016" spans="29:30" x14ac:dyDescent="0.25">
      <c r="AC2016" s="33">
        <f t="shared" si="64"/>
        <v>2014</v>
      </c>
      <c r="AD2016" s="35" t="str">
        <f t="shared" si="65"/>
        <v/>
      </c>
    </row>
    <row r="2017" spans="29:30" x14ac:dyDescent="0.25">
      <c r="AC2017" s="33">
        <f t="shared" si="64"/>
        <v>2015</v>
      </c>
      <c r="AD2017" s="35" t="str">
        <f t="shared" si="65"/>
        <v/>
      </c>
    </row>
    <row r="2018" spans="29:30" x14ac:dyDescent="0.25">
      <c r="AC2018" s="33">
        <f t="shared" si="64"/>
        <v>2016</v>
      </c>
      <c r="AD2018" s="35" t="str">
        <f t="shared" si="65"/>
        <v/>
      </c>
    </row>
    <row r="2019" spans="29:30" x14ac:dyDescent="0.25">
      <c r="AC2019" s="33">
        <f t="shared" si="64"/>
        <v>2017</v>
      </c>
      <c r="AD2019" s="35" t="str">
        <f t="shared" si="65"/>
        <v/>
      </c>
    </row>
    <row r="2020" spans="29:30" x14ac:dyDescent="0.25">
      <c r="AC2020" s="33">
        <f t="shared" si="64"/>
        <v>2018</v>
      </c>
      <c r="AD2020" s="35" t="str">
        <f t="shared" si="65"/>
        <v/>
      </c>
    </row>
    <row r="2021" spans="29:30" x14ac:dyDescent="0.25">
      <c r="AC2021" s="33">
        <f t="shared" si="64"/>
        <v>2019</v>
      </c>
      <c r="AD2021" s="35" t="str">
        <f t="shared" si="65"/>
        <v/>
      </c>
    </row>
    <row r="2022" spans="29:30" x14ac:dyDescent="0.25">
      <c r="AC2022" s="33">
        <f t="shared" si="64"/>
        <v>2020</v>
      </c>
      <c r="AD2022" s="35" t="str">
        <f t="shared" si="65"/>
        <v/>
      </c>
    </row>
    <row r="2023" spans="29:30" x14ac:dyDescent="0.25">
      <c r="AC2023" s="33">
        <f t="shared" si="64"/>
        <v>2021</v>
      </c>
      <c r="AD2023" s="35" t="str">
        <f t="shared" si="65"/>
        <v/>
      </c>
    </row>
    <row r="2024" spans="29:30" x14ac:dyDescent="0.25">
      <c r="AC2024" s="33">
        <f t="shared" si="64"/>
        <v>2022</v>
      </c>
      <c r="AD2024" s="35" t="str">
        <f t="shared" si="65"/>
        <v/>
      </c>
    </row>
    <row r="2025" spans="29:30" x14ac:dyDescent="0.25">
      <c r="AC2025" s="33">
        <f t="shared" si="64"/>
        <v>2023</v>
      </c>
      <c r="AD2025" s="35" t="str">
        <f t="shared" si="65"/>
        <v/>
      </c>
    </row>
    <row r="2026" spans="29:30" x14ac:dyDescent="0.25">
      <c r="AC2026" s="33">
        <f t="shared" si="64"/>
        <v>2024</v>
      </c>
      <c r="AD2026" s="35" t="str">
        <f t="shared" si="65"/>
        <v/>
      </c>
    </row>
    <row r="2027" spans="29:30" x14ac:dyDescent="0.25">
      <c r="AC2027" s="33">
        <f t="shared" si="64"/>
        <v>2025</v>
      </c>
      <c r="AD2027" s="35" t="str">
        <f t="shared" si="65"/>
        <v/>
      </c>
    </row>
    <row r="2028" spans="29:30" x14ac:dyDescent="0.25">
      <c r="AC2028" s="33">
        <f t="shared" si="64"/>
        <v>2026</v>
      </c>
      <c r="AD2028" s="35" t="str">
        <f t="shared" si="65"/>
        <v/>
      </c>
    </row>
    <row r="2029" spans="29:30" x14ac:dyDescent="0.25">
      <c r="AC2029" s="33">
        <f t="shared" si="64"/>
        <v>2027</v>
      </c>
      <c r="AD2029" s="35" t="str">
        <f t="shared" si="65"/>
        <v/>
      </c>
    </row>
    <row r="2030" spans="29:30" x14ac:dyDescent="0.25">
      <c r="AC2030" s="33">
        <f t="shared" si="64"/>
        <v>2028</v>
      </c>
      <c r="AD2030" s="35" t="str">
        <f t="shared" si="65"/>
        <v/>
      </c>
    </row>
    <row r="2031" spans="29:30" x14ac:dyDescent="0.25">
      <c r="AC2031" s="33">
        <f t="shared" si="64"/>
        <v>2029</v>
      </c>
      <c r="AD2031" s="35" t="str">
        <f t="shared" si="65"/>
        <v/>
      </c>
    </row>
    <row r="2032" spans="29:30" x14ac:dyDescent="0.25">
      <c r="AC2032" s="33">
        <f t="shared" si="64"/>
        <v>2030</v>
      </c>
      <c r="AD2032" s="35" t="str">
        <f t="shared" si="65"/>
        <v/>
      </c>
    </row>
    <row r="2033" spans="29:30" x14ac:dyDescent="0.25">
      <c r="AC2033" s="33">
        <f t="shared" si="64"/>
        <v>2031</v>
      </c>
      <c r="AD2033" s="35" t="str">
        <f t="shared" si="65"/>
        <v/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Drop Down 1">
              <controlPr defaultSize="0" autoLine="0" autoPict="0">
                <anchor moveWithCells="1">
                  <from>
                    <xdr:col>6</xdr:col>
                    <xdr:colOff>276225</xdr:colOff>
                    <xdr:row>1</xdr:row>
                    <xdr:rowOff>133350</xdr:rowOff>
                  </from>
                  <to>
                    <xdr:col>20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A7461-B297-40C2-9056-3E597E626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Explication</vt:lpstr>
      <vt:lpstr>Données</vt:lpstr>
      <vt:lpstr>Flux</vt:lpstr>
      <vt:lpstr>Impact Comptable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hafrate</dc:creator>
  <cp:lastModifiedBy>hafrate</cp:lastModifiedBy>
  <dcterms:created xsi:type="dcterms:W3CDTF">2021-09-19T10:55:02Z</dcterms:created>
  <dcterms:modified xsi:type="dcterms:W3CDTF">2022-06-01T12:29:15Z</dcterms:modified>
</cp:coreProperties>
</file>